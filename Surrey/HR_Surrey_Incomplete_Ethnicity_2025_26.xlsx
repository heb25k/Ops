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urrey/"/>
    </mc:Choice>
  </mc:AlternateContent>
  <xr:revisionPtr revIDLastSave="33" documentId="8_{9FD31015-0284-4D03-AAA1-8AF85B2EE199}" xr6:coauthVersionLast="47" xr6:coauthVersionMax="47" xr10:uidLastSave="{510AE6A9-0BBE-450C-AB54-6E9D26E0818A}"/>
  <workbookProtection workbookAlgorithmName="SHA-512" workbookHashValue="eMH7q+WmTukyIl1S4NhLsM5fBjzm2vDvlHnpR8qfog0tn7aIw5OrLwOdEXAzgXg7q9o2iTZX/Rky5sAOWBt19Q==" workbookSaltValue="70OHgPqghuNkAqUVCYOQig=="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H15" i="60" l="1"/>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K29" i="53" s="1"/>
  <c r="U29" i="53" s="1"/>
  <c r="F30" i="53"/>
  <c r="P15" i="42"/>
  <c r="U15" i="42"/>
  <c r="U49" i="42"/>
  <c r="P22" i="42"/>
  <c r="P56" i="42"/>
  <c r="K15" i="42"/>
  <c r="K49" i="42"/>
  <c r="F22" i="42"/>
  <c r="F56" i="42"/>
  <c r="K22" i="42"/>
  <c r="K56" i="42"/>
  <c r="F15" i="42"/>
  <c r="F49" i="42"/>
  <c r="U28" i="53" l="1"/>
  <c r="K30" i="53"/>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<sst xmlns="http://schemas.openxmlformats.org/spreadsheetml/2006/main" count="2019" uniqueCount="569">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</sst>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Tyne and Wear</v>
      </c>
      <c r="B10" s="415"/>
      <c r="C10" s="415"/>
      <c r="D10" s="415"/>
      <c r="E10" s="415"/>
      <c r="F10" s="416"/>
      <c r="G10" s="181"/>
    </row>
    <row r="11" spans="1:7" ht="16.5" thickBot="1">
      <c r="A11" s="417" t="str">
        <f>VLOOKUP(B250,B251:D316,3,FALSE)</f>
        <v>E31000043</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40</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5G67iVg0AjiHgh3nACz/dzkH+gBgAglsxyuaiR4WOvkHRE6fNUZV5u8U9f42PyqvEFiARnnkF22Y6CwpQoQpBw==" saltValue="VYCfMZrKY/ONuzVOgEkmaQ=="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ptYzAwP+87iCUZxOngMIRNoQLPeid8E+Wf/Bo8bK9UYBCRpJZAv8Agkje69yoKs0Tlp+46uO228m/SgI4rKJjA==" saltValue="vqYkXxNDv4LCRhoYH6I8dw=="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Tyne and Wear</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qTf2NG4g9KZBJB3csa4G9b1ZDLA2ecGQHD7UJc0xul91DDJuYF+y6OBIr4IG4bVJws7m79V1v/DTal4eaP59QQ==" saltValue="7np8UByT/3/8DNOm/mDQDA=="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Tyne and Wear</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mJvlWgvZU5GBoAfbuczt6mWbGSlMi6eTLWA6PfjrY8wsuFUXuu4JcwCYEhF0kaICGxMB/mrMI43rtSzEGtjrVA==" saltValue="eRZXL/JUjoGm5+brtPW52g=="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Tyne and Wear</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d0Wy24/lWdXJBtIMbhvUiWSt3rlKjE4lUgCtdx7qNjbRAceJDqJk3lVeab0v3MxmyGT/QhZ2vHnPSrstZW0GzQ==" saltValue="NRncYvstsVfY/U1yv9Et7A=="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Tyne and Wear</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9J/Uvcr9qo7mGuiAcHu9ppk/V76twH+5PJWyj7LngxyjAjv97XOEkX0unKQQd2d56PFQa6cQQoWbK7Xn2DAaGg==" saltValue="TKc0SX8mGGadqK9/tPZoTw=="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Tyne and Wear</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OUUnrH17ujTlx2U3Q0qlUqtISz08mN5z/sByrMWonRIy4a4GWqOKb5GI5LiszAnjx9rExwTaxSWMnxXrh24s8Q==" saltValue="jgLAyqKtYbGiX3Kr7tO8OA=="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Tyne and Wear</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Q9vCemPkeI2xxmTIQIcx1q2K7OP1hffbvO9QHdRYEIH78Lp12TyAWF5fH9EQ+rH6aaPvrw+0BICAN4d4DWbAVg==" saltValue="b0e12llLptDymF2WRN4uFQ=="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Tyne and Wear</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vXCzVWMKR4aYAg5UKQuMsJlZCV0wofSnvF1q5Km1kz+642xH/FWRMWTu9vPmrJ7PBuI9Xi29az5LVynmg/RyMw==" saltValue="Nv1w1zSRMMIVCiBs683QSw=="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