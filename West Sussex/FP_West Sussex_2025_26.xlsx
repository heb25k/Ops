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West Sussex/"/>
    </mc:Choice>
  </mc:AlternateContent>
  <xr:revisionPtr revIDLastSave="0" documentId="8_{3244D0E3-4927-441C-9C9B-7CB188A2D14D}" xr6:coauthVersionLast="47" xr6:coauthVersionMax="47" xr10:uidLastSave="{00000000-0000-0000-0000-000000000000}"/>
  <bookViews>
    <workbookView xWindow="-110" yWindow="-110" windowWidth="22780" windowHeight="14540" xr2:uid="{2C8E1A28-4B62-47E2-BD11-71AC1EC6AA74}"/>
  </bookViews>
  <sheets>
    <sheet name="Cover" sheetId="6" r:id="rId1"/>
    <sheet name="Guidance" sheetId="3" r:id="rId2"/>
    <sheet name="FP1" sheetId="20" r:id="rId3"/>
    <sheet name="FP1a - PY data" sheetId="22" r:id="rId4"/>
    <sheet name="FP1b - PY data" sheetId="25" r:id="rId5"/>
    <sheet name="FP1 PY" sheetId="23" r:id="rId6"/>
    <sheet name="QA checks" sheetId="26" r:id="rId7"/>
    <sheet name="QA check thresholds" sheetId="24" r:id="rId8"/>
  </sheets>
  <externalReferences>
    <externalReference r:id="rId9"/>
  </externalReferences>
  <definedNames>
    <definedName name="_ftn1" localSheetId="1">Guidance!#REF!</definedName>
    <definedName name="_ftnref1" localSheetId="1">Guidance!#REF!</definedName>
    <definedName name="_Toc253397785" localSheetId="1">Guidance!#REF!</definedName>
    <definedName name="_Toc253397786" localSheetId="1">Guidance!#REF!</definedName>
    <definedName name="_Toc253397787" localSheetId="1">Guidance!#REF!</definedName>
    <definedName name="_Toc253397788" localSheetId="1">Guidance!#REF!</definedName>
    <definedName name="_Toc253397789" localSheetId="1">Guidance!#REF!</definedName>
    <definedName name="Data" localSheetId="2">#REF!</definedName>
    <definedName name="Data" localSheetId="7">#REF!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2">#REF!</definedName>
    <definedName name="HR2_formula" localSheetId="7">#REF!</definedName>
    <definedName name="HR2_formula">#REF!</definedName>
    <definedName name="HR3_formula" localSheetId="2">#REF!</definedName>
    <definedName name="HR3_formula" localSheetId="7">#REF!</definedName>
    <definedName name="HR3_formula">#REF!</definedName>
    <definedName name="HR4_formula" localSheetId="2">#REF!</definedName>
    <definedName name="HR4_formula" localSheetId="7">#REF!</definedName>
    <definedName name="HR4_formula">#REF!</definedName>
    <definedName name="HR5_formula" localSheetId="2">#REF!</definedName>
    <definedName name="HR5_formula" localSheetId="7">#REF!</definedName>
    <definedName name="HR5_formula">#REF!</definedName>
    <definedName name="_xlnm.Print_Area" localSheetId="0">Cover!$A$1:$I$22</definedName>
    <definedName name="_xlnm.Print_Area" localSheetId="2">'FP1'!$A$1:$C$32</definedName>
    <definedName name="_xlnm.Print_Area" localSheetId="1">Guidance!$A$1:$B$37</definedName>
    <definedName name="Z_92597BA2_8638_447E_95B5_1142A4D803E8_.wvu.PrintArea" localSheetId="2" hidden="1">'FP1'!$A$6:$C$32</definedName>
  </definedNames>
  <calcPr calcId="191028"/>
  <customWorkbookViews>
    <customWorkbookView name="dbega - Personal View" guid="{92597BA2-8638-447E-95B5-1142A4D803E8}" mergeInterval="0" personalView="1" maximized="1" windowWidth="1276" windowHeight="799" activeSheetId="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26" l="1"/>
  <c r="B31" i="20" l="1"/>
  <c r="F24" i="20" s="1"/>
  <c r="D4" i="26" l="1"/>
  <c r="C4" i="26"/>
  <c r="B4" i="26"/>
  <c r="A4" i="26" l="1"/>
  <c r="F27" i="20" l="1"/>
  <c r="F28" i="20" l="1"/>
  <c r="G4" i="26" s="1"/>
  <c r="E4" i="26"/>
  <c r="A11" i="6"/>
  <c r="A10" i="6"/>
  <c r="C4" i="23" s="1"/>
  <c r="B4" i="23"/>
  <c r="C250" i="6"/>
  <c r="B16" i="23" l="1" a="1"/>
  <c r="B16" i="23" s="1"/>
  <c r="B29" i="23" a="1"/>
  <c r="B29" i="23" s="1"/>
  <c r="B30" i="23" a="1"/>
  <c r="B30" i="23" s="1"/>
  <c r="B10" i="23" a="1"/>
  <c r="B10" i="23" s="1"/>
  <c r="B12" i="23" s="1"/>
  <c r="C10" i="23" a="1"/>
  <c r="C10" i="23" s="1"/>
  <c r="C12" i="23" s="1"/>
  <c r="C16" i="23" a="1"/>
  <c r="C16" i="23" s="1"/>
  <c r="B25" i="23" a="1"/>
  <c r="B25" i="23" s="1"/>
  <c r="B28" i="23" a="1"/>
  <c r="B28" i="23" s="1"/>
  <c r="B27" i="23" a="1"/>
  <c r="B27" i="23" s="1"/>
  <c r="B26" i="23" a="1"/>
  <c r="B26" i="23" s="1"/>
  <c r="F4" i="26" l="1"/>
  <c r="B1" i="2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<sst xmlns="http://schemas.openxmlformats.org/spreadsheetml/2006/main" count="228" uniqueCount="217">
  <si>
    <t>2024_25</t>
  </si>
  <si>
    <t xml:space="preserve">Operational Statistics Collection </t>
  </si>
  <si>
    <t>FP Tables</t>
  </si>
  <si>
    <t>Index of Tables</t>
  </si>
  <si>
    <t>Description</t>
  </si>
  <si>
    <t>FP1</t>
  </si>
  <si>
    <t>Home Fire Safety Visits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</si>
  <si>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</si>
  <si>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</si>
  <si>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</si>
  <si>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</si>
  <si>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</si>
  <si>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</si>
  <si>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</si>
  <si>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</si>
  <si>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</si>
  <si>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</si>
  <si>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</si>
  <si>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</si>
  <si>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</si>
  <si>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</si>
  <si>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</si>
  <si>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</si>
  <si>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</si>
  <si>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</si>
  <si>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</si>
  <si>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</si>
  <si>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</si>
  <si>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</si>
  <si>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</si>
  <si>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</si>
  <si>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</si>
  <si>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</si>
  <si>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</si>
  <si>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</si>
  <si>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</si>
  <si>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</si>
  <si>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</si>
  <si>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</si>
  <si>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</si>
  <si>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</si>
  <si>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</si>
  <si>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</si>
  <si>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</si>
  <si>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</si>
  <si>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</si>
  <si>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</si>
  <si>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</si>
  <si>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</si>
  <si>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</si>
  <si>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</si>
  <si>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</si>
  <si>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</si>
  <si>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</si>
  <si>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</si>
  <si>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</si>
  <si>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</si>
  <si>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</si>
  <si>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</si>
  <si>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</si>
  <si>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</si>
  <si>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</si>
  <si>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</si>
  <si>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</si>
  <si>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</si>
  <si>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</si>
  <si>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</si>
  <si>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</si>
  <si>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</si>
  <si>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</si>
  <si>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</si>
  <si>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</si>
  <si>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</si>
  <si>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</si>
  <si>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</si>
  <si>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</si>
  <si>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</si>
  <si>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</si>
  <si>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</si>
  <si>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</si>
  <si>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</si>
  <si>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</si>
  <si>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</si>
  <si>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</si>
  <si>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</si>
  <si>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</si>
  <si>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</si>
  <si>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</si>
  <si>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</si>
  <si>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</si>
  <si>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</si>
  <si>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</si>
  <si>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</si>
  <si>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</si>
  <si>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</si>
  <si>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</si>
  <si>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</si>
  <si>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</si>
  <si>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</si>
  <si>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</si>
  <si>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</si>
  <si>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</si>
  <si>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</si>
  <si>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</si>
  <si>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</si>
  <si>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</si>
  <si>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</si>
  <si>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</si>
  <si>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</si>
  <si>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</si>
  <si>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</si>
  <si>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</si>
  <si>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</si>
  <si>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</si>
  <si>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</si>
  <si>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</si>
  <si>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the Fire Prevention form (FP1)</t>
  </si>
  <si>
    <t xml:space="preserve">The Fire Prevention and Community Fire Safety return (FP1) collects information to monitor the activity conducted by the FRS with the intent of preventing fires and improving Community Fire Safety. </t>
  </si>
  <si>
    <t>Definitions</t>
  </si>
  <si>
    <t>Home Fire Safety Visit (HFSV):</t>
  </si>
  <si>
    <r>
      <t xml:space="preserve">The term Home Fire Safety Visit (HFSV) is used as a generic name to capture data on fire safety checks within homes, as FRSs use different terminology. Previously, this data was collected under Home Fire Safety Check (HFSC) and the sub-category Safe and Well Visit (SWV). However, following feedback from FRSs and discussions with the CLIP-Fire group, the return has been </t>
    </r>
    <r>
      <rPr>
        <b/>
        <sz val="12"/>
        <rFont val="Arial"/>
        <family val="2"/>
      </rPr>
      <t>simplified into a single category: Home Fire Safety Visits (HFSVs)</t>
    </r>
    <r>
      <rPr>
        <sz val="12"/>
        <rFont val="Arial"/>
        <family val="2"/>
      </rPr>
      <t xml:space="preserve">.
This return should reflect </t>
    </r>
    <r>
      <rPr>
        <b/>
        <sz val="12"/>
        <rFont val="Arial"/>
        <family val="2"/>
      </rPr>
      <t>all fire safety checks carried out in homes</t>
    </r>
    <r>
      <rPr>
        <sz val="12"/>
        <rFont val="Arial"/>
        <family val="2"/>
      </rPr>
      <t>. Examples of such checks include:</t>
    </r>
  </si>
  <si>
    <r>
      <t xml:space="preserve">1. </t>
    </r>
    <r>
      <rPr>
        <b/>
        <sz val="12"/>
        <rFont val="Arial"/>
        <family val="2"/>
      </rPr>
      <t>Identifying and advising</t>
    </r>
    <r>
      <rPr>
        <sz val="12"/>
        <rFont val="Arial"/>
        <family val="2"/>
      </rPr>
      <t xml:space="preserve"> on potential fire risks in the home.</t>
    </r>
  </si>
  <si>
    <r>
      <t xml:space="preserve">2. </t>
    </r>
    <r>
      <rPr>
        <b/>
        <sz val="12"/>
        <rFont val="Arial"/>
        <family val="2"/>
      </rPr>
      <t>Providing guidance</t>
    </r>
    <r>
      <rPr>
        <sz val="12"/>
        <rFont val="Arial"/>
        <family val="2"/>
      </rPr>
      <t xml:space="preserve"> on reducing or preventing these risks.</t>
    </r>
  </si>
  <si>
    <r>
      <t xml:space="preserve">3. </t>
    </r>
    <r>
      <rPr>
        <b/>
        <sz val="12"/>
        <rFont val="Arial"/>
        <family val="2"/>
      </rPr>
      <t>Developing an escape plan</t>
    </r>
    <r>
      <rPr>
        <sz val="12"/>
        <rFont val="Arial"/>
        <family val="2"/>
      </rPr>
      <t xml:space="preserve"> in case of a fire and ensuring the householder has working smoke alarms. This may include installing smoke alarms where appropriate.</t>
    </r>
  </si>
  <si>
    <r>
      <t xml:space="preserve">If multiple checks are carried out at the same location, </t>
    </r>
    <r>
      <rPr>
        <b/>
        <sz val="12"/>
        <rFont val="Arial"/>
        <family val="2"/>
      </rPr>
      <t>each visit should be counted separately</t>
    </r>
    <r>
      <rPr>
        <sz val="12"/>
        <rFont val="Arial"/>
        <family val="2"/>
      </rPr>
      <t>.</t>
    </r>
  </si>
  <si>
    <t xml:space="preserve"> </t>
  </si>
  <si>
    <r>
      <rPr>
        <sz val="12"/>
        <rFont val="Arial"/>
        <family val="2"/>
      </rPr>
      <t xml:space="preserve">As in recent years, HFSVs have continued to be carried out in different ways, so the Home Office data collection will continue to collect the number of checks carried out both face-to-face and virtually. </t>
    </r>
    <r>
      <rPr>
        <b/>
        <sz val="12"/>
        <rFont val="Arial"/>
        <family val="2"/>
      </rPr>
      <t xml:space="preserve">
-</t>
    </r>
    <r>
      <rPr>
        <sz val="12"/>
        <rFont val="Arial"/>
        <family val="2"/>
      </rPr>
      <t xml:space="preserve"> A </t>
    </r>
    <r>
      <rPr>
        <b/>
        <sz val="12"/>
        <rFont val="Arial"/>
        <family val="2"/>
      </rPr>
      <t>face-to-face (in-person)</t>
    </r>
    <r>
      <rPr>
        <sz val="12"/>
        <rFont val="Arial"/>
        <family val="2"/>
      </rPr>
      <t xml:space="preserve"> check is one where </t>
    </r>
    <r>
      <rPr>
        <b/>
        <sz val="12"/>
        <rFont val="Arial"/>
        <family val="2"/>
      </rPr>
      <t>FRS personnel or a partner organisation representative physically enter the property</t>
    </r>
    <r>
      <rPr>
        <sz val="12"/>
        <rFont val="Arial"/>
        <family val="2"/>
      </rPr>
      <t xml:space="preserve">. 
- A </t>
    </r>
    <r>
      <rPr>
        <b/>
        <sz val="12"/>
        <rFont val="Arial"/>
        <family val="2"/>
      </rPr>
      <t>virtual or telephone check</t>
    </r>
    <r>
      <rPr>
        <sz val="12"/>
        <rFont val="Arial"/>
        <family val="2"/>
      </rPr>
      <t xml:space="preserve"> is defined as one where </t>
    </r>
    <r>
      <rPr>
        <b/>
        <sz val="12"/>
        <rFont val="Arial"/>
        <family val="2"/>
      </rPr>
      <t>FRS personnel, or a partner organisation on behalf of the FRS, contacted an individual via video or phone call</t>
    </r>
    <r>
      <rPr>
        <sz val="12"/>
        <rFont val="Arial"/>
        <family val="2"/>
      </rPr>
      <t xml:space="preserve"> to conduct a HFSV.
- The online safety checker tool does not count as a HFSV</t>
    </r>
  </si>
  <si>
    <r>
      <t>FRS Personnel:</t>
    </r>
    <r>
      <rPr>
        <i/>
        <sz val="12"/>
        <rFont val="Arial"/>
        <family val="2"/>
      </rPr>
      <t xml:space="preserve"> </t>
    </r>
  </si>
  <si>
    <r>
      <t xml:space="preserve">FRS personnel include </t>
    </r>
    <r>
      <rPr>
        <b/>
        <sz val="12"/>
        <rFont val="Arial"/>
        <family val="2"/>
      </rPr>
      <t>all staff employed directly by the Fire and Rescue Authorities</t>
    </r>
    <r>
      <rPr>
        <sz val="12"/>
        <rFont val="Arial"/>
        <family val="2"/>
      </rPr>
      <t xml:space="preserve"> across all duty systems. The returns should include checks completed by:</t>
    </r>
  </si>
  <si>
    <t>a) All temporary staff</t>
  </si>
  <si>
    <t>b) Staff on fixed-term contracts</t>
  </si>
  <si>
    <r>
      <t xml:space="preserve">The following personnel should be </t>
    </r>
    <r>
      <rPr>
        <b/>
        <sz val="12"/>
        <rFont val="Arial"/>
        <family val="2"/>
      </rPr>
      <t>excluded</t>
    </r>
    <r>
      <rPr>
        <sz val="12"/>
        <rFont val="Arial"/>
        <family val="2"/>
      </rPr>
      <t>:</t>
    </r>
  </si>
  <si>
    <t xml:space="preserve">d) Personnel employed by outside contractors </t>
  </si>
  <si>
    <r>
      <t>Partners:</t>
    </r>
    <r>
      <rPr>
        <i/>
        <sz val="12"/>
        <rFont val="Arial"/>
        <family val="2"/>
      </rPr>
      <t xml:space="preserve"> </t>
    </r>
  </si>
  <si>
    <t>Partners include organisations such as:</t>
  </si>
  <si>
    <t xml:space="preserve"> - Home Improvement Services </t>
  </si>
  <si>
    <t xml:space="preserve"> - Education</t>
  </si>
  <si>
    <t xml:space="preserve"> - Social Services</t>
  </si>
  <si>
    <t xml:space="preserve"> - Voluntary Sector </t>
  </si>
  <si>
    <t xml:space="preserve"> - Housing</t>
  </si>
  <si>
    <t xml:space="preserve"> - Health or social care (previously Primary Care Trusts)</t>
  </si>
  <si>
    <t xml:space="preserve">Elderly people: </t>
  </si>
  <si>
    <r>
      <t xml:space="preserve">Home Fire Safety Visits to households where </t>
    </r>
    <r>
      <rPr>
        <b/>
        <sz val="12"/>
        <rFont val="Arial"/>
        <family val="2"/>
      </rPr>
      <t>at least one resident is aged 65 or over.</t>
    </r>
  </si>
  <si>
    <t xml:space="preserve">Disabled: </t>
  </si>
  <si>
    <r>
      <t xml:space="preserve">This category includes visits to households where </t>
    </r>
    <r>
      <rPr>
        <b/>
        <sz val="12"/>
        <rFont val="Arial"/>
        <family val="2"/>
      </rPr>
      <t>at least one resident has a disability</t>
    </r>
    <r>
      <rPr>
        <sz val="12"/>
        <rFont val="Arial"/>
        <family val="2"/>
      </rPr>
      <t>, as defined by the Equality Act 2010:</t>
    </r>
  </si>
  <si>
    <t>a) they have a physical or mental impairment</t>
  </si>
  <si>
    <t>b) the impairment has a substantial and long-term adverse effect on their ability to perform normal day-to-day activities</t>
  </si>
  <si>
    <r>
      <t xml:space="preserve">If a HFSV is carried out at a home with a resident who is </t>
    </r>
    <r>
      <rPr>
        <b/>
        <sz val="12"/>
        <rFont val="Arial"/>
        <family val="2"/>
      </rPr>
      <t>both elderly (65+) and disabled</t>
    </r>
    <r>
      <rPr>
        <sz val="12"/>
        <rFont val="Arial"/>
        <family val="2"/>
      </rPr>
      <t>, record this information once in the "65+ and disabled" category.</t>
    </r>
  </si>
  <si>
    <t>Examples of vulnerabilities/risk factors:</t>
  </si>
  <si>
    <t>• Elderly 
• Disabled or immobile
• Living alone
• Smoker
• Mental health problem or learning difficulty 
• Drug or alcohol use 
• Single adult present in the household (including single parenthood) 
• Domestic violence/abuse 
• Any other locally identified risk (e.g., rented accommodation)</t>
  </si>
  <si>
    <t>Number of FRS and partner staff carrying out HFSV</t>
  </si>
  <si>
    <r>
      <t xml:space="preserve">Please record the total number of staff visiting by using the following calculation: 
</t>
    </r>
    <r>
      <rPr>
        <b/>
        <sz val="12"/>
        <rFont val="Arial"/>
        <family val="2"/>
      </rPr>
      <t>Total Number of Visits  x Average Number of Staff Per Visit</t>
    </r>
    <r>
      <rPr>
        <sz val="12"/>
        <rFont val="Arial"/>
        <family val="2"/>
      </rPr>
      <t xml:space="preserve"> 
</t>
    </r>
    <r>
      <rPr>
        <b/>
        <sz val="12"/>
        <rFont val="Arial"/>
        <family val="2"/>
      </rPr>
      <t xml:space="preserve">Example:
</t>
    </r>
    <r>
      <rPr>
        <sz val="12"/>
        <rFont val="Arial"/>
        <family val="2"/>
      </rPr>
      <t>If there were 1,000 visits, and each visit involved two firefighters and one volunteer, the total number of staff would be:
(1,000 × 2 firefighters) + (1,000 × 1 volunteer) = 3,000 staff members.</t>
    </r>
  </si>
  <si>
    <r>
      <t xml:space="preserve">Since </t>
    </r>
    <r>
      <rPr>
        <b/>
        <sz val="12"/>
        <rFont val="Arial"/>
        <family val="2"/>
      </rPr>
      <t>more than one person may conduct a visi</t>
    </r>
    <r>
      <rPr>
        <sz val="12"/>
        <rFont val="Arial"/>
        <family val="2"/>
      </rPr>
      <t xml:space="preserve">t, the total number of staff recorded should </t>
    </r>
    <r>
      <rPr>
        <b/>
        <sz val="12"/>
        <rFont val="Arial"/>
        <family val="2"/>
      </rPr>
      <t>never be lower than the total number of visits</t>
    </r>
    <r>
      <rPr>
        <sz val="12"/>
        <rFont val="Arial"/>
        <family val="2"/>
      </rPr>
      <t>.</t>
    </r>
  </si>
  <si>
    <t>Some key considerations:</t>
  </si>
  <si>
    <r>
      <t xml:space="preserve">The term </t>
    </r>
    <r>
      <rPr>
        <b/>
        <sz val="12"/>
        <rFont val="Arial"/>
        <family val="2"/>
      </rPr>
      <t>"Firefighters"</t>
    </r>
    <r>
      <rPr>
        <sz val="12"/>
        <rFont val="Arial"/>
        <family val="2"/>
      </rPr>
      <t xml:space="preserve"> refers to all </t>
    </r>
    <r>
      <rPr>
        <b/>
        <sz val="12"/>
        <rFont val="Arial"/>
        <family val="2"/>
      </rPr>
      <t>operational station staff</t>
    </r>
    <r>
      <rPr>
        <sz val="12"/>
        <rFont val="Arial"/>
        <family val="2"/>
      </rPr>
      <t xml:space="preserve"> conducting visits, including </t>
    </r>
    <r>
      <rPr>
        <b/>
        <sz val="12"/>
        <rFont val="Arial"/>
        <family val="2"/>
      </rPr>
      <t>crew managers</t>
    </r>
    <r>
      <rPr>
        <sz val="12"/>
        <rFont val="Arial"/>
        <family val="2"/>
      </rPr>
      <t xml:space="preserve"> and </t>
    </r>
    <r>
      <rPr>
        <b/>
        <sz val="12"/>
        <rFont val="Arial"/>
        <family val="2"/>
      </rPr>
      <t>watch managers</t>
    </r>
    <r>
      <rPr>
        <sz val="12"/>
        <rFont val="Arial"/>
        <family val="2"/>
      </rPr>
      <t>.</t>
    </r>
  </si>
  <si>
    <r>
      <rPr>
        <b/>
        <sz val="12"/>
        <rFont val="Arial"/>
        <family val="2"/>
      </rPr>
      <t>Partner staff</t>
    </r>
    <r>
      <rPr>
        <sz val="12"/>
        <rFont val="Arial"/>
        <family val="2"/>
      </rPr>
      <t xml:space="preserve"> should be recorded in the '</t>
    </r>
    <r>
      <rPr>
        <b/>
        <sz val="12"/>
        <rFont val="Arial"/>
        <family val="2"/>
      </rPr>
      <t xml:space="preserve">Other' </t>
    </r>
    <r>
      <rPr>
        <sz val="12"/>
        <rFont val="Arial"/>
        <family val="2"/>
      </rPr>
      <t>category</t>
    </r>
  </si>
  <si>
    <t>QA checks versus data submitted last year</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</si>
  <si>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</si>
  <si>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r>
      <t xml:space="preserve">Total </t>
    </r>
    <r>
      <rPr>
        <b/>
        <u/>
        <sz val="10"/>
        <rFont val="Arial"/>
        <family val="2"/>
      </rPr>
      <t>NUMBER</t>
    </r>
    <r>
      <rPr>
        <b/>
        <sz val="10"/>
        <rFont val="Arial"/>
        <family val="2"/>
      </rPr>
      <t xml:space="preserve"> of Home Fire Safety Visits carried out:               </t>
    </r>
  </si>
  <si>
    <t>Number of HFSVs (face-to-face)</t>
  </si>
  <si>
    <t>Number of HFSVs carried out virtually (eg desktop, telephone)</t>
  </si>
  <si>
    <t>HFSV carried out by FRS personnel</t>
  </si>
  <si>
    <t xml:space="preserve">    of which household contains at least 1 person with at least 1 vulnerability or risk factor (include elderly/disability vulnerabilities)</t>
  </si>
  <si>
    <t>Elderly and/or disability vulnerabilities</t>
  </si>
  <si>
    <r>
      <t xml:space="preserve">    of which household contains: at least 1 person aged 65+ </t>
    </r>
    <r>
      <rPr>
        <u/>
        <sz val="10"/>
        <rFont val="Arial"/>
        <family val="2"/>
      </rPr>
      <t>and</t>
    </r>
    <r>
      <rPr>
        <sz val="10"/>
        <rFont val="Arial"/>
        <family val="2"/>
      </rPr>
      <t xml:space="preserve"> one person disabled (can be same person)</t>
    </r>
  </si>
  <si>
    <r>
      <t xml:space="preserve">    of which household contains: at least 1 person aged 65+, </t>
    </r>
    <r>
      <rPr>
        <u/>
        <sz val="10"/>
        <rFont val="Arial"/>
        <family val="2"/>
      </rPr>
      <t xml:space="preserve">but </t>
    </r>
    <r>
      <rPr>
        <sz val="10"/>
        <rFont val="Arial"/>
        <family val="2"/>
      </rPr>
      <t>no one in household disabled</t>
    </r>
  </si>
  <si>
    <r>
      <t xml:space="preserve">    of which household contains: all aged under 65 </t>
    </r>
    <r>
      <rPr>
        <u/>
        <sz val="10"/>
        <rFont val="Arial"/>
        <family val="2"/>
      </rPr>
      <t>but</t>
    </r>
    <r>
      <rPr>
        <sz val="10"/>
        <rFont val="Arial"/>
        <family val="2"/>
      </rPr>
      <t xml:space="preserve"> at least 1 person disabled</t>
    </r>
  </si>
  <si>
    <t>HFSV carried out by Partners (if known)</t>
  </si>
  <si>
    <t>TOTAL NUMBER of STAFF VISITING (total number of visits x average number of staff per visit) from FRS and partners carrying out Home Fire Safety Visit:</t>
  </si>
  <si>
    <r>
      <t xml:space="preserve">Number of staff carrying out </t>
    </r>
    <r>
      <rPr>
        <b/>
        <u/>
        <sz val="10"/>
        <rFont val="Arial"/>
        <family val="2"/>
      </rPr>
      <t>HFSV</t>
    </r>
  </si>
  <si>
    <t>HFSV - Staff QA checks</t>
  </si>
  <si>
    <t>Total staff performing HFSV - must be equal to or greater than the Total number of Home Fire Safety Visits</t>
  </si>
  <si>
    <t xml:space="preserve">      Firefighter(s)</t>
  </si>
  <si>
    <t xml:space="preserve">      FRS volunteer(s)</t>
  </si>
  <si>
    <t xml:space="preserve">      Community safety advocate(s)</t>
  </si>
  <si>
    <t>Total Home Fire Safety Visits</t>
  </si>
  <si>
    <t xml:space="preserve">      Non-operational fire prevention staff</t>
  </si>
  <si>
    <t>Average number of staff performing each visit - if less than 1 or greater than 5, please add a note to explain</t>
  </si>
  <si>
    <t xml:space="preserve">      Fire control partner(s)</t>
  </si>
  <si>
    <t xml:space="preserve">      Other (please specify below)</t>
  </si>
  <si>
    <t>Total NUMBER OF STAFF per visit carrying out Home Fire Safety Visits:</t>
  </si>
  <si>
    <t>FRS Notes</t>
  </si>
  <si>
    <t>SHEET</t>
  </si>
  <si>
    <t>FINANCIAL_YEAR</t>
  </si>
  <si>
    <t>FRS_NAME</t>
  </si>
  <si>
    <t>FRS_PARTNERS</t>
  </si>
  <si>
    <t>VIRTUAL_F2F</t>
  </si>
  <si>
    <t>TOTAL</t>
  </si>
  <si>
    <t>STAFF_TYPE</t>
  </si>
  <si>
    <t>FP</t>
  </si>
  <si>
    <t>Face to face</t>
  </si>
  <si>
    <t>Virtual</t>
  </si>
  <si>
    <t>FRS</t>
  </si>
  <si>
    <t>Partners</t>
  </si>
  <si>
    <t>Number of staff carrying out HFSV</t>
  </si>
  <si>
    <t>Firefighter(s)</t>
  </si>
  <si>
    <t>FRS volunteer(s)</t>
  </si>
  <si>
    <t>Community safety advocate(s)</t>
  </si>
  <si>
    <t>Non-operational fire prevention staff</t>
  </si>
  <si>
    <t>Fire control partner(s)</t>
  </si>
  <si>
    <t>Other</t>
  </si>
  <si>
    <t>Errors</t>
  </si>
  <si>
    <t>FP B11 &gt;= sum(B13:B15)</t>
  </si>
  <si>
    <t>FP C11 &gt;= sum(C13:C15)</t>
  </si>
  <si>
    <t>FP B10 &gt;= B11</t>
  </si>
  <si>
    <t>FP C10 &gt;= C11</t>
  </si>
  <si>
    <t>FP B31 &gt;= B10</t>
  </si>
  <si>
    <t>Number of checks are similar to previous year (within 35%)</t>
  </si>
  <si>
    <t>Average number of staff performing each visit is between 1 and 5</t>
  </si>
  <si>
    <t>Check FRS notes</t>
  </si>
  <si>
    <t>Absolute value thresholds</t>
  </si>
  <si>
    <t>Percentage thresholds</t>
  </si>
  <si>
    <r>
      <t xml:space="preserve">This form focuses on </t>
    </r>
    <r>
      <rPr>
        <b/>
        <sz val="12"/>
        <rFont val="Arial"/>
        <family val="2"/>
      </rPr>
      <t>Home Fire Safety Visits (HFSVs)</t>
    </r>
    <r>
      <rPr>
        <sz val="12"/>
        <rFont val="Arial"/>
        <family val="2"/>
      </rPr>
      <t xml:space="preserve"> between </t>
    </r>
    <r>
      <rPr>
        <b/>
        <sz val="12"/>
        <rFont val="Arial"/>
        <family val="2"/>
      </rPr>
      <t>1st April 2025 and 31st March 2026</t>
    </r>
    <r>
      <rPr>
        <sz val="12"/>
        <rFont val="Arial"/>
        <family val="2"/>
      </rPr>
      <t>.</t>
    </r>
  </si>
  <si>
    <t>c) Secondees at 31 March 2026, if their salaries are paid by the FRS</t>
  </si>
  <si>
    <t>e) Secondees at 31 March 2026, if their salaries are not paid by the FRS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</si>
  <si>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</si>
  <si>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FP1 - Home Fire Safety Visits 1st April 2025 - 31st March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</si>
</sst>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0"/>
      <name val="Arial"/>
    </font>
    <font>
      <sz val="10"/>
      <name val="Arial"/>
      <family val="2"/>
    </font>
    <font>
      <b/>
      <sz val="12"/>
      <name val="Arial"/>
      <family val="2"/>
    </font>
    <font>
      <u/>
      <sz val="10"/>
      <color indexed="12"/>
      <name val="MS Sans Serif"/>
      <family val="2"/>
    </font>
    <font>
      <sz val="8"/>
      <name val="Arial"/>
      <family val="2"/>
    </font>
    <font>
      <sz val="14"/>
      <name val="Arial"/>
      <family val="2"/>
    </font>
    <font>
      <b/>
      <sz val="14"/>
      <name val="Arial"/>
      <family val="2"/>
    </font>
    <font>
      <sz val="12"/>
      <name val="Arial"/>
      <family val="2"/>
    </font>
    <font>
      <i/>
      <sz val="12"/>
      <name val="Arial"/>
      <family val="2"/>
    </font>
    <font>
      <b/>
      <sz val="10"/>
      <name val="Arial"/>
      <family val="2"/>
    </font>
    <font>
      <b/>
      <sz val="16"/>
      <name val="Arial"/>
      <family val="2"/>
    </font>
    <font>
      <sz val="11"/>
      <name val="Arial"/>
      <family val="2"/>
    </font>
    <font>
      <b/>
      <sz val="11"/>
      <name val="Arial"/>
      <family val="2"/>
    </font>
    <font>
      <b/>
      <sz val="18"/>
      <name val="Arial"/>
      <family val="2"/>
    </font>
    <font>
      <b/>
      <sz val="20"/>
      <name val="Arial"/>
      <family val="2"/>
    </font>
    <font>
      <b/>
      <sz val="11"/>
      <color indexed="43"/>
      <name val="Arial"/>
      <family val="2"/>
    </font>
    <font>
      <u/>
      <sz val="11"/>
      <color indexed="10"/>
      <name val="Arial"/>
      <family val="2"/>
    </font>
    <font>
      <u/>
      <sz val="11"/>
      <color indexed="12"/>
      <name val="Arial"/>
      <family val="2"/>
    </font>
    <font>
      <b/>
      <sz val="11"/>
      <color theme="1"/>
      <name val="Arial"/>
      <family val="2"/>
    </font>
    <font>
      <sz val="11"/>
      <color rgb="FFFF0000"/>
      <name val="Arial"/>
      <family val="2"/>
    </font>
    <font>
      <sz val="11"/>
      <color indexed="9"/>
      <name val="Arial"/>
      <family val="2"/>
    </font>
    <font>
      <sz val="10"/>
      <color rgb="FFFF0000"/>
      <name val="Arial"/>
      <family val="2"/>
    </font>
    <font>
      <u/>
      <sz val="10"/>
      <name val="Arial"/>
      <family val="2"/>
    </font>
    <font>
      <u/>
      <sz val="11"/>
      <color rgb="FFFF0000"/>
      <name val="Arial"/>
      <family val="2"/>
    </font>
    <font>
      <b/>
      <u/>
      <sz val="10"/>
      <name val="Arial"/>
      <family val="2"/>
    </font>
    <font>
      <sz val="11"/>
      <color rgb="FFFFFF00"/>
      <name val="Arial"/>
      <family val="2"/>
    </font>
    <font>
      <b/>
      <sz val="10"/>
      <color rgb="FFFF0000"/>
      <name val="Arial"/>
      <family val="2"/>
    </font>
  </fonts>
  <fills count="9">
    <fill>
      <patternFill patternType="none"/>
    </fill>
    <fill>
      <patternFill patternType="gray125"/>
    </fill>
    <fill>
      <patternFill patternType="solid">
        <fgColor theme="0"/>
        <bgColor indexed="64"/>
      </patternFill>
    </fill>
    <fill>
      <patternFill patternType="solid">
        <fgColor rgb="FFCC99FF"/>
        <bgColor indexed="64"/>
      </patternFill>
    </fill>
    <fill>
      <patternFill patternType="solid">
        <fgColor rgb="FFFFCCFF"/>
        <bgColor indexed="64"/>
      </patternFill>
    </fill>
    <fill>
      <patternFill patternType="solid">
        <fgColor rgb="FFFFF3FF"/>
        <bgColor indexed="64"/>
      </patternFill>
    </fill>
    <fill>
      <patternFill patternType="solid">
        <fgColor theme="7" tint="0.79998168889431442"/>
        <bgColor indexed="64"/>
      </patternFill>
    </fill>
    <fill>
      <patternFill patternType="solid">
        <fgColor rgb="FFFFC000"/>
        <bgColor indexed="64"/>
      </patternFill>
    </fill>
    <fill>
      <patternFill patternType="solid">
        <fgColor theme="0" tint="-0.34998626667073579"/>
        <bgColor indexed="64"/>
      </patternFill>
    </fill>
  </fills>
  <borders count="2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thin">
        <color indexed="64"/>
      </bottom>
      <diagonal/>
    </border>
    <border>
      <left/>
      <right/>
      <top/>
      <bottom style="thin">
        <color indexed="64"/>
      </bottom>
      <diagonal/>
    </border>
  </borders>
  <cellStyleXfs count="6">
    <xf numFmtId="0" fontId="0" fillId="0" borderId="0"/>
    <xf numFmtId="0" fontId="3" fillId="0" borderId="0" applyNumberForma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cellStyleXfs>
  <cellXfs count="160">
    <xf numFmtId="0" fontId="0" fillId="0" borderId="0" xfId="0"/>
    <xf numFmtId="0" fontId="0" fillId="0" borderId="0" xfId="0" applyAlignment="1">
      <alignment vertical="center"/>
    </xf>
    <xf numFmtId="0" fontId="0" fillId="0" borderId="0" xfId="0" applyAlignment="1">
      <alignment horizontal="left" vertical="center"/>
    </xf>
    <xf numFmtId="0" fontId="9" fillId="2" borderId="2" xfId="0" applyFont="1" applyFill="1" applyBorder="1" applyAlignment="1">
      <alignment horizontal="left" vertical="center" wrapText="1"/>
    </xf>
    <xf numFmtId="0" fontId="12" fillId="4" borderId="1" xfId="0" applyFont="1" applyFill="1" applyBorder="1" applyAlignment="1">
      <alignment horizontal="left" vertical="center" wrapText="1"/>
    </xf>
    <xf numFmtId="0" fontId="11" fillId="0" borderId="0" xfId="0" applyFont="1"/>
    <xf numFmtId="0" fontId="1" fillId="3" borderId="5" xfId="0" applyFont="1" applyFill="1" applyBorder="1" applyAlignment="1">
      <alignment horizontal="left" vertical="center"/>
    </xf>
    <xf numFmtId="0" fontId="9" fillId="3" borderId="3" xfId="0" applyFont="1" applyFill="1" applyBorder="1" applyAlignment="1">
      <alignment horizontal="left" vertical="center"/>
    </xf>
    <xf numFmtId="0" fontId="9" fillId="3" borderId="5" xfId="0" applyFont="1" applyFill="1" applyBorder="1" applyAlignment="1">
      <alignment horizontal="left" vertical="center"/>
    </xf>
    <xf numFmtId="3" fontId="9" fillId="4" borderId="7" xfId="0" applyNumberFormat="1" applyFont="1" applyFill="1" applyBorder="1" applyAlignment="1" applyProtection="1">
      <alignment vertical="center"/>
      <protection locked="0"/>
    </xf>
    <xf numFmtId="0" fontId="1" fillId="0" borderId="0" xfId="0" applyFont="1" applyAlignment="1">
      <alignment vertical="top" wrapText="1"/>
    </xf>
    <xf numFmtId="0" fontId="7" fillId="2" borderId="0" xfId="0" applyFont="1" applyFill="1" applyAlignment="1">
      <alignment horizontal="left"/>
    </xf>
    <xf numFmtId="0" fontId="1" fillId="2" borderId="0" xfId="0" applyFont="1" applyFill="1" applyAlignment="1">
      <alignment wrapText="1"/>
    </xf>
    <xf numFmtId="0" fontId="6" fillId="2" borderId="0" xfId="0" applyFont="1" applyFill="1"/>
    <xf numFmtId="0" fontId="5" fillId="0" borderId="0" xfId="0" applyFont="1"/>
    <xf numFmtId="0" fontId="11" fillId="0" borderId="0" xfId="0" applyFont="1" applyAlignment="1">
      <alignment vertical="center"/>
    </xf>
    <xf numFmtId="0" fontId="19" fillId="0" borderId="0" xfId="0" applyFont="1"/>
    <xf numFmtId="0" fontId="20" fillId="0" borderId="0" xfId="0" applyFont="1"/>
    <xf numFmtId="0" fontId="1" fillId="3" borderId="16" xfId="0" applyFont="1" applyFill="1" applyBorder="1" applyAlignment="1">
      <alignment horizontal="left" vertical="center"/>
    </xf>
    <xf numFmtId="0" fontId="12" fillId="2" borderId="0" xfId="0" applyFont="1" applyFill="1"/>
    <xf numFmtId="0" fontId="11" fillId="2" borderId="0" xfId="0" applyFont="1" applyFill="1"/>
    <xf numFmtId="0" fontId="12" fillId="2" borderId="0" xfId="0" applyFont="1" applyFill="1" applyAlignment="1">
      <alignment horizontal="left" vertical="center" wrapText="1"/>
    </xf>
    <xf numFmtId="0" fontId="17" fillId="2" borderId="0" xfId="1" applyFont="1" applyFill="1" applyBorder="1" applyAlignment="1" applyProtection="1">
      <alignment horizontal="right" vertical="center"/>
      <protection locked="0"/>
    </xf>
    <xf numFmtId="0" fontId="11" fillId="2" borderId="0" xfId="0" applyFont="1" applyFill="1" applyAlignment="1" applyProtection="1">
      <alignment horizontal="right" vertical="center"/>
      <protection locked="0"/>
    </xf>
    <xf numFmtId="0" fontId="5" fillId="2" borderId="0" xfId="0" applyFont="1" applyFill="1"/>
    <xf numFmtId="0" fontId="25" fillId="2" borderId="0" xfId="0" applyFont="1" applyFill="1" applyAlignment="1">
      <alignment vertical="center"/>
    </xf>
    <xf numFmtId="0" fontId="15" fillId="2" borderId="0" xfId="0" applyFont="1" applyFill="1" applyAlignment="1">
      <alignment horizontal="left"/>
    </xf>
    <xf numFmtId="0" fontId="12" fillId="2" borderId="0" xfId="2" applyFont="1" applyFill="1"/>
    <xf numFmtId="0" fontId="23" fillId="2" borderId="0" xfId="1" applyFont="1" applyFill="1" applyAlignment="1" applyProtection="1">
      <alignment horizontal="center" vertical="center"/>
    </xf>
    <xf numFmtId="0" fontId="11" fillId="2" borderId="0" xfId="0" applyFont="1" applyFill="1" applyAlignment="1">
      <alignment vertical="center" wrapText="1"/>
    </xf>
    <xf numFmtId="0" fontId="11" fillId="2" borderId="0" xfId="0" applyFont="1" applyFill="1" applyAlignment="1">
      <alignment vertical="center"/>
    </xf>
    <xf numFmtId="0" fontId="16" fillId="2" borderId="0" xfId="1" applyFont="1" applyFill="1" applyAlignment="1" applyProtection="1">
      <alignment horizontal="center" vertical="center"/>
    </xf>
    <xf numFmtId="0" fontId="11" fillId="2" borderId="0" xfId="0" applyFont="1" applyFill="1" applyAlignment="1">
      <alignment horizontal="left" vertical="center"/>
    </xf>
    <xf numFmtId="0" fontId="17" fillId="2" borderId="0" xfId="1" applyFont="1" applyFill="1" applyBorder="1" applyAlignment="1" applyProtection="1">
      <alignment horizontal="left"/>
    </xf>
    <xf numFmtId="0" fontId="0" fillId="2" borderId="0" xfId="0" applyFill="1"/>
    <xf numFmtId="0" fontId="11" fillId="2" borderId="0" xfId="0" applyFont="1" applyFill="1" applyAlignment="1">
      <alignment horizontal="center" vertical="center" wrapText="1"/>
    </xf>
    <xf numFmtId="0" fontId="12" fillId="2" borderId="0" xfId="2" applyFont="1" applyFill="1" applyAlignment="1">
      <alignment vertical="center" wrapText="1"/>
    </xf>
    <xf numFmtId="0" fontId="0" fillId="2" borderId="0" xfId="0" applyFill="1" applyAlignment="1">
      <alignment vertical="center"/>
    </xf>
    <xf numFmtId="0" fontId="21" fillId="2" borderId="0" xfId="0" applyFont="1" applyFill="1" applyAlignment="1">
      <alignment horizontal="center" vertical="center"/>
    </xf>
    <xf numFmtId="0" fontId="0" fillId="2" borderId="0" xfId="0" applyFill="1" applyAlignment="1">
      <alignment horizontal="left" vertical="center"/>
    </xf>
    <xf numFmtId="0" fontId="1" fillId="2" borderId="0" xfId="0" applyFont="1" applyFill="1" applyAlignment="1">
      <alignment horizontal="left" vertical="center"/>
    </xf>
    <xf numFmtId="0" fontId="1" fillId="2" borderId="0" xfId="0" applyFont="1" applyFill="1" applyAlignment="1">
      <alignment vertical="center"/>
    </xf>
    <xf numFmtId="0" fontId="0" fillId="2" borderId="4" xfId="0" applyFill="1" applyBorder="1"/>
    <xf numFmtId="0" fontId="11" fillId="0" borderId="0" xfId="0" applyFont="1" applyAlignment="1">
      <alignment horizontal="center" vertical="center" wrapText="1"/>
    </xf>
    <xf numFmtId="0" fontId="10" fillId="2" borderId="0" xfId="0" applyFont="1" applyFill="1" applyAlignment="1">
      <alignment horizontal="justify" vertical="top" wrapText="1"/>
    </xf>
    <xf numFmtId="0" fontId="1" fillId="2" borderId="0" xfId="0" applyFont="1" applyFill="1" applyAlignment="1">
      <alignment vertical="top" wrapText="1"/>
    </xf>
    <xf numFmtId="0" fontId="7" fillId="2" borderId="0" xfId="0" applyFont="1" applyFill="1" applyAlignment="1">
      <alignment vertical="top" wrapText="1"/>
    </xf>
    <xf numFmtId="0" fontId="7" fillId="2" borderId="0" xfId="0" applyFont="1" applyFill="1" applyAlignment="1">
      <alignment horizontal="justify" vertical="top" wrapText="1"/>
    </xf>
    <xf numFmtId="0" fontId="8" fillId="2" borderId="0" xfId="0" applyFont="1" applyFill="1" applyAlignment="1">
      <alignment horizontal="left" vertical="top" wrapText="1"/>
    </xf>
    <xf numFmtId="0" fontId="2" fillId="2" borderId="0" xfId="0" applyFont="1" applyFill="1" applyAlignment="1">
      <alignment horizontal="justify" vertical="top" wrapText="1"/>
    </xf>
    <xf numFmtId="0" fontId="7" fillId="2" borderId="0" xfId="0" applyFont="1" applyFill="1" applyAlignment="1">
      <alignment horizontal="left" vertical="top" wrapText="1"/>
    </xf>
    <xf numFmtId="0" fontId="2" fillId="2" borderId="0" xfId="0" applyFont="1" applyFill="1" applyAlignment="1">
      <alignment vertical="top" wrapText="1"/>
    </xf>
    <xf numFmtId="0" fontId="2" fillId="2" borderId="0" xfId="0" applyFont="1" applyFill="1" applyAlignment="1">
      <alignment horizontal="left" vertical="top" wrapText="1"/>
    </xf>
    <xf numFmtId="3" fontId="9" fillId="4" borderId="22" xfId="0" applyNumberFormat="1" applyFont="1" applyFill="1" applyBorder="1" applyAlignment="1" applyProtection="1">
      <alignment vertical="center"/>
      <protection locked="0"/>
    </xf>
    <xf numFmtId="3" fontId="9" fillId="4" borderId="17" xfId="0" applyNumberFormat="1" applyFont="1" applyFill="1" applyBorder="1" applyAlignment="1" applyProtection="1">
      <alignment vertical="center"/>
      <protection locked="0"/>
    </xf>
    <xf numFmtId="0" fontId="3" fillId="6" borderId="19" xfId="1" applyFill="1" applyBorder="1" applyAlignment="1" applyProtection="1">
      <alignment horizontal="center" vertical="center" wrapText="1"/>
    </xf>
    <xf numFmtId="0" fontId="1" fillId="2" borderId="2" xfId="0" applyFont="1" applyFill="1" applyBorder="1" applyAlignment="1">
      <alignment horizontal="center" vertical="center" wrapText="1"/>
    </xf>
    <xf numFmtId="3" fontId="9" fillId="2" borderId="0" xfId="0" applyNumberFormat="1" applyFont="1" applyFill="1" applyAlignment="1">
      <alignment vertical="center"/>
    </xf>
    <xf numFmtId="3" fontId="0" fillId="2" borderId="0" xfId="0" applyNumberFormat="1" applyFill="1" applyAlignment="1">
      <alignment vertical="center"/>
    </xf>
    <xf numFmtId="0" fontId="3" fillId="2" borderId="0" xfId="1" applyFill="1" applyBorder="1" applyAlignment="1" applyProtection="1">
      <alignment horizontal="center" vertical="center" wrapText="1"/>
    </xf>
    <xf numFmtId="3" fontId="9" fillId="2" borderId="0" xfId="0" applyNumberFormat="1" applyFont="1" applyFill="1" applyAlignment="1" applyProtection="1">
      <alignment vertical="center"/>
      <protection locked="0"/>
    </xf>
    <xf numFmtId="0" fontId="9" fillId="2" borderId="0" xfId="0" applyFont="1" applyFill="1" applyAlignment="1">
      <alignment vertical="center"/>
    </xf>
    <xf numFmtId="0" fontId="9" fillId="3" borderId="8" xfId="0" applyFont="1" applyFill="1" applyBorder="1" applyAlignment="1">
      <alignment vertical="center"/>
    </xf>
    <xf numFmtId="0" fontId="9" fillId="3" borderId="18" xfId="0" applyFont="1" applyFill="1" applyBorder="1" applyAlignment="1">
      <alignment vertical="center"/>
    </xf>
    <xf numFmtId="0" fontId="9" fillId="2" borderId="0" xfId="0" applyFont="1" applyFill="1" applyAlignment="1">
      <alignment vertical="center" wrapText="1"/>
    </xf>
    <xf numFmtId="3" fontId="0" fillId="2" borderId="0" xfId="0" applyNumberFormat="1" applyFill="1" applyAlignment="1" applyProtection="1">
      <alignment vertical="center"/>
      <protection locked="0"/>
    </xf>
    <xf numFmtId="0" fontId="1" fillId="3" borderId="23" xfId="0" applyFont="1" applyFill="1" applyBorder="1" applyAlignment="1">
      <alignment vertical="center"/>
    </xf>
    <xf numFmtId="0" fontId="1" fillId="3" borderId="24" xfId="0" applyFont="1" applyFill="1" applyBorder="1" applyAlignment="1">
      <alignment vertical="center"/>
    </xf>
    <xf numFmtId="0" fontId="1" fillId="3" borderId="25" xfId="0" applyFont="1" applyFill="1" applyBorder="1" applyAlignment="1">
      <alignment vertical="center"/>
    </xf>
    <xf numFmtId="0" fontId="7" fillId="2" borderId="0" xfId="0" applyFont="1" applyFill="1" applyAlignment="1">
      <alignment horizontal="left" wrapText="1"/>
    </xf>
    <xf numFmtId="0" fontId="2" fillId="2" borderId="0" xfId="0" applyFont="1" applyFill="1" applyAlignment="1">
      <alignment horizontal="justify" wrapText="1"/>
    </xf>
    <xf numFmtId="0" fontId="2" fillId="0" borderId="0" xfId="0" applyFont="1" applyAlignment="1">
      <alignment horizontal="justify" wrapText="1"/>
    </xf>
    <xf numFmtId="0" fontId="7" fillId="2" borderId="0" xfId="0" applyFont="1" applyFill="1" applyAlignment="1">
      <alignment horizontal="justify" wrapText="1"/>
    </xf>
    <xf numFmtId="0" fontId="7" fillId="2" borderId="0" xfId="0" quotePrefix="1" applyFont="1" applyFill="1" applyAlignment="1">
      <alignment horizontal="left" vertical="top" wrapText="1" indent="1"/>
    </xf>
    <xf numFmtId="0" fontId="7" fillId="2" borderId="0" xfId="0" applyFont="1" applyFill="1" applyAlignment="1">
      <alignment wrapText="1"/>
    </xf>
    <xf numFmtId="0" fontId="7" fillId="2" borderId="0" xfId="0" quotePrefix="1" applyFont="1" applyFill="1" applyAlignment="1">
      <alignment vertical="top" wrapText="1"/>
    </xf>
    <xf numFmtId="3" fontId="9" fillId="4" borderId="21" xfId="0" applyNumberFormat="1" applyFont="1" applyFill="1" applyBorder="1" applyAlignment="1" applyProtection="1">
      <alignment vertical="center"/>
      <protection locked="0"/>
    </xf>
    <xf numFmtId="0" fontId="1" fillId="2" borderId="0" xfId="0" applyFont="1" applyFill="1"/>
    <xf numFmtId="3" fontId="0" fillId="2" borderId="0" xfId="0" applyNumberFormat="1" applyFill="1" applyAlignment="1">
      <alignment horizontal="center"/>
    </xf>
    <xf numFmtId="0" fontId="9" fillId="0" borderId="0" xfId="5" applyFont="1"/>
    <xf numFmtId="0" fontId="21" fillId="4" borderId="0" xfId="5" applyFont="1" applyFill="1" applyAlignment="1">
      <alignment horizontal="center" vertical="center" wrapText="1"/>
    </xf>
    <xf numFmtId="1" fontId="21" fillId="4" borderId="0" xfId="5" applyNumberFormat="1" applyFont="1" applyFill="1" applyAlignment="1">
      <alignment horizontal="center" vertical="center" wrapText="1"/>
    </xf>
    <xf numFmtId="0" fontId="21" fillId="4" borderId="0" xfId="5" applyFont="1" applyFill="1" applyAlignment="1">
      <alignment horizontal="left" vertical="center"/>
    </xf>
    <xf numFmtId="0" fontId="18" fillId="4" borderId="0" xfId="0" applyFont="1" applyFill="1" applyProtection="1">
      <protection locked="0"/>
    </xf>
    <xf numFmtId="0" fontId="18" fillId="4" borderId="0" xfId="0" applyFont="1" applyFill="1" applyAlignment="1" applyProtection="1">
      <alignment horizontal="left"/>
      <protection locked="0"/>
    </xf>
    <xf numFmtId="0" fontId="18" fillId="0" borderId="0" xfId="0" applyFont="1" applyProtection="1">
      <protection locked="0"/>
    </xf>
    <xf numFmtId="0" fontId="18" fillId="3" borderId="0" xfId="0" applyFont="1" applyFill="1" applyProtection="1">
      <protection locked="0"/>
    </xf>
    <xf numFmtId="0" fontId="18" fillId="3" borderId="0" xfId="0" applyFont="1" applyFill="1" applyAlignment="1" applyProtection="1">
      <alignment horizontal="left"/>
      <protection locked="0"/>
    </xf>
    <xf numFmtId="0" fontId="19" fillId="4" borderId="0" xfId="0" applyFont="1" applyFill="1" applyAlignment="1">
      <alignment horizontal="right"/>
    </xf>
    <xf numFmtId="3" fontId="26" fillId="7" borderId="0" xfId="0" applyNumberFormat="1" applyFont="1" applyFill="1" applyAlignment="1">
      <alignment horizontal="right" vertical="center"/>
    </xf>
    <xf numFmtId="3" fontId="0" fillId="0" borderId="0" xfId="0" applyNumberFormat="1"/>
    <xf numFmtId="0" fontId="24" fillId="2" borderId="0" xfId="0" applyFont="1" applyFill="1"/>
    <xf numFmtId="0" fontId="0" fillId="0" borderId="0" xfId="0" applyAlignment="1">
      <alignment horizontal="center" vertical="center" wrapText="1"/>
    </xf>
    <xf numFmtId="0" fontId="0" fillId="0" borderId="0" xfId="0" applyAlignment="1">
      <alignment wrapText="1"/>
    </xf>
    <xf numFmtId="0" fontId="1" fillId="0" borderId="0" xfId="0" applyFont="1" applyAlignment="1">
      <alignment horizontal="center" vertical="center" wrapText="1"/>
    </xf>
    <xf numFmtId="0" fontId="9" fillId="8" borderId="0" xfId="0" applyFont="1" applyFill="1" applyAlignment="1">
      <alignment vertical="center"/>
    </xf>
    <xf numFmtId="3" fontId="9" fillId="4" borderId="1" xfId="0" applyNumberFormat="1" applyFont="1" applyFill="1" applyBorder="1" applyAlignment="1" applyProtection="1">
      <alignment vertical="center"/>
      <protection locked="0"/>
    </xf>
    <xf numFmtId="0" fontId="1" fillId="3" borderId="27" xfId="0" applyFont="1" applyFill="1" applyBorder="1"/>
    <xf numFmtId="0" fontId="9" fillId="3" borderId="20" xfId="0" applyFont="1" applyFill="1" applyBorder="1" applyAlignment="1">
      <alignment horizontal="left" vertical="center" indent="2"/>
    </xf>
    <xf numFmtId="0" fontId="1" fillId="3" borderId="5" xfId="0" applyFont="1" applyFill="1" applyBorder="1" applyAlignment="1">
      <alignment horizontal="left" vertical="center" indent="1"/>
    </xf>
    <xf numFmtId="0" fontId="9" fillId="8" borderId="9" xfId="0" applyFont="1" applyFill="1" applyBorder="1" applyAlignment="1">
      <alignment vertical="center"/>
    </xf>
    <xf numFmtId="3" fontId="9" fillId="3" borderId="1" xfId="0" applyNumberFormat="1" applyFont="1" applyFill="1" applyBorder="1" applyAlignment="1">
      <alignment vertical="center"/>
    </xf>
    <xf numFmtId="0" fontId="7" fillId="0" borderId="0" xfId="0" applyFont="1" applyAlignment="1">
      <alignment vertical="top" wrapText="1"/>
    </xf>
    <xf numFmtId="0" fontId="0" fillId="0" borderId="5" xfId="0" applyBorder="1" applyAlignment="1" applyProtection="1">
      <alignment vertical="center"/>
      <protection locked="0"/>
    </xf>
    <xf numFmtId="0" fontId="26" fillId="7" borderId="0" xfId="0" applyFont="1" applyFill="1" applyAlignment="1">
      <alignment vertical="center"/>
    </xf>
    <xf numFmtId="0" fontId="26" fillId="7" borderId="0" xfId="0" applyFont="1" applyFill="1" applyAlignment="1">
      <alignment horizontal="center" vertical="center"/>
    </xf>
    <xf numFmtId="0" fontId="0" fillId="0" borderId="0" xfId="0" applyAlignment="1">
      <alignment horizontal="center" vertical="center"/>
    </xf>
    <xf numFmtId="0" fontId="2" fillId="4" borderId="8" xfId="0" applyFont="1" applyFill="1" applyBorder="1" applyAlignment="1">
      <alignment horizontal="center" vertical="center"/>
    </xf>
    <xf numFmtId="0" fontId="2" fillId="4" borderId="10" xfId="0" applyFont="1" applyFill="1" applyBorder="1" applyAlignment="1">
      <alignment horizontal="center" vertical="center"/>
    </xf>
    <xf numFmtId="0" fontId="2" fillId="4" borderId="9" xfId="0" applyFont="1" applyFill="1" applyBorder="1" applyAlignment="1">
      <alignment horizontal="center" vertical="center"/>
    </xf>
    <xf numFmtId="0" fontId="11" fillId="4" borderId="1" xfId="0" applyFont="1" applyFill="1" applyBorder="1" applyAlignment="1" applyProtection="1">
      <alignment horizontal="right" vertical="center"/>
      <protection locked="0"/>
    </xf>
    <xf numFmtId="0" fontId="11" fillId="2" borderId="0" xfId="0" applyFont="1" applyFill="1" applyAlignment="1">
      <alignment horizontal="left" wrapText="1"/>
    </xf>
    <xf numFmtId="0" fontId="11" fillId="0" borderId="8" xfId="0" applyFont="1" applyBorder="1" applyAlignment="1" applyProtection="1">
      <alignment horizontal="left" vertical="top" wrapText="1"/>
      <protection locked="0"/>
    </xf>
    <xf numFmtId="0" fontId="11" fillId="0" borderId="10" xfId="0" applyFont="1" applyBorder="1" applyAlignment="1" applyProtection="1">
      <alignment horizontal="left" vertical="top" wrapText="1"/>
      <protection locked="0"/>
    </xf>
    <xf numFmtId="0" fontId="11" fillId="0" borderId="9" xfId="0" applyFont="1" applyBorder="1" applyAlignment="1" applyProtection="1">
      <alignment horizontal="left" vertical="top" wrapText="1"/>
      <protection locked="0"/>
    </xf>
    <xf numFmtId="0" fontId="11" fillId="2" borderId="0" xfId="0" applyFont="1" applyFill="1" applyAlignment="1">
      <alignment horizontal="left" vertical="center" wrapText="1"/>
    </xf>
    <xf numFmtId="0" fontId="11" fillId="2" borderId="0" xfId="0" applyFont="1" applyFill="1" applyAlignment="1">
      <alignment horizontal="left" vertical="center"/>
    </xf>
    <xf numFmtId="0" fontId="11" fillId="0" borderId="0" xfId="0" applyFont="1" applyAlignment="1">
      <alignment horizontal="left" wrapText="1"/>
    </xf>
    <xf numFmtId="0" fontId="12" fillId="2" borderId="0" xfId="2" applyFont="1" applyFill="1" applyAlignment="1">
      <alignment horizontal="left" vertical="center" wrapText="1"/>
    </xf>
    <xf numFmtId="0" fontId="17" fillId="4" borderId="1" xfId="1" applyFont="1" applyFill="1" applyBorder="1" applyAlignment="1" applyProtection="1">
      <alignment horizontal="right" vertical="center"/>
      <protection locked="0"/>
    </xf>
    <xf numFmtId="0" fontId="12" fillId="0" borderId="0" xfId="0" applyFont="1" applyAlignment="1">
      <alignment horizontal="left" wrapText="1"/>
    </xf>
    <xf numFmtId="0" fontId="11" fillId="2" borderId="0" xfId="0" applyFont="1" applyFill="1" applyAlignment="1">
      <alignment horizontal="center"/>
    </xf>
    <xf numFmtId="0" fontId="11" fillId="2" borderId="6" xfId="0" applyFont="1" applyFill="1" applyBorder="1" applyAlignment="1">
      <alignment horizontal="center"/>
    </xf>
    <xf numFmtId="0" fontId="2" fillId="3" borderId="11"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12" xfId="0" applyFont="1" applyFill="1" applyBorder="1" applyAlignment="1">
      <alignment horizontal="center" vertical="center"/>
    </xf>
    <xf numFmtId="0" fontId="13" fillId="3" borderId="2" xfId="0" applyFont="1" applyFill="1" applyBorder="1" applyAlignment="1">
      <alignment horizontal="center" vertical="center"/>
    </xf>
    <xf numFmtId="0" fontId="13" fillId="3" borderId="0" xfId="0" applyFont="1" applyFill="1" applyAlignment="1">
      <alignment horizontal="center" vertical="center"/>
    </xf>
    <xf numFmtId="0" fontId="13" fillId="3" borderId="15" xfId="0" applyFont="1" applyFill="1" applyBorder="1" applyAlignment="1">
      <alignment horizontal="center" vertical="center"/>
    </xf>
    <xf numFmtId="0" fontId="6" fillId="3" borderId="13" xfId="0" applyFont="1" applyFill="1" applyBorder="1" applyAlignment="1">
      <alignment horizontal="center" vertical="center"/>
    </xf>
    <xf numFmtId="0" fontId="6" fillId="3" borderId="6" xfId="0" applyFont="1" applyFill="1" applyBorder="1" applyAlignment="1">
      <alignment horizontal="center" vertical="center"/>
    </xf>
    <xf numFmtId="0" fontId="6" fillId="3" borderId="14" xfId="0" applyFont="1" applyFill="1" applyBorder="1" applyAlignment="1">
      <alignment horizontal="center" vertical="center"/>
    </xf>
    <xf numFmtId="0" fontId="14" fillId="4" borderId="8" xfId="0" applyFont="1" applyFill="1" applyBorder="1" applyAlignment="1">
      <alignment horizontal="center" vertical="center"/>
    </xf>
    <xf numFmtId="0" fontId="14" fillId="4" borderId="10" xfId="0" applyFont="1" applyFill="1" applyBorder="1" applyAlignment="1">
      <alignment horizontal="center" vertical="center"/>
    </xf>
    <xf numFmtId="0" fontId="14" fillId="4" borderId="9" xfId="0" applyFont="1" applyFill="1" applyBorder="1" applyAlignment="1">
      <alignment horizontal="center" vertical="center"/>
    </xf>
    <xf numFmtId="0" fontId="10" fillId="2" borderId="0" xfId="0" applyFont="1" applyFill="1" applyAlignment="1">
      <alignment horizontal="justify" vertical="top" wrapText="1"/>
    </xf>
    <xf numFmtId="0" fontId="7" fillId="2" borderId="0" xfId="0" applyFont="1" applyFill="1" applyAlignment="1">
      <alignment horizontal="justify" vertical="top" wrapText="1"/>
    </xf>
    <xf numFmtId="0" fontId="7" fillId="0" borderId="0" xfId="0" applyFont="1" applyAlignment="1">
      <alignment horizontal="justify" vertical="top" wrapText="1"/>
    </xf>
    <xf numFmtId="0" fontId="9" fillId="3" borderId="8"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3" borderId="9" xfId="0" applyFont="1" applyFill="1" applyBorder="1" applyAlignment="1">
      <alignment horizontal="center" vertical="center" wrapText="1"/>
    </xf>
    <xf numFmtId="3" fontId="9" fillId="5" borderId="8" xfId="0" applyNumberFormat="1" applyFont="1" applyFill="1" applyBorder="1" applyAlignment="1" applyProtection="1">
      <alignment horizontal="center" vertical="center" wrapText="1"/>
      <protection locked="0"/>
    </xf>
    <xf numFmtId="3" fontId="9" fillId="5" borderId="10" xfId="0" applyNumberFormat="1" applyFont="1" applyFill="1" applyBorder="1" applyAlignment="1" applyProtection="1">
      <alignment horizontal="center" vertical="center" wrapText="1"/>
      <protection locked="0"/>
    </xf>
    <xf numFmtId="3" fontId="9" fillId="5" borderId="9" xfId="0" applyNumberFormat="1" applyFont="1" applyFill="1" applyBorder="1" applyAlignment="1" applyProtection="1">
      <alignment horizontal="center" vertical="center" wrapText="1"/>
      <protection locked="0"/>
    </xf>
    <xf numFmtId="0" fontId="0" fillId="2" borderId="0" xfId="0" applyFill="1" applyAlignment="1">
      <alignment horizontal="center" vertical="center"/>
    </xf>
    <xf numFmtId="0" fontId="6" fillId="3" borderId="8" xfId="0" applyFont="1" applyFill="1" applyBorder="1" applyAlignment="1">
      <alignment horizontal="left" vertical="center" wrapText="1"/>
    </xf>
    <xf numFmtId="0" fontId="6" fillId="3" borderId="10" xfId="0" applyFont="1" applyFill="1" applyBorder="1" applyAlignment="1">
      <alignment horizontal="left" vertical="center" wrapText="1"/>
    </xf>
    <xf numFmtId="0" fontId="6" fillId="3" borderId="9" xfId="0" applyFont="1" applyFill="1" applyBorder="1" applyAlignment="1">
      <alignment horizontal="left" vertical="center" wrapText="1"/>
    </xf>
    <xf numFmtId="0" fontId="9" fillId="2" borderId="11" xfId="0" applyFont="1" applyFill="1" applyBorder="1" applyAlignment="1">
      <alignment horizontal="center" vertical="center" wrapText="1"/>
    </xf>
    <xf numFmtId="0" fontId="9" fillId="2" borderId="13"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1" fillId="6" borderId="26" xfId="0" applyFont="1" applyFill="1" applyBorder="1" applyAlignment="1">
      <alignment horizontal="center" vertical="center" wrapText="1"/>
    </xf>
    <xf numFmtId="0" fontId="3" fillId="2" borderId="0" xfId="1" applyFill="1" applyBorder="1" applyAlignment="1" applyProtection="1">
      <alignment horizontal="center" vertical="center" wrapText="1"/>
    </xf>
    <xf numFmtId="0" fontId="1" fillId="2" borderId="0" xfId="0" applyFont="1" applyFill="1" applyAlignment="1">
      <alignment horizontal="left" vertical="center" wrapText="1"/>
    </xf>
    <xf numFmtId="0" fontId="9" fillId="3" borderId="8" xfId="0" applyFont="1" applyFill="1" applyBorder="1" applyAlignment="1">
      <alignment horizontal="left" vertical="center" wrapText="1"/>
    </xf>
    <xf numFmtId="0" fontId="9" fillId="3" borderId="9" xfId="0" applyFont="1" applyFill="1" applyBorder="1" applyAlignment="1">
      <alignment horizontal="left" vertical="center" wrapText="1"/>
    </xf>
    <xf numFmtId="0" fontId="1" fillId="2" borderId="0" xfId="0" applyFont="1" applyFill="1" applyAlignment="1">
      <alignment wrapText="1"/>
    </xf>
    <xf numFmtId="3" fontId="0" fillId="2" borderId="0" xfId="0" applyNumberFormat="1" applyFill="1" applyAlignment="1">
      <alignment horizontal="center" vertical="center"/>
    </xf>
    <xf numFmtId="0" fontId="1" fillId="0" borderId="0" xfId="0" applyFont="1" applyAlignment="1">
      <alignment horizontal="left" vertical="center" wrapText="1"/>
    </xf>
    <xf numFmtId="0" fontId="1" fillId="0" borderId="28" xfId="0" applyFont="1" applyBorder="1" applyAlignment="1">
      <alignment horizontal="left" vertical="center" wrapText="1"/>
    </xf>
  </cellXfs>
  <cellStyles count="6">
    <cellStyle name="Hyperlink" xfId="1" builtinId="8"/>
    <cellStyle name="Normal" xfId="0" builtinId="0"/>
    <cellStyle name="Normal 2" xfId="3" xr:uid="{0624E4DF-3751-4815-968B-5D30ED384E49}"/>
    <cellStyle name="Normal 2 3 2" xfId="5" xr:uid="{94287252-1D8F-4D9D-8BCD-50D47F7115A1}"/>
    <cellStyle name="Normal_Prov Indicators Index" xfId="2" xr:uid="{00000000-0005-0000-0000-000002000000}"/>
    <cellStyle name="Percent 2" xfId="4" xr:uid="{8F314726-31F6-400D-AA73-8FA8CAB8A72F}"/>
  </cellStyles>
  <dxfs count="16">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B050"/>
      </font>
      <fill>
        <patternFill patternType="none">
          <bgColor auto="1"/>
        </patternFill>
      </fill>
    </dxf>
    <dxf>
      <font>
        <color rgb="FFFF0000"/>
      </font>
      <fill>
        <patternFill patternType="none">
          <bgColor auto="1"/>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CC99FF"/>
      <color rgb="FFFF8F8F"/>
      <color rgb="FFD78F8D"/>
      <color rgb="FFFFF3FF"/>
      <color rgb="FFFFCCFF"/>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50986</xdr:colOff>
      <xdr:row>0</xdr:row>
      <xdr:rowOff>19050</xdr:rowOff>
    </xdr:from>
    <xdr:to>
      <xdr:col>1</xdr:col>
      <xdr:colOff>888701</xdr:colOff>
      <xdr:row>4</xdr:row>
      <xdr:rowOff>131332</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50986" y="19050"/>
          <a:ext cx="2054375" cy="8742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54429</xdr:colOff>
      <xdr:row>0</xdr:row>
      <xdr:rowOff>40821</xdr:rowOff>
    </xdr:from>
    <xdr:to>
      <xdr:col>0</xdr:col>
      <xdr:colOff>2878727</xdr:colOff>
      <xdr:row>4</xdr:row>
      <xdr:rowOff>340088</xdr:rowOff>
    </xdr:to>
    <xdr:pic>
      <xdr:nvPicPr>
        <xdr:cNvPr id="2" name="Picture 1" descr="Home-Office_RGB_AW">
          <a:extLst>
            <a:ext uri="{FF2B5EF4-FFF2-40B4-BE49-F238E27FC236}">
              <a16:creationId xmlns:a16="http://schemas.microsoft.com/office/drawing/2014/main" id="{9323F50F-310F-46B1-AECC-71A3A979637F}"/>
            </a:ext>
          </a:extLst>
        </xdr:cNvPr>
        <xdr:cNvPicPr/>
      </xdr:nvPicPr>
      <xdr:blipFill>
        <a:blip xmlns:r="http://schemas.openxmlformats.org/officeDocument/2006/relationships" r:embed="rId1" cstate="print"/>
        <a:srcRect/>
        <a:stretch>
          <a:fillRect/>
        </a:stretch>
      </xdr:blipFill>
      <xdr:spPr bwMode="auto">
        <a:xfrm>
          <a:off x="54429" y="40821"/>
          <a:ext cx="2820488" cy="110825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hclg.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AC397"/>
  <sheetViews>
    <sheetView tabSelected="1" zoomScaleNormal="100" workbookViewId="0">
      <selection activeCell="A7" sqref="A7:F7"/>
    </sheetView>
  </sheetViews>
  <sheetFormatPr defaultColWidth="9.140625" defaultRowHeight="15" customHeight="1"/>
  <cols>
    <col min="1" max="1" width="17.85546875" style="5" customWidth="1"/>
    <col min="2" max="2" width="20.5703125" style="5" customWidth="1"/>
    <col min="3" max="3" width="34.42578125" style="5" customWidth="1"/>
    <col min="4" max="6" width="20.5703125" style="5" customWidth="1"/>
    <col min="7" max="7" width="3" style="5" customWidth="1"/>
    <col min="8" max="9" width="18.5703125" style="5" customWidth="1"/>
    <col min="10" max="16384" width="9.140625" style="5"/>
  </cols>
  <sheetData>
    <row r="1" spans="1:26" ht="15" customHeight="1">
      <c r="A1" s="20"/>
      <c r="B1" s="121"/>
      <c r="C1" s="20"/>
      <c r="D1" s="20"/>
      <c r="E1" s="20"/>
      <c r="F1" s="20"/>
      <c r="G1" s="20"/>
      <c r="H1" s="20"/>
      <c r="I1" s="20"/>
      <c r="J1" s="20"/>
      <c r="K1" s="20"/>
      <c r="L1" s="20"/>
      <c r="M1" s="20"/>
      <c r="N1" s="20"/>
      <c r="O1" s="20"/>
      <c r="P1" s="20"/>
      <c r="Q1" s="20"/>
      <c r="R1" s="20"/>
      <c r="S1" s="20"/>
      <c r="T1" s="20"/>
      <c r="U1" s="20"/>
      <c r="V1" s="20"/>
      <c r="W1" s="20"/>
      <c r="X1" s="20"/>
      <c r="Y1" s="20"/>
      <c r="Z1" s="20"/>
    </row>
    <row r="2" spans="1:26" ht="15" customHeight="1">
      <c r="A2" s="20"/>
      <c r="B2" s="121"/>
      <c r="C2" s="20"/>
      <c r="D2" s="20"/>
      <c r="E2" s="20"/>
      <c r="F2" s="20"/>
      <c r="G2" s="20"/>
      <c r="H2" s="20"/>
      <c r="I2" s="20"/>
      <c r="J2" s="20"/>
      <c r="K2" s="20"/>
      <c r="L2" s="20"/>
      <c r="M2" s="20"/>
      <c r="N2" s="20"/>
      <c r="O2" s="20"/>
      <c r="P2" s="20"/>
      <c r="Q2" s="20"/>
      <c r="R2" s="20"/>
      <c r="S2" s="20"/>
      <c r="T2" s="20"/>
      <c r="U2" s="20"/>
      <c r="V2" s="20"/>
      <c r="W2" s="20"/>
      <c r="X2" s="20"/>
      <c r="Y2" s="20"/>
      <c r="Z2" s="20"/>
    </row>
    <row r="3" spans="1:26" ht="15" customHeight="1">
      <c r="A3" s="20"/>
      <c r="B3" s="121"/>
      <c r="C3" s="20"/>
      <c r="D3" s="20"/>
      <c r="E3" s="20"/>
      <c r="F3" s="20"/>
      <c r="G3" s="20"/>
      <c r="H3" s="20"/>
      <c r="I3" s="20"/>
      <c r="J3" s="20"/>
      <c r="K3" s="20"/>
      <c r="L3" s="20"/>
      <c r="M3" s="20"/>
      <c r="N3" s="20"/>
      <c r="O3" s="20"/>
      <c r="P3" s="20"/>
      <c r="Q3" s="20"/>
      <c r="R3" s="20"/>
      <c r="S3" s="20"/>
      <c r="T3" s="20"/>
      <c r="U3" s="20"/>
      <c r="V3" s="20"/>
      <c r="W3" s="20"/>
      <c r="X3" s="20"/>
      <c r="Y3" s="20"/>
      <c r="Z3" s="20"/>
    </row>
    <row r="4" spans="1:26" ht="15" customHeight="1">
      <c r="A4" s="20"/>
      <c r="B4" s="121"/>
      <c r="C4" s="20"/>
      <c r="D4" s="20"/>
      <c r="E4" s="20"/>
      <c r="F4" s="20"/>
      <c r="G4" s="20"/>
      <c r="H4" s="20"/>
      <c r="I4" s="20"/>
      <c r="J4" s="20"/>
      <c r="K4" s="20"/>
      <c r="L4" s="20"/>
      <c r="M4" s="20"/>
      <c r="N4" s="20"/>
      <c r="O4" s="20"/>
      <c r="P4" s="20"/>
      <c r="Q4" s="20"/>
      <c r="R4" s="20"/>
      <c r="S4" s="20"/>
      <c r="T4" s="20"/>
      <c r="U4" s="20"/>
      <c r="V4" s="20"/>
      <c r="W4" s="20"/>
      <c r="X4" s="20"/>
      <c r="Y4" s="20"/>
      <c r="Z4" s="20"/>
    </row>
    <row r="5" spans="1:26" ht="15" customHeight="1" thickBot="1">
      <c r="A5" s="20"/>
      <c r="B5" s="122"/>
      <c r="C5" s="20"/>
      <c r="D5" s="20"/>
      <c r="E5" s="20"/>
      <c r="F5" s="20"/>
      <c r="G5" s="20"/>
      <c r="H5" s="20"/>
      <c r="I5" s="20"/>
      <c r="J5" s="20"/>
      <c r="K5" s="20"/>
      <c r="L5" s="20"/>
      <c r="M5" s="20"/>
      <c r="N5" s="20"/>
      <c r="O5" s="20"/>
      <c r="P5" s="20"/>
      <c r="Q5" s="20"/>
      <c r="R5" s="20"/>
      <c r="S5" s="20"/>
      <c r="T5" s="20"/>
      <c r="U5" s="20"/>
      <c r="V5" s="20"/>
      <c r="W5" s="20"/>
      <c r="X5" s="20"/>
      <c r="Y5" s="20"/>
      <c r="Z5" s="20"/>
    </row>
    <row r="6" spans="1:26" s="14" customFormat="1" ht="15" customHeight="1">
      <c r="A6" s="123" t="s">
        <v>107</v>
      </c>
      <c r="B6" s="124"/>
      <c r="C6" s="124"/>
      <c r="D6" s="124"/>
      <c r="E6" s="124"/>
      <c r="F6" s="125"/>
      <c r="G6" s="13"/>
      <c r="H6" s="13"/>
      <c r="I6" s="13"/>
      <c r="J6" s="24"/>
      <c r="K6" s="24"/>
      <c r="L6" s="24"/>
      <c r="M6" s="24"/>
      <c r="N6" s="24"/>
      <c r="O6" s="24"/>
      <c r="P6" s="24"/>
      <c r="Q6" s="24"/>
      <c r="R6" s="24"/>
      <c r="S6" s="24"/>
      <c r="T6" s="24"/>
      <c r="U6" s="24"/>
      <c r="V6" s="24"/>
      <c r="W6" s="24"/>
      <c r="X6" s="24"/>
      <c r="Y6" s="24"/>
      <c r="Z6" s="24"/>
    </row>
    <row r="7" spans="1:26" s="14" customFormat="1" ht="20.100000000000001" customHeight="1">
      <c r="A7" s="126" t="s">
        <v>1</v>
      </c>
      <c r="B7" s="127"/>
      <c r="C7" s="127"/>
      <c r="D7" s="127"/>
      <c r="E7" s="127"/>
      <c r="F7" s="128"/>
      <c r="G7" s="13"/>
      <c r="H7" s="13"/>
      <c r="I7" s="13"/>
      <c r="J7" s="24"/>
      <c r="K7" s="24"/>
      <c r="L7" s="24"/>
      <c r="M7" s="24"/>
      <c r="N7" s="24"/>
      <c r="O7" s="24"/>
      <c r="P7" s="24"/>
      <c r="Q7" s="24"/>
      <c r="R7" s="24"/>
      <c r="S7" s="24"/>
      <c r="T7" s="24"/>
      <c r="U7" s="24"/>
      <c r="V7" s="24"/>
      <c r="W7" s="24"/>
      <c r="X7" s="24"/>
      <c r="Y7" s="24"/>
      <c r="Z7" s="24"/>
    </row>
    <row r="8" spans="1:26" s="14" customFormat="1" ht="18" customHeight="1" thickBot="1">
      <c r="A8" s="129" t="s">
        <v>2</v>
      </c>
      <c r="B8" s="130"/>
      <c r="C8" s="130"/>
      <c r="D8" s="130"/>
      <c r="E8" s="130"/>
      <c r="F8" s="131"/>
      <c r="G8" s="13"/>
      <c r="H8" s="13"/>
      <c r="I8" s="13"/>
      <c r="J8" s="24"/>
      <c r="K8" s="24"/>
      <c r="L8" s="24"/>
      <c r="M8" s="24"/>
      <c r="N8" s="24"/>
      <c r="O8" s="24"/>
      <c r="P8" s="24"/>
      <c r="Q8" s="24"/>
      <c r="R8" s="24"/>
      <c r="S8" s="24"/>
      <c r="T8" s="24"/>
      <c r="U8" s="24"/>
      <c r="V8" s="24"/>
      <c r="W8" s="24"/>
      <c r="X8" s="24"/>
      <c r="Y8" s="24"/>
      <c r="Z8" s="24"/>
    </row>
    <row r="9" spans="1:26" ht="8.1" customHeight="1" thickBot="1">
      <c r="A9" s="20"/>
      <c r="B9" s="20"/>
      <c r="C9" s="20"/>
      <c r="D9" s="20"/>
      <c r="E9" s="20"/>
      <c r="F9" s="20"/>
      <c r="G9" s="20"/>
      <c r="H9" s="20"/>
      <c r="I9" s="20"/>
      <c r="J9" s="20"/>
      <c r="K9" s="20"/>
      <c r="L9" s="20"/>
      <c r="M9" s="20"/>
      <c r="N9" s="20"/>
      <c r="O9" s="20"/>
      <c r="P9" s="20"/>
      <c r="Q9" s="20"/>
      <c r="R9" s="20"/>
      <c r="S9" s="20"/>
      <c r="T9" s="20"/>
      <c r="U9" s="20"/>
      <c r="V9" s="20"/>
      <c r="W9" s="20"/>
      <c r="X9" s="20"/>
      <c r="Y9" s="20"/>
      <c r="Z9" s="20"/>
    </row>
    <row r="10" spans="1:26" ht="24.95" customHeight="1" thickBot="1">
      <c r="A10" s="132" t="str">
        <f>VLOOKUP(B250,B251:D316,2,FALSE)</f>
        <v>West Yorkshire</v>
      </c>
      <c r="B10" s="133"/>
      <c r="C10" s="133"/>
      <c r="D10" s="133"/>
      <c r="E10" s="133"/>
      <c r="F10" s="134"/>
      <c r="G10" s="20"/>
      <c r="H10" s="25"/>
      <c r="I10" s="25"/>
      <c r="J10" s="20"/>
      <c r="K10" s="20"/>
      <c r="L10" s="20"/>
      <c r="M10" s="20"/>
      <c r="N10" s="20"/>
      <c r="O10" s="20"/>
      <c r="P10" s="20"/>
      <c r="Q10" s="20"/>
      <c r="R10" s="20"/>
      <c r="S10" s="20"/>
      <c r="T10" s="20"/>
      <c r="U10" s="20"/>
      <c r="V10" s="20"/>
      <c r="W10" s="20"/>
      <c r="X10" s="20"/>
      <c r="Y10" s="20"/>
      <c r="Z10" s="20"/>
    </row>
    <row r="11" spans="1:26" ht="18" customHeight="1" thickBot="1">
      <c r="A11" s="107" t="str">
        <f>VLOOKUP(B250,B251:D316,3,FALSE)</f>
        <v>E31000045</v>
      </c>
      <c r="B11" s="108"/>
      <c r="C11" s="108"/>
      <c r="D11" s="108"/>
      <c r="E11" s="108"/>
      <c r="F11" s="109"/>
      <c r="G11" s="20"/>
      <c r="H11" s="25"/>
      <c r="I11" s="25"/>
      <c r="J11" s="20"/>
      <c r="K11" s="20"/>
      <c r="L11" s="20"/>
      <c r="M11" s="20"/>
      <c r="N11" s="20"/>
      <c r="O11" s="20"/>
      <c r="P11" s="20"/>
      <c r="Q11" s="20"/>
      <c r="R11" s="20"/>
      <c r="S11" s="20"/>
      <c r="T11" s="20"/>
      <c r="U11" s="20"/>
      <c r="V11" s="20"/>
      <c r="W11" s="20"/>
      <c r="X11" s="20"/>
      <c r="Y11" s="20"/>
      <c r="Z11" s="20"/>
    </row>
    <row r="12" spans="1:26" ht="8.1"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ht="8.1" customHeight="1">
      <c r="A13" s="26"/>
      <c r="B13" s="26"/>
      <c r="C13" s="26"/>
      <c r="D13" s="26"/>
      <c r="E13" s="26"/>
      <c r="F13" s="26"/>
      <c r="G13" s="26"/>
      <c r="H13" s="26"/>
      <c r="I13" s="26"/>
      <c r="J13" s="20"/>
      <c r="K13" s="20"/>
      <c r="L13" s="20"/>
      <c r="M13" s="20"/>
      <c r="N13" s="20"/>
      <c r="O13" s="20"/>
      <c r="P13" s="20"/>
      <c r="Q13" s="20"/>
      <c r="R13" s="20"/>
      <c r="S13" s="20"/>
      <c r="T13" s="20"/>
      <c r="U13" s="20"/>
      <c r="V13" s="20"/>
      <c r="W13" s="20"/>
      <c r="X13" s="20"/>
      <c r="Y13" s="20"/>
      <c r="Z13" s="20"/>
    </row>
    <row r="14" spans="1:26" ht="15" customHeight="1">
      <c r="A14" s="27" t="s">
        <v>3</v>
      </c>
      <c r="B14" s="118" t="s">
        <v>4</v>
      </c>
      <c r="C14" s="118"/>
      <c r="D14" s="118"/>
      <c r="E14" s="118"/>
      <c r="F14" s="118"/>
      <c r="G14" s="36"/>
      <c r="H14" s="36"/>
      <c r="I14" s="36"/>
      <c r="J14" s="20"/>
      <c r="K14" s="20"/>
      <c r="L14" s="20"/>
      <c r="M14" s="20"/>
      <c r="N14" s="20"/>
      <c r="O14" s="20"/>
      <c r="P14" s="20"/>
      <c r="Q14" s="20"/>
      <c r="R14" s="20"/>
      <c r="S14" s="20"/>
      <c r="T14" s="20"/>
      <c r="U14" s="20"/>
      <c r="V14" s="20"/>
      <c r="W14" s="20"/>
      <c r="X14" s="20"/>
      <c r="Y14" s="20"/>
      <c r="Z14" s="20"/>
    </row>
    <row r="15" spans="1:26" s="15" customFormat="1" ht="15" customHeight="1">
      <c r="A15" s="28" t="s">
        <v>5</v>
      </c>
      <c r="B15" s="115" t="s">
        <v>6</v>
      </c>
      <c r="C15" s="115"/>
      <c r="D15" s="115"/>
      <c r="E15" s="115"/>
      <c r="F15" s="115"/>
      <c r="G15" s="29"/>
      <c r="H15" s="29"/>
      <c r="I15" s="29"/>
      <c r="J15" s="30"/>
      <c r="K15" s="30"/>
      <c r="L15" s="30"/>
      <c r="M15" s="30"/>
      <c r="N15" s="30"/>
      <c r="O15" s="30"/>
      <c r="P15" s="30"/>
      <c r="Q15" s="30"/>
      <c r="R15" s="30"/>
      <c r="S15" s="30"/>
      <c r="T15" s="30"/>
      <c r="U15" s="30"/>
      <c r="V15" s="30"/>
      <c r="W15" s="30"/>
      <c r="X15" s="30"/>
      <c r="Y15" s="30"/>
      <c r="Z15" s="30"/>
    </row>
    <row r="16" spans="1:26" ht="15" customHeight="1">
      <c r="A16" s="31" t="s">
        <v>7</v>
      </c>
      <c r="B16" s="116" t="s">
        <v>8</v>
      </c>
      <c r="C16" s="116"/>
      <c r="D16" s="116"/>
      <c r="E16" s="116"/>
      <c r="F16" s="116"/>
      <c r="G16" s="20"/>
      <c r="H16" s="20"/>
      <c r="I16" s="20"/>
      <c r="J16" s="20"/>
      <c r="K16" s="20"/>
      <c r="L16" s="20"/>
      <c r="M16" s="20"/>
      <c r="N16" s="20"/>
      <c r="O16" s="20"/>
      <c r="P16" s="20"/>
      <c r="Q16" s="20"/>
      <c r="R16" s="20"/>
      <c r="S16" s="20"/>
      <c r="T16" s="20"/>
      <c r="U16" s="20"/>
      <c r="V16" s="20"/>
      <c r="W16" s="20"/>
      <c r="X16" s="20"/>
      <c r="Y16" s="20"/>
      <c r="Z16" s="20"/>
    </row>
    <row r="17" spans="1:26" ht="15" customHeight="1">
      <c r="A17" s="31"/>
      <c r="B17" s="32"/>
      <c r="C17" s="32"/>
      <c r="D17" s="32"/>
      <c r="E17" s="32"/>
      <c r="F17" s="32"/>
      <c r="G17" s="20"/>
      <c r="H17" s="20"/>
      <c r="I17" s="20"/>
      <c r="J17" s="20"/>
      <c r="K17" s="20"/>
      <c r="L17" s="20"/>
      <c r="M17" s="20"/>
      <c r="N17" s="20"/>
      <c r="O17" s="20"/>
      <c r="P17" s="20"/>
      <c r="Q17" s="20"/>
      <c r="R17" s="20"/>
      <c r="S17" s="20"/>
      <c r="T17" s="20"/>
      <c r="U17" s="20"/>
      <c r="V17" s="20"/>
      <c r="W17" s="20"/>
      <c r="X17" s="20"/>
      <c r="Y17" s="20"/>
      <c r="Z17" s="20"/>
    </row>
    <row r="18" spans="1:26">
      <c r="A18" s="19" t="s">
        <v>9</v>
      </c>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spans="1:26" ht="27.6" customHeight="1">
      <c r="A19" s="89">
        <v>999999</v>
      </c>
      <c r="B19" s="111" t="s">
        <v>10</v>
      </c>
      <c r="C19" s="111"/>
      <c r="D19" s="111"/>
      <c r="E19" s="111"/>
      <c r="F19" s="111"/>
      <c r="G19" s="19"/>
      <c r="H19" s="19"/>
      <c r="I19" s="19"/>
      <c r="J19" s="20"/>
      <c r="K19" s="20"/>
      <c r="L19" s="20"/>
      <c r="M19" s="20"/>
      <c r="N19" s="20"/>
      <c r="O19" s="20"/>
      <c r="P19" s="20"/>
      <c r="Q19" s="20"/>
      <c r="R19" s="20"/>
      <c r="S19" s="20"/>
      <c r="T19" s="20"/>
      <c r="U19" s="20"/>
      <c r="V19" s="20"/>
      <c r="W19" s="20"/>
      <c r="X19" s="20"/>
      <c r="Y19" s="20"/>
      <c r="Z19" s="20"/>
    </row>
    <row r="20" spans="1:26" ht="1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15" customHeight="1">
      <c r="A21" s="117" t="s">
        <v>215</v>
      </c>
      <c r="B21" s="117"/>
      <c r="C21" s="117"/>
      <c r="D21" s="117"/>
      <c r="E21" s="117"/>
      <c r="F21" s="117"/>
      <c r="G21" s="20"/>
      <c r="H21" s="20"/>
      <c r="I21" s="20"/>
      <c r="J21" s="20"/>
      <c r="K21" s="20"/>
      <c r="L21" s="20"/>
      <c r="M21" s="20"/>
      <c r="N21" s="20"/>
      <c r="O21" s="20"/>
      <c r="P21" s="20"/>
      <c r="Q21" s="20"/>
      <c r="R21" s="20"/>
      <c r="S21" s="20"/>
      <c r="T21" s="20"/>
      <c r="U21" s="20"/>
      <c r="V21" s="20"/>
      <c r="W21" s="20"/>
      <c r="X21" s="20"/>
      <c r="Y21" s="20"/>
      <c r="Z21" s="20"/>
    </row>
    <row r="22" spans="1:26" ht="15" customHeight="1" thickBot="1">
      <c r="A22" s="33"/>
      <c r="B22" s="33"/>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5" customHeight="1" thickBot="1">
      <c r="A23" s="4" t="s">
        <v>11</v>
      </c>
      <c r="B23" s="110"/>
      <c r="C23" s="110"/>
      <c r="D23" s="110"/>
      <c r="E23" s="110"/>
      <c r="F23" s="110"/>
      <c r="G23" s="20"/>
      <c r="H23" s="20"/>
      <c r="I23" s="20"/>
      <c r="J23" s="20"/>
      <c r="K23" s="20"/>
      <c r="L23" s="20"/>
      <c r="M23" s="20"/>
      <c r="N23" s="20"/>
      <c r="O23" s="20"/>
      <c r="P23" s="20"/>
      <c r="Q23" s="20"/>
      <c r="R23" s="20"/>
      <c r="S23" s="20"/>
      <c r="T23" s="20"/>
      <c r="U23" s="20"/>
      <c r="V23" s="20"/>
      <c r="W23" s="20"/>
      <c r="X23" s="20"/>
      <c r="Y23" s="20"/>
      <c r="Z23" s="20"/>
    </row>
    <row r="24" spans="1:26" ht="15" customHeight="1" thickBot="1">
      <c r="A24" s="4" t="s">
        <v>12</v>
      </c>
      <c r="B24" s="119"/>
      <c r="C24" s="110"/>
      <c r="D24" s="110"/>
      <c r="E24" s="110"/>
      <c r="F24" s="110"/>
      <c r="G24" s="20"/>
      <c r="H24" s="20"/>
      <c r="I24" s="20"/>
      <c r="J24" s="20"/>
      <c r="K24" s="20"/>
      <c r="L24" s="20"/>
      <c r="M24" s="20"/>
      <c r="N24" s="20"/>
      <c r="O24" s="20"/>
      <c r="P24" s="20"/>
      <c r="Q24" s="20"/>
      <c r="R24" s="20"/>
      <c r="S24" s="20"/>
      <c r="T24" s="20"/>
      <c r="U24" s="20"/>
      <c r="V24" s="20"/>
      <c r="W24" s="20"/>
      <c r="X24" s="20"/>
      <c r="Y24" s="20"/>
      <c r="Z24" s="20"/>
    </row>
    <row r="25" spans="1:26" s="20" customFormat="1" ht="21.6" customHeight="1">
      <c r="A25" s="21"/>
      <c r="B25" s="22"/>
      <c r="C25" s="23"/>
      <c r="D25" s="23"/>
      <c r="E25" s="23"/>
      <c r="F25" s="23"/>
    </row>
    <row r="26" spans="1:26" ht="15" customHeight="1" thickBot="1">
      <c r="A26" s="120" t="s">
        <v>13</v>
      </c>
      <c r="B26" s="120"/>
      <c r="C26" s="120"/>
      <c r="D26" s="120"/>
      <c r="E26" s="120"/>
      <c r="F26" s="120"/>
      <c r="G26" s="34"/>
      <c r="H26" s="34"/>
      <c r="I26" s="20"/>
      <c r="J26" s="20"/>
      <c r="K26" s="20"/>
      <c r="L26" s="20"/>
      <c r="M26" s="20"/>
      <c r="N26" s="20"/>
      <c r="O26" s="20"/>
      <c r="P26" s="20"/>
      <c r="Q26" s="20"/>
      <c r="R26" s="20"/>
      <c r="S26" s="20"/>
      <c r="T26" s="20"/>
      <c r="U26" s="20"/>
      <c r="V26" s="20"/>
      <c r="W26" s="20"/>
      <c r="X26" s="20"/>
      <c r="Y26" s="20"/>
      <c r="Z26" s="20"/>
    </row>
    <row r="27" spans="1:26" ht="77.45" customHeight="1" thickBot="1">
      <c r="A27" s="112"/>
      <c r="B27" s="113"/>
      <c r="C27" s="113"/>
      <c r="D27" s="113"/>
      <c r="E27" s="113"/>
      <c r="F27" s="114"/>
      <c r="G27" s="34"/>
      <c r="H27" s="34"/>
      <c r="I27" s="20"/>
      <c r="J27" s="20"/>
      <c r="K27" s="20"/>
      <c r="L27" s="20"/>
      <c r="M27" s="20"/>
      <c r="N27" s="20"/>
      <c r="O27" s="20"/>
      <c r="P27" s="20"/>
      <c r="Q27" s="20"/>
      <c r="R27" s="20"/>
      <c r="S27" s="20"/>
      <c r="T27" s="20"/>
      <c r="U27" s="20"/>
      <c r="V27" s="20"/>
      <c r="W27" s="20"/>
      <c r="X27" s="20"/>
      <c r="Y27" s="20"/>
      <c r="Z27" s="20"/>
    </row>
    <row r="28" spans="1:26" ht="15" customHeight="1">
      <c r="A28" s="34"/>
      <c r="B28" s="42"/>
      <c r="C28" s="42"/>
      <c r="D28" s="42"/>
      <c r="E28" s="42"/>
      <c r="F28" s="42"/>
      <c r="G28" s="34"/>
      <c r="H28" s="34"/>
      <c r="I28" s="20"/>
      <c r="J28" s="20"/>
      <c r="K28" s="20"/>
      <c r="L28" s="20"/>
      <c r="M28" s="20"/>
      <c r="N28" s="20"/>
      <c r="O28" s="20"/>
      <c r="P28" s="20"/>
      <c r="Q28" s="20"/>
      <c r="R28" s="20"/>
      <c r="S28" s="20"/>
      <c r="T28" s="20"/>
      <c r="U28" s="20"/>
      <c r="V28" s="20"/>
      <c r="W28" s="20"/>
      <c r="X28" s="20"/>
      <c r="Y28" s="20"/>
      <c r="Z28" s="20"/>
    </row>
    <row r="29" spans="1:26" ht="27" customHeight="1">
      <c r="A29" s="34"/>
      <c r="B29" s="34"/>
      <c r="C29" s="34"/>
      <c r="D29" s="34"/>
      <c r="E29" s="34"/>
      <c r="F29" s="34"/>
      <c r="G29" s="34"/>
      <c r="H29" s="34"/>
      <c r="I29" s="20"/>
      <c r="J29" s="20"/>
      <c r="K29" s="20"/>
      <c r="L29" s="20"/>
      <c r="M29" s="20"/>
      <c r="N29" s="20"/>
      <c r="O29" s="20"/>
      <c r="P29" s="20"/>
      <c r="Q29" s="20"/>
      <c r="R29" s="20"/>
      <c r="S29" s="20"/>
      <c r="T29" s="20"/>
      <c r="U29" s="20"/>
      <c r="V29" s="20"/>
      <c r="W29" s="20"/>
      <c r="X29" s="20"/>
      <c r="Y29" s="20"/>
      <c r="Z29" s="20"/>
    </row>
    <row r="30" spans="1:26" ht="27" customHeight="1">
      <c r="A30" s="34"/>
      <c r="B30" s="34"/>
      <c r="C30" s="34"/>
      <c r="D30" s="34"/>
      <c r="E30" s="34"/>
      <c r="F30" s="34"/>
      <c r="G30" s="34"/>
      <c r="H30" s="34"/>
      <c r="I30" s="20"/>
      <c r="J30" s="20"/>
      <c r="K30" s="20"/>
      <c r="L30" s="20"/>
      <c r="M30" s="20"/>
      <c r="N30" s="20"/>
      <c r="O30" s="20"/>
      <c r="P30" s="20"/>
      <c r="Q30" s="20"/>
      <c r="R30" s="20"/>
      <c r="S30" s="20"/>
      <c r="T30" s="20"/>
      <c r="U30" s="20"/>
      <c r="V30" s="20"/>
      <c r="W30" s="20"/>
      <c r="X30" s="20"/>
      <c r="Y30" s="20"/>
      <c r="Z30" s="20"/>
    </row>
    <row r="31" spans="1:26" ht="27" customHeight="1">
      <c r="A31" s="34"/>
      <c r="B31" s="34"/>
      <c r="C31" s="34"/>
      <c r="D31" s="34"/>
      <c r="E31" s="34"/>
      <c r="F31" s="34"/>
      <c r="G31" s="34"/>
      <c r="H31" s="34"/>
      <c r="I31" s="20"/>
      <c r="J31" s="20"/>
      <c r="K31" s="20"/>
      <c r="L31" s="20"/>
      <c r="M31" s="20"/>
      <c r="N31" s="20"/>
      <c r="O31" s="20"/>
      <c r="P31" s="20"/>
      <c r="Q31" s="20"/>
      <c r="R31" s="20"/>
      <c r="S31" s="20"/>
      <c r="T31" s="20"/>
      <c r="U31" s="20"/>
      <c r="V31" s="20"/>
      <c r="W31" s="20"/>
      <c r="X31" s="20"/>
      <c r="Y31" s="20"/>
      <c r="Z31" s="20"/>
    </row>
    <row r="32" spans="1:26" ht="27" customHeight="1">
      <c r="A32" s="34"/>
      <c r="B32" s="34"/>
      <c r="C32" s="34"/>
      <c r="D32" s="34"/>
      <c r="E32" s="34"/>
      <c r="F32" s="34"/>
      <c r="G32" s="34"/>
      <c r="H32" s="34"/>
      <c r="I32" s="20"/>
      <c r="J32" s="20"/>
      <c r="K32" s="20"/>
      <c r="L32" s="20"/>
      <c r="M32" s="20"/>
      <c r="N32" s="20"/>
      <c r="O32" s="20"/>
      <c r="P32" s="20"/>
      <c r="Q32" s="20"/>
      <c r="R32" s="20"/>
      <c r="S32" s="20"/>
      <c r="T32" s="20"/>
      <c r="U32" s="20"/>
      <c r="V32" s="20"/>
      <c r="W32" s="20"/>
      <c r="X32" s="20"/>
      <c r="Y32" s="20"/>
      <c r="Z32" s="20"/>
    </row>
    <row r="33" spans="1:26" ht="27" customHeight="1">
      <c r="A33" s="34"/>
      <c r="B33" s="34"/>
      <c r="C33" s="34"/>
      <c r="D33" s="34"/>
      <c r="E33" s="34"/>
      <c r="F33" s="34"/>
      <c r="G33" s="34"/>
      <c r="H33" s="34"/>
      <c r="I33" s="20"/>
      <c r="J33" s="20"/>
      <c r="K33" s="20"/>
      <c r="L33" s="20"/>
      <c r="M33" s="20"/>
      <c r="N33" s="20"/>
      <c r="O33" s="20"/>
      <c r="P33" s="20"/>
      <c r="Q33" s="20"/>
      <c r="R33" s="20"/>
      <c r="S33" s="20"/>
      <c r="T33" s="20"/>
      <c r="U33" s="20"/>
      <c r="V33" s="20"/>
      <c r="W33" s="20"/>
      <c r="X33" s="20"/>
      <c r="Y33" s="20"/>
      <c r="Z33" s="20"/>
    </row>
    <row r="34" spans="1:26" ht="27" customHeight="1">
      <c r="A34" s="34"/>
      <c r="B34" s="34"/>
      <c r="C34" s="34"/>
      <c r="D34" s="34"/>
      <c r="E34" s="34"/>
      <c r="F34" s="34"/>
      <c r="G34" s="34"/>
      <c r="H34" s="34"/>
      <c r="I34" s="20"/>
      <c r="J34" s="20"/>
      <c r="K34" s="20"/>
      <c r="L34" s="20"/>
      <c r="M34" s="20"/>
      <c r="N34" s="20"/>
      <c r="O34" s="20"/>
      <c r="P34" s="20"/>
      <c r="Q34" s="20"/>
      <c r="R34" s="20"/>
      <c r="S34" s="20"/>
      <c r="T34" s="20"/>
      <c r="U34" s="20"/>
      <c r="V34" s="20"/>
      <c r="W34" s="20"/>
      <c r="X34" s="20"/>
      <c r="Y34" s="20"/>
      <c r="Z34" s="20"/>
    </row>
    <row r="35" spans="1:26" ht="27" customHeight="1">
      <c r="A35" s="34"/>
      <c r="B35" s="34"/>
      <c r="C35" s="34"/>
      <c r="D35" s="34"/>
      <c r="E35" s="34"/>
      <c r="F35" s="34"/>
      <c r="G35" s="34"/>
      <c r="H35" s="34"/>
      <c r="I35" s="20"/>
      <c r="J35" s="20"/>
      <c r="K35" s="20"/>
      <c r="L35" s="20"/>
      <c r="M35" s="20"/>
      <c r="N35" s="20"/>
      <c r="O35" s="20"/>
      <c r="P35" s="20"/>
      <c r="Q35" s="20"/>
      <c r="R35" s="20"/>
      <c r="S35" s="20"/>
      <c r="T35" s="20"/>
      <c r="U35" s="20"/>
      <c r="V35" s="20"/>
      <c r="W35" s="20"/>
      <c r="X35" s="20"/>
      <c r="Y35" s="20"/>
      <c r="Z35" s="20"/>
    </row>
    <row r="36" spans="1:26" ht="27" customHeight="1">
      <c r="A36" s="34"/>
      <c r="B36" s="34"/>
      <c r="C36" s="34"/>
      <c r="D36" s="34"/>
      <c r="E36" s="34"/>
      <c r="F36" s="34"/>
      <c r="G36" s="34"/>
      <c r="H36" s="34"/>
      <c r="I36" s="20"/>
      <c r="J36" s="20"/>
      <c r="K36" s="20"/>
      <c r="L36" s="20"/>
      <c r="M36" s="20"/>
      <c r="N36" s="20"/>
      <c r="O36" s="20"/>
      <c r="P36" s="20"/>
      <c r="Q36" s="20"/>
      <c r="R36" s="20"/>
      <c r="S36" s="20"/>
      <c r="T36" s="20"/>
      <c r="U36" s="20"/>
      <c r="V36" s="20"/>
      <c r="W36" s="20"/>
      <c r="X36" s="20"/>
      <c r="Y36" s="20"/>
      <c r="Z36" s="20"/>
    </row>
    <row r="37" spans="1:26" ht="27" customHeight="1">
      <c r="A37" s="34"/>
      <c r="B37" s="34"/>
      <c r="C37" s="34"/>
      <c r="D37" s="34"/>
      <c r="E37" s="34"/>
      <c r="F37" s="34"/>
      <c r="G37" s="34"/>
      <c r="H37" s="34"/>
      <c r="I37" s="20"/>
      <c r="J37" s="20"/>
      <c r="K37" s="20"/>
      <c r="L37" s="20"/>
      <c r="M37" s="20"/>
      <c r="N37" s="20"/>
      <c r="O37" s="20"/>
      <c r="P37" s="20"/>
      <c r="Q37" s="20"/>
      <c r="R37" s="20"/>
      <c r="S37" s="20"/>
      <c r="T37" s="20"/>
      <c r="U37" s="20"/>
      <c r="V37" s="20"/>
      <c r="W37" s="20"/>
      <c r="X37" s="20"/>
      <c r="Y37" s="20"/>
      <c r="Z37" s="20"/>
    </row>
    <row r="38" spans="1:26" ht="27" customHeight="1">
      <c r="A38" s="34"/>
      <c r="B38" s="34"/>
      <c r="C38" s="34"/>
      <c r="D38" s="34"/>
      <c r="E38" s="34"/>
      <c r="F38" s="34"/>
      <c r="G38" s="34"/>
      <c r="H38" s="34"/>
      <c r="I38" s="20"/>
      <c r="J38" s="20"/>
      <c r="K38" s="20"/>
      <c r="L38" s="20"/>
      <c r="M38" s="20"/>
      <c r="N38" s="20"/>
      <c r="O38" s="20"/>
      <c r="P38" s="20"/>
      <c r="Q38" s="20"/>
      <c r="R38" s="20"/>
      <c r="S38" s="20"/>
      <c r="T38" s="20"/>
      <c r="U38" s="20"/>
      <c r="V38" s="20"/>
      <c r="W38" s="20"/>
      <c r="X38" s="20"/>
      <c r="Y38" s="20"/>
      <c r="Z38" s="20"/>
    </row>
    <row r="39" spans="1:26" ht="27" customHeight="1">
      <c r="A39" s="34"/>
      <c r="B39" s="34"/>
      <c r="C39" s="34"/>
      <c r="D39" s="34"/>
      <c r="E39" s="34"/>
      <c r="F39" s="34"/>
      <c r="G39" s="34"/>
      <c r="H39" s="34"/>
      <c r="I39" s="20"/>
      <c r="J39" s="20"/>
      <c r="K39" s="20"/>
      <c r="L39" s="20"/>
      <c r="M39" s="20"/>
      <c r="N39" s="20"/>
      <c r="O39" s="20"/>
      <c r="P39" s="20"/>
      <c r="Q39" s="20"/>
      <c r="R39" s="20"/>
      <c r="S39" s="20"/>
      <c r="T39" s="20"/>
      <c r="U39" s="20"/>
      <c r="V39" s="20"/>
      <c r="W39" s="20"/>
      <c r="X39" s="20"/>
      <c r="Y39" s="20"/>
      <c r="Z39" s="20"/>
    </row>
    <row r="40" spans="1:26" ht="27" customHeight="1">
      <c r="A40" s="34"/>
      <c r="B40" s="34"/>
      <c r="C40" s="34"/>
      <c r="D40" s="34"/>
      <c r="E40" s="34"/>
      <c r="F40" s="34"/>
      <c r="G40" s="34"/>
      <c r="H40" s="34"/>
      <c r="I40" s="20"/>
      <c r="J40" s="20"/>
      <c r="K40" s="20"/>
      <c r="L40" s="20"/>
      <c r="M40" s="20"/>
      <c r="N40" s="20"/>
      <c r="O40" s="20"/>
      <c r="P40" s="20"/>
      <c r="Q40" s="20"/>
      <c r="R40" s="20"/>
      <c r="S40" s="20"/>
      <c r="T40" s="20"/>
      <c r="U40" s="20"/>
      <c r="V40" s="20"/>
      <c r="W40" s="20"/>
      <c r="X40" s="20"/>
      <c r="Y40" s="20"/>
      <c r="Z40" s="20"/>
    </row>
    <row r="41" spans="1:26" ht="27" customHeight="1">
      <c r="A41" s="34"/>
      <c r="B41" s="34"/>
      <c r="C41" s="34"/>
      <c r="D41" s="34"/>
      <c r="E41" s="34"/>
      <c r="F41" s="34"/>
      <c r="G41" s="34"/>
      <c r="H41" s="34"/>
      <c r="I41" s="20"/>
      <c r="J41" s="20"/>
      <c r="K41" s="20"/>
      <c r="L41" s="20"/>
      <c r="M41" s="20"/>
      <c r="N41" s="20"/>
      <c r="O41" s="20"/>
      <c r="P41" s="20"/>
      <c r="Q41" s="20"/>
      <c r="R41" s="20"/>
      <c r="S41" s="20"/>
      <c r="T41" s="20"/>
      <c r="U41" s="20"/>
      <c r="V41" s="20"/>
      <c r="W41" s="20"/>
      <c r="X41" s="20"/>
      <c r="Y41" s="20"/>
      <c r="Z41" s="20"/>
    </row>
    <row r="42" spans="1:26" ht="27" customHeight="1">
      <c r="A42" s="34"/>
      <c r="B42" s="34"/>
      <c r="C42" s="34"/>
      <c r="D42" s="34"/>
      <c r="E42" s="34"/>
      <c r="F42" s="34"/>
      <c r="G42" s="34"/>
      <c r="H42" s="34"/>
      <c r="I42" s="20"/>
      <c r="J42" s="20"/>
      <c r="K42" s="20"/>
      <c r="L42" s="20"/>
      <c r="M42" s="20"/>
      <c r="N42" s="20"/>
      <c r="O42" s="20"/>
      <c r="P42" s="20"/>
      <c r="Q42" s="20"/>
      <c r="R42" s="20"/>
      <c r="S42" s="20"/>
      <c r="T42" s="20"/>
      <c r="U42" s="20"/>
      <c r="V42" s="20"/>
      <c r="W42" s="20"/>
      <c r="X42" s="20"/>
      <c r="Y42" s="20"/>
      <c r="Z42" s="20"/>
    </row>
    <row r="43" spans="1:26" ht="27" customHeight="1">
      <c r="A43" s="34"/>
      <c r="B43" s="34"/>
      <c r="C43" s="34"/>
      <c r="D43" s="34"/>
      <c r="E43" s="34"/>
      <c r="F43" s="34"/>
      <c r="G43" s="34"/>
      <c r="H43" s="34"/>
      <c r="I43" s="20"/>
      <c r="J43" s="20"/>
      <c r="K43" s="20"/>
      <c r="L43" s="20"/>
      <c r="M43" s="20"/>
      <c r="N43" s="20"/>
      <c r="O43" s="20"/>
      <c r="P43" s="20"/>
      <c r="Q43" s="20"/>
      <c r="R43" s="20"/>
      <c r="S43" s="20"/>
      <c r="T43" s="20"/>
      <c r="U43" s="20"/>
      <c r="V43" s="20"/>
      <c r="W43" s="20"/>
      <c r="X43" s="20"/>
      <c r="Y43" s="20"/>
      <c r="Z43" s="20"/>
    </row>
    <row r="44" spans="1:26" ht="27" customHeight="1">
      <c r="A44" s="34"/>
      <c r="B44" s="34"/>
      <c r="C44" s="34"/>
      <c r="D44" s="34"/>
      <c r="E44" s="34"/>
      <c r="F44" s="34"/>
      <c r="G44" s="34"/>
      <c r="H44" s="34"/>
      <c r="I44" s="20"/>
      <c r="J44" s="20"/>
      <c r="K44" s="20"/>
      <c r="L44" s="20"/>
      <c r="M44" s="20"/>
      <c r="N44" s="20"/>
      <c r="O44" s="20"/>
      <c r="P44" s="20"/>
      <c r="Q44" s="20"/>
      <c r="R44" s="20"/>
      <c r="S44" s="20"/>
      <c r="T44" s="20"/>
      <c r="U44" s="20"/>
      <c r="V44" s="20"/>
      <c r="W44" s="20"/>
      <c r="X44" s="20"/>
      <c r="Y44" s="20"/>
      <c r="Z44" s="20"/>
    </row>
    <row r="45" spans="1:26" ht="27" customHeight="1">
      <c r="A45" s="34"/>
      <c r="B45" s="34"/>
      <c r="C45" s="34"/>
      <c r="D45" s="34"/>
      <c r="E45" s="34"/>
      <c r="F45" s="34"/>
      <c r="G45" s="34"/>
      <c r="H45" s="34"/>
      <c r="I45" s="20"/>
      <c r="J45" s="20"/>
      <c r="K45" s="20"/>
      <c r="L45" s="20"/>
      <c r="M45" s="20"/>
      <c r="N45" s="20"/>
      <c r="O45" s="20"/>
      <c r="P45" s="20"/>
      <c r="Q45" s="20"/>
      <c r="R45" s="20"/>
      <c r="S45" s="20"/>
      <c r="T45" s="20"/>
      <c r="U45" s="20"/>
      <c r="V45" s="20"/>
      <c r="W45" s="20"/>
      <c r="X45" s="20"/>
      <c r="Y45" s="20"/>
      <c r="Z45" s="20"/>
    </row>
    <row r="46" spans="1:26" ht="27" customHeight="1">
      <c r="A46" s="34"/>
      <c r="B46" s="34"/>
      <c r="C46" s="34"/>
      <c r="D46" s="34"/>
      <c r="E46" s="34"/>
      <c r="F46" s="34"/>
      <c r="G46" s="34"/>
      <c r="H46" s="34"/>
      <c r="I46" s="20"/>
      <c r="J46" s="20"/>
      <c r="K46" s="20"/>
      <c r="L46" s="20"/>
      <c r="M46" s="20"/>
      <c r="N46" s="20"/>
      <c r="O46" s="20"/>
      <c r="P46" s="20"/>
      <c r="Q46" s="20"/>
      <c r="R46" s="20"/>
      <c r="S46" s="20"/>
      <c r="T46" s="20"/>
      <c r="U46" s="20"/>
      <c r="V46" s="20"/>
      <c r="W46" s="20"/>
      <c r="X46" s="20"/>
      <c r="Y46" s="20"/>
      <c r="Z46" s="20"/>
    </row>
    <row r="47" spans="1:26" ht="27" customHeight="1">
      <c r="A47" s="34"/>
      <c r="B47" s="34"/>
      <c r="C47" s="34"/>
      <c r="D47" s="34"/>
      <c r="E47" s="34"/>
      <c r="F47" s="34"/>
      <c r="G47" s="34"/>
      <c r="H47" s="34"/>
      <c r="I47" s="20"/>
      <c r="J47" s="20"/>
      <c r="K47" s="20"/>
      <c r="L47" s="20"/>
      <c r="M47" s="20"/>
      <c r="N47" s="20"/>
      <c r="O47" s="20"/>
      <c r="P47" s="20"/>
      <c r="Q47" s="20"/>
      <c r="R47" s="20"/>
      <c r="S47" s="20"/>
      <c r="T47" s="20"/>
      <c r="U47" s="20"/>
      <c r="V47" s="20"/>
      <c r="W47" s="20"/>
      <c r="X47" s="20"/>
      <c r="Y47" s="20"/>
      <c r="Z47" s="20"/>
    </row>
    <row r="48" spans="1:26" ht="27" customHeight="1">
      <c r="A48" s="34"/>
      <c r="B48" s="34"/>
      <c r="C48" s="34"/>
      <c r="D48" s="34"/>
      <c r="E48" s="34"/>
      <c r="F48" s="34"/>
      <c r="G48" s="34"/>
      <c r="H48" s="34"/>
      <c r="I48" s="20"/>
      <c r="J48" s="20"/>
      <c r="K48" s="20"/>
      <c r="L48" s="20"/>
      <c r="M48" s="20"/>
      <c r="N48" s="20"/>
      <c r="O48" s="20"/>
      <c r="P48" s="20"/>
      <c r="Q48" s="20"/>
      <c r="R48" s="20"/>
      <c r="S48" s="20"/>
      <c r="T48" s="20"/>
      <c r="U48" s="20"/>
      <c r="V48" s="20"/>
      <c r="W48" s="20"/>
      <c r="X48" s="20"/>
      <c r="Y48" s="20"/>
      <c r="Z48" s="20"/>
    </row>
    <row r="49" spans="1:26" ht="27" customHeight="1">
      <c r="A49" s="34"/>
      <c r="B49" s="34"/>
      <c r="C49" s="34"/>
      <c r="D49" s="34"/>
      <c r="E49" s="34"/>
      <c r="F49" s="34"/>
      <c r="G49" s="34"/>
      <c r="H49" s="34"/>
      <c r="I49" s="20"/>
      <c r="J49" s="20"/>
      <c r="K49" s="20"/>
      <c r="L49" s="20"/>
      <c r="M49" s="20"/>
      <c r="N49" s="20"/>
      <c r="O49" s="20"/>
      <c r="P49" s="20"/>
      <c r="Q49" s="20"/>
      <c r="R49" s="20"/>
      <c r="S49" s="20"/>
      <c r="T49" s="20"/>
      <c r="U49" s="20"/>
      <c r="V49" s="20"/>
      <c r="W49" s="20"/>
      <c r="X49" s="20"/>
      <c r="Y49" s="20"/>
      <c r="Z49" s="20"/>
    </row>
    <row r="50" spans="1:26" ht="27" customHeight="1">
      <c r="A50" s="34"/>
      <c r="B50" s="34"/>
      <c r="C50" s="34"/>
      <c r="D50" s="34"/>
      <c r="E50" s="34"/>
      <c r="F50" s="34"/>
      <c r="G50" s="34"/>
      <c r="H50" s="34"/>
      <c r="I50" s="20"/>
      <c r="J50" s="20"/>
      <c r="K50" s="20"/>
      <c r="L50" s="20"/>
      <c r="M50" s="20"/>
      <c r="N50" s="20"/>
      <c r="O50" s="20"/>
      <c r="P50" s="20"/>
      <c r="Q50" s="20"/>
      <c r="R50" s="20"/>
      <c r="S50" s="20"/>
      <c r="T50" s="20"/>
      <c r="U50" s="20"/>
      <c r="V50" s="20"/>
      <c r="W50" s="20"/>
      <c r="X50" s="20"/>
      <c r="Y50" s="20"/>
      <c r="Z50" s="20"/>
    </row>
    <row r="51" spans="1:26" ht="27" customHeight="1">
      <c r="A51" s="34"/>
      <c r="B51" s="34"/>
      <c r="C51" s="34"/>
      <c r="D51" s="34"/>
      <c r="E51" s="34"/>
      <c r="F51" s="34"/>
      <c r="G51" s="34"/>
      <c r="H51" s="34"/>
      <c r="I51" s="20"/>
      <c r="J51" s="20"/>
      <c r="K51" s="20"/>
      <c r="L51" s="20"/>
      <c r="M51" s="20"/>
      <c r="N51" s="20"/>
      <c r="O51" s="20"/>
      <c r="P51" s="20"/>
      <c r="Q51" s="20"/>
      <c r="R51" s="20"/>
      <c r="S51" s="20"/>
      <c r="T51" s="20"/>
      <c r="U51" s="20"/>
      <c r="V51" s="20"/>
      <c r="W51" s="20"/>
      <c r="X51" s="20"/>
      <c r="Y51" s="20"/>
      <c r="Z51" s="20"/>
    </row>
    <row r="52" spans="1:26" ht="27" customHeight="1">
      <c r="A52" s="34"/>
      <c r="B52" s="34"/>
      <c r="C52" s="34"/>
      <c r="D52" s="34"/>
      <c r="E52" s="34"/>
      <c r="F52" s="34"/>
      <c r="G52" s="34"/>
      <c r="H52" s="34"/>
      <c r="I52" s="20"/>
      <c r="J52" s="20"/>
      <c r="K52" s="20"/>
      <c r="L52" s="20"/>
      <c r="M52" s="20"/>
      <c r="N52" s="20"/>
      <c r="O52" s="20"/>
      <c r="P52" s="20"/>
      <c r="Q52" s="20"/>
      <c r="R52" s="20"/>
      <c r="S52" s="20"/>
      <c r="T52" s="20"/>
      <c r="U52" s="20"/>
      <c r="V52" s="20"/>
      <c r="W52" s="20"/>
      <c r="X52" s="20"/>
      <c r="Y52" s="20"/>
      <c r="Z52" s="20"/>
    </row>
    <row r="53" spans="1:26" ht="15" customHeight="1">
      <c r="A53" s="34"/>
      <c r="B53" s="34"/>
      <c r="C53" s="34"/>
      <c r="D53" s="34"/>
      <c r="E53" s="34"/>
      <c r="F53" s="34"/>
      <c r="G53" s="34"/>
      <c r="H53" s="34"/>
      <c r="I53" s="20"/>
      <c r="J53" s="20"/>
      <c r="K53" s="20"/>
      <c r="L53" s="20"/>
      <c r="M53" s="20"/>
      <c r="N53" s="20"/>
      <c r="O53" s="20"/>
      <c r="P53" s="20"/>
      <c r="Q53" s="20"/>
      <c r="R53" s="20"/>
      <c r="S53" s="20"/>
      <c r="T53" s="20"/>
      <c r="U53" s="20"/>
      <c r="V53" s="20"/>
      <c r="W53" s="20"/>
      <c r="X53" s="20"/>
      <c r="Y53" s="20"/>
      <c r="Z53" s="20"/>
    </row>
    <row r="54" spans="1:26" ht="15" customHeight="1">
      <c r="A54" s="34"/>
      <c r="B54" s="34"/>
      <c r="C54" s="34"/>
      <c r="D54" s="34"/>
      <c r="E54" s="34"/>
      <c r="F54" s="34"/>
      <c r="G54" s="34"/>
      <c r="H54" s="34"/>
      <c r="I54" s="20"/>
      <c r="J54" s="20"/>
      <c r="K54" s="20"/>
      <c r="L54" s="20"/>
      <c r="M54" s="20"/>
      <c r="N54" s="20"/>
      <c r="O54" s="20"/>
      <c r="P54" s="20"/>
      <c r="Q54" s="20"/>
      <c r="R54" s="20"/>
      <c r="S54" s="20"/>
      <c r="T54" s="20"/>
      <c r="U54" s="20"/>
      <c r="V54" s="20"/>
      <c r="W54" s="20"/>
      <c r="X54" s="20"/>
      <c r="Y54" s="20"/>
      <c r="Z54" s="20"/>
    </row>
    <row r="55" spans="1:26" ht="15" customHeight="1">
      <c r="A55" s="34"/>
      <c r="B55" s="34"/>
      <c r="C55" s="34"/>
      <c r="D55" s="34"/>
      <c r="E55" s="34"/>
      <c r="F55" s="34"/>
      <c r="G55" s="34"/>
      <c r="H55" s="34"/>
      <c r="I55" s="20"/>
      <c r="J55" s="20"/>
      <c r="K55" s="20"/>
      <c r="L55" s="20"/>
      <c r="M55" s="20"/>
      <c r="N55" s="20"/>
      <c r="O55" s="20"/>
      <c r="P55" s="20"/>
      <c r="Q55" s="20"/>
      <c r="R55" s="20"/>
      <c r="S55" s="20"/>
      <c r="T55" s="20"/>
      <c r="U55" s="20"/>
      <c r="V55" s="20"/>
      <c r="W55" s="20"/>
      <c r="X55" s="20"/>
      <c r="Y55" s="20"/>
      <c r="Z55" s="20"/>
    </row>
    <row r="56" spans="1:26" ht="15" customHeight="1">
      <c r="A56" s="34"/>
      <c r="B56" s="34"/>
      <c r="C56" s="34"/>
      <c r="D56" s="34"/>
      <c r="E56" s="34"/>
      <c r="F56" s="34"/>
      <c r="G56" s="34"/>
      <c r="H56" s="34"/>
      <c r="I56" s="20"/>
      <c r="J56" s="20"/>
      <c r="K56" s="20"/>
      <c r="L56" s="20"/>
      <c r="M56" s="20"/>
      <c r="N56" s="20"/>
      <c r="O56" s="20"/>
      <c r="P56" s="20"/>
      <c r="Q56" s="20"/>
      <c r="R56" s="20"/>
      <c r="S56" s="20"/>
      <c r="T56" s="20"/>
      <c r="U56" s="20"/>
      <c r="V56" s="20"/>
      <c r="W56" s="20"/>
      <c r="X56" s="20"/>
      <c r="Y56" s="20"/>
      <c r="Z56" s="20"/>
    </row>
    <row r="57" spans="1:26" ht="15" customHeight="1">
      <c r="A57" s="34"/>
      <c r="B57" s="34"/>
      <c r="C57" s="34"/>
      <c r="D57" s="34"/>
      <c r="E57" s="34"/>
      <c r="F57" s="34"/>
      <c r="G57" s="34"/>
      <c r="H57" s="34"/>
      <c r="I57" s="20"/>
      <c r="J57" s="20"/>
      <c r="K57" s="20"/>
      <c r="L57" s="20"/>
      <c r="M57" s="20"/>
      <c r="N57" s="20"/>
      <c r="O57" s="20"/>
      <c r="P57" s="20"/>
      <c r="Q57" s="20"/>
      <c r="R57" s="20"/>
      <c r="S57" s="20"/>
      <c r="T57" s="20"/>
      <c r="U57" s="20"/>
      <c r="V57" s="20"/>
      <c r="W57" s="20"/>
      <c r="X57" s="20"/>
      <c r="Y57" s="20"/>
      <c r="Z57" s="20"/>
    </row>
    <row r="58" spans="1:26" ht="15" customHeight="1">
      <c r="A58" s="34"/>
      <c r="B58" s="34"/>
      <c r="C58" s="34"/>
      <c r="D58" s="34"/>
      <c r="E58" s="34"/>
      <c r="F58" s="34"/>
      <c r="G58" s="20"/>
      <c r="H58" s="20"/>
      <c r="I58" s="20"/>
      <c r="J58" s="20"/>
      <c r="K58" s="20"/>
      <c r="L58" s="20"/>
      <c r="M58" s="20"/>
      <c r="N58" s="20"/>
      <c r="O58" s="20"/>
      <c r="P58" s="20"/>
      <c r="Q58" s="20"/>
      <c r="R58" s="20"/>
      <c r="S58" s="20"/>
      <c r="T58" s="20"/>
      <c r="U58" s="20"/>
      <c r="V58" s="20"/>
      <c r="W58" s="20"/>
      <c r="X58" s="20"/>
      <c r="Y58" s="20"/>
      <c r="Z58" s="20"/>
    </row>
    <row r="59" spans="1:26" ht="15" customHeight="1">
      <c r="A59" s="34"/>
      <c r="B59" s="34"/>
      <c r="C59" s="34"/>
      <c r="D59" s="34"/>
      <c r="E59" s="34"/>
      <c r="F59" s="34"/>
      <c r="G59" s="20"/>
      <c r="H59" s="20"/>
      <c r="I59" s="20"/>
      <c r="J59" s="20"/>
      <c r="K59" s="20"/>
      <c r="L59" s="20"/>
      <c r="M59" s="20"/>
      <c r="N59" s="20"/>
      <c r="O59" s="20"/>
      <c r="P59" s="20"/>
      <c r="Q59" s="20"/>
      <c r="R59" s="20"/>
      <c r="S59" s="20"/>
      <c r="T59" s="20"/>
      <c r="U59" s="20"/>
      <c r="V59" s="20"/>
      <c r="W59" s="20"/>
      <c r="X59" s="20"/>
      <c r="Y59" s="20"/>
      <c r="Z59" s="20"/>
    </row>
    <row r="60" spans="1:26" ht="15" customHeight="1">
      <c r="A60" s="35"/>
      <c r="B60" s="34"/>
      <c r="C60" s="34"/>
      <c r="D60" s="34"/>
      <c r="E60" s="34"/>
      <c r="F60" s="34"/>
      <c r="G60" s="20"/>
      <c r="H60" s="20"/>
      <c r="I60" s="20"/>
      <c r="J60" s="20"/>
      <c r="K60" s="20"/>
      <c r="L60" s="20"/>
      <c r="M60" s="20"/>
      <c r="N60" s="20"/>
      <c r="O60" s="20"/>
      <c r="P60" s="20"/>
      <c r="Q60" s="20"/>
      <c r="R60" s="20"/>
      <c r="S60" s="20"/>
      <c r="T60" s="20"/>
      <c r="U60" s="20"/>
      <c r="V60" s="20"/>
      <c r="W60" s="20"/>
      <c r="X60" s="20"/>
      <c r="Y60" s="20"/>
      <c r="Z60" s="20"/>
    </row>
    <row r="61" spans="1:26" ht="15" customHeight="1">
      <c r="A61" s="35"/>
      <c r="B61" s="34"/>
      <c r="C61" s="34"/>
      <c r="D61" s="34"/>
      <c r="E61" s="34"/>
      <c r="F61" s="34"/>
      <c r="G61" s="20"/>
      <c r="H61" s="20"/>
      <c r="I61" s="20"/>
      <c r="J61" s="20"/>
      <c r="K61" s="20"/>
      <c r="L61" s="20"/>
      <c r="M61" s="20"/>
      <c r="N61" s="20"/>
      <c r="O61" s="20"/>
      <c r="P61" s="20"/>
      <c r="Q61" s="20"/>
      <c r="R61" s="20"/>
      <c r="S61" s="20"/>
      <c r="T61" s="20"/>
      <c r="U61" s="20"/>
      <c r="V61" s="20"/>
      <c r="W61" s="20"/>
      <c r="X61" s="20"/>
      <c r="Y61" s="20"/>
      <c r="Z61" s="20"/>
    </row>
    <row r="62" spans="1:26" ht="15" customHeight="1">
      <c r="A62" s="35"/>
      <c r="B62" s="34"/>
      <c r="C62" s="34"/>
      <c r="D62" s="34"/>
      <c r="E62" s="34"/>
      <c r="F62" s="34"/>
      <c r="G62" s="20"/>
      <c r="H62" s="20"/>
      <c r="I62" s="20"/>
      <c r="J62" s="20"/>
      <c r="K62" s="20"/>
      <c r="L62" s="20"/>
      <c r="M62" s="20"/>
      <c r="N62" s="20"/>
      <c r="O62" s="20"/>
      <c r="P62" s="20"/>
      <c r="Q62" s="20"/>
      <c r="R62" s="20"/>
      <c r="S62" s="20"/>
      <c r="T62" s="20"/>
      <c r="U62" s="20"/>
      <c r="V62" s="20"/>
      <c r="W62" s="20"/>
      <c r="X62" s="20"/>
      <c r="Y62" s="20"/>
      <c r="Z62" s="20"/>
    </row>
    <row r="63" spans="1:26" ht="15" customHeight="1">
      <c r="A63" s="35"/>
      <c r="B63" s="34"/>
      <c r="C63" s="34"/>
      <c r="D63" s="34"/>
      <c r="E63" s="34"/>
      <c r="F63" s="34"/>
      <c r="G63" s="20"/>
      <c r="H63" s="20"/>
      <c r="I63" s="20"/>
      <c r="J63" s="20"/>
      <c r="K63" s="20"/>
      <c r="L63" s="20"/>
      <c r="M63" s="20"/>
      <c r="N63" s="20"/>
      <c r="O63" s="20"/>
      <c r="P63" s="20"/>
      <c r="Q63" s="20"/>
      <c r="R63" s="20"/>
      <c r="S63" s="20"/>
      <c r="T63" s="20"/>
      <c r="U63" s="20"/>
      <c r="V63" s="20"/>
      <c r="W63" s="20"/>
      <c r="X63" s="20"/>
      <c r="Y63" s="20"/>
      <c r="Z63" s="20"/>
    </row>
    <row r="64" spans="1:26" ht="15" customHeight="1">
      <c r="A64" s="43"/>
      <c r="B64"/>
      <c r="C64"/>
      <c r="D64"/>
      <c r="E64"/>
      <c r="F64"/>
    </row>
    <row r="65" spans="1:6" ht="15" customHeight="1">
      <c r="A65" s="43"/>
      <c r="B65"/>
      <c r="C65"/>
      <c r="D65"/>
      <c r="E65"/>
      <c r="F65"/>
    </row>
    <row r="66" spans="1:6" ht="15" customHeight="1">
      <c r="A66" s="43"/>
      <c r="B66"/>
      <c r="C66"/>
      <c r="D66"/>
      <c r="E66"/>
      <c r="F66"/>
    </row>
    <row r="67" spans="1:6" ht="15" customHeight="1">
      <c r="A67" s="43"/>
      <c r="B67"/>
      <c r="C67"/>
      <c r="D67"/>
      <c r="E67"/>
      <c r="F67"/>
    </row>
    <row r="68" spans="1:6" ht="15" customHeight="1">
      <c r="A68" s="43"/>
      <c r="B68"/>
      <c r="C68"/>
      <c r="D68"/>
      <c r="E68"/>
      <c r="F68"/>
    </row>
    <row r="69" spans="1:6" ht="15" customHeight="1">
      <c r="A69" s="43"/>
      <c r="B69"/>
      <c r="C69"/>
      <c r="D69"/>
      <c r="E69"/>
      <c r="F69"/>
    </row>
    <row r="70" spans="1:6" ht="15" customHeight="1">
      <c r="A70" s="43"/>
      <c r="B70"/>
      <c r="C70"/>
      <c r="D70"/>
      <c r="E70"/>
      <c r="F70"/>
    </row>
    <row r="71" spans="1:6" ht="15" customHeight="1">
      <c r="A71" s="43"/>
      <c r="B71"/>
      <c r="C71"/>
      <c r="D71"/>
      <c r="E71"/>
      <c r="F71"/>
    </row>
    <row r="72" spans="1:6" ht="15" customHeight="1">
      <c r="A72" s="43"/>
      <c r="B72"/>
      <c r="C72"/>
      <c r="D72"/>
      <c r="E72"/>
      <c r="F72"/>
    </row>
    <row r="73" spans="1:6" ht="15" customHeight="1">
      <c r="A73" s="43"/>
      <c r="B73"/>
      <c r="C73"/>
      <c r="D73"/>
      <c r="E73"/>
      <c r="F73"/>
    </row>
    <row r="74" spans="1:6" ht="15" customHeight="1">
      <c r="A74" s="43"/>
      <c r="B74"/>
      <c r="C74"/>
      <c r="D74"/>
      <c r="E74"/>
      <c r="F74"/>
    </row>
    <row r="75" spans="1:6" ht="15" customHeight="1">
      <c r="A75" s="43"/>
      <c r="B75"/>
      <c r="C75"/>
      <c r="D75"/>
      <c r="E75"/>
      <c r="F75"/>
    </row>
    <row r="76" spans="1:6" ht="15" customHeight="1">
      <c r="A76" s="43"/>
      <c r="B76"/>
      <c r="C76"/>
      <c r="D76"/>
      <c r="E76"/>
      <c r="F76"/>
    </row>
    <row r="77" spans="1:6" ht="15" customHeight="1">
      <c r="A77" s="43"/>
      <c r="B77"/>
      <c r="C77"/>
      <c r="D77"/>
      <c r="E77"/>
      <c r="F77"/>
    </row>
    <row r="78" spans="1:6" ht="15" customHeight="1">
      <c r="A78" s="43"/>
      <c r="B78"/>
      <c r="C78"/>
      <c r="D78"/>
      <c r="E78"/>
      <c r="F78"/>
    </row>
    <row r="79" spans="1:6" ht="15" customHeight="1">
      <c r="A79" s="43"/>
      <c r="B79"/>
      <c r="C79"/>
      <c r="D79"/>
      <c r="E79"/>
      <c r="F79"/>
    </row>
    <row r="80" spans="1:6" ht="15" customHeight="1">
      <c r="A80" s="43"/>
      <c r="B80"/>
      <c r="C80"/>
      <c r="D80"/>
      <c r="E80"/>
      <c r="F80"/>
    </row>
    <row r="81" spans="1:6" ht="15" customHeight="1">
      <c r="A81" s="43"/>
      <c r="B81"/>
      <c r="C81"/>
      <c r="D81"/>
      <c r="E81"/>
      <c r="F81"/>
    </row>
    <row r="82" spans="1:6" ht="15" customHeight="1">
      <c r="A82" s="43"/>
      <c r="B82"/>
      <c r="C82"/>
      <c r="D82"/>
      <c r="E82"/>
      <c r="F82"/>
    </row>
    <row r="83" spans="1:6" ht="15" customHeight="1">
      <c r="A83" s="43"/>
      <c r="B83"/>
      <c r="C83"/>
      <c r="D83"/>
      <c r="E83"/>
      <c r="F83"/>
    </row>
    <row r="84" spans="1:6" ht="15" customHeight="1">
      <c r="A84" s="43"/>
      <c r="B84"/>
      <c r="C84"/>
      <c r="D84"/>
      <c r="E84"/>
      <c r="F84"/>
    </row>
    <row r="85" spans="1:6" ht="15" customHeight="1">
      <c r="A85" s="43"/>
      <c r="B85"/>
      <c r="C85"/>
      <c r="D85"/>
      <c r="E85"/>
      <c r="F85"/>
    </row>
    <row r="86" spans="1:6" ht="15" customHeight="1">
      <c r="A86" s="43"/>
      <c r="B86"/>
      <c r="C86"/>
      <c r="D86"/>
      <c r="E86"/>
      <c r="F86"/>
    </row>
    <row r="87" spans="1:6" ht="15" customHeight="1">
      <c r="A87" s="43"/>
      <c r="B87"/>
      <c r="C87"/>
      <c r="D87"/>
      <c r="E87"/>
      <c r="F87"/>
    </row>
    <row r="88" spans="1:6" ht="15" customHeight="1">
      <c r="A88" s="43"/>
      <c r="B88"/>
      <c r="C88"/>
      <c r="D88"/>
      <c r="E88"/>
      <c r="F88"/>
    </row>
    <row r="89" spans="1:6" ht="15" customHeight="1">
      <c r="A89" s="43"/>
      <c r="B89"/>
      <c r="C89"/>
      <c r="D89"/>
      <c r="E89"/>
      <c r="F89"/>
    </row>
    <row r="90" spans="1:6" ht="15" customHeight="1">
      <c r="A90" s="43"/>
      <c r="B90"/>
      <c r="C90"/>
      <c r="D90"/>
      <c r="E90"/>
      <c r="F90"/>
    </row>
    <row r="91" spans="1:6" ht="15" customHeight="1">
      <c r="A91" s="43"/>
      <c r="B91"/>
      <c r="C91"/>
      <c r="D91"/>
      <c r="E91"/>
      <c r="F91"/>
    </row>
    <row r="92" spans="1:6" ht="15" customHeight="1">
      <c r="A92" s="43"/>
      <c r="B92"/>
      <c r="C92"/>
      <c r="D92"/>
      <c r="E92"/>
      <c r="F92"/>
    </row>
    <row r="93" spans="1:6" ht="15" customHeight="1">
      <c r="A93" s="43"/>
      <c r="B93"/>
      <c r="C93"/>
      <c r="D93"/>
      <c r="E93"/>
      <c r="F93"/>
    </row>
    <row r="94" spans="1:6" ht="15" customHeight="1">
      <c r="A94" s="43"/>
      <c r="B94"/>
      <c r="C94"/>
      <c r="D94"/>
      <c r="E94"/>
      <c r="F94"/>
    </row>
    <row r="95" spans="1:6" ht="15" customHeight="1">
      <c r="A95" s="43"/>
      <c r="B95"/>
      <c r="C95"/>
      <c r="D95"/>
      <c r="E95"/>
      <c r="F95"/>
    </row>
    <row r="96" spans="1:6" ht="15" customHeight="1">
      <c r="A96" s="43"/>
      <c r="B96"/>
      <c r="C96"/>
      <c r="D96"/>
      <c r="E96"/>
      <c r="F96"/>
    </row>
    <row r="97" spans="1:6" ht="15" customHeight="1">
      <c r="A97" s="43"/>
      <c r="B97"/>
      <c r="C97"/>
      <c r="D97"/>
      <c r="E97"/>
      <c r="F97"/>
    </row>
    <row r="98" spans="1:6" ht="15" customHeight="1">
      <c r="A98" s="43"/>
      <c r="B98"/>
      <c r="C98"/>
      <c r="D98"/>
      <c r="E98"/>
      <c r="F98"/>
    </row>
    <row r="99" spans="1:6" ht="15" customHeight="1">
      <c r="A99" s="43"/>
      <c r="B99"/>
      <c r="C99"/>
      <c r="D99"/>
      <c r="E99"/>
      <c r="F99"/>
    </row>
    <row r="100" spans="1:6" ht="15" customHeight="1">
      <c r="A100" s="43"/>
      <c r="B100"/>
      <c r="C100"/>
      <c r="D100"/>
      <c r="E100"/>
      <c r="F100"/>
    </row>
    <row r="101" spans="1:6" ht="15" customHeight="1">
      <c r="A101" s="43"/>
      <c r="B101"/>
      <c r="C101"/>
      <c r="D101"/>
      <c r="E101"/>
      <c r="F101"/>
    </row>
    <row r="102" spans="1:6" ht="15" customHeight="1">
      <c r="A102" s="43"/>
      <c r="B102"/>
      <c r="C102"/>
      <c r="D102"/>
      <c r="E102"/>
      <c r="F102"/>
    </row>
    <row r="103" spans="1:6" ht="15" customHeight="1">
      <c r="A103" s="43"/>
      <c r="B103"/>
      <c r="C103"/>
      <c r="D103"/>
      <c r="E103"/>
      <c r="F103"/>
    </row>
    <row r="104" spans="1:6" ht="15" customHeight="1">
      <c r="A104" s="43"/>
      <c r="B104"/>
      <c r="C104"/>
      <c r="D104"/>
      <c r="E104"/>
      <c r="F104"/>
    </row>
    <row r="105" spans="1:6" ht="15" customHeight="1">
      <c r="A105" s="43"/>
      <c r="B105"/>
      <c r="C105"/>
      <c r="D105"/>
      <c r="E105"/>
      <c r="F105"/>
    </row>
    <row r="106" spans="1:6" ht="15" customHeight="1">
      <c r="A106" s="43"/>
      <c r="B106"/>
      <c r="C106"/>
      <c r="D106"/>
      <c r="E106"/>
      <c r="F106"/>
    </row>
    <row r="107" spans="1:6" ht="15" customHeight="1">
      <c r="A107" s="43"/>
      <c r="B107"/>
      <c r="C107"/>
      <c r="D107"/>
      <c r="E107"/>
      <c r="F107"/>
    </row>
    <row r="108" spans="1:6" ht="15" customHeight="1">
      <c r="A108" s="43"/>
      <c r="B108"/>
      <c r="C108"/>
      <c r="D108"/>
      <c r="E108"/>
      <c r="F108"/>
    </row>
    <row r="109" spans="1:6" ht="15" customHeight="1">
      <c r="A109" s="43"/>
      <c r="B109"/>
      <c r="C109"/>
      <c r="D109"/>
      <c r="E109"/>
      <c r="F109"/>
    </row>
    <row r="110" spans="1:6" ht="15" customHeight="1">
      <c r="A110" s="43"/>
      <c r="B110"/>
      <c r="C110"/>
      <c r="D110"/>
      <c r="E110"/>
      <c r="F110"/>
    </row>
    <row r="111" spans="1:6" ht="15" customHeight="1">
      <c r="A111" s="43"/>
      <c r="B111"/>
      <c r="C111"/>
      <c r="D111"/>
      <c r="E111"/>
      <c r="F111"/>
    </row>
    <row r="112" spans="1:6" ht="15" customHeight="1">
      <c r="A112" s="43"/>
      <c r="B112"/>
      <c r="C112"/>
      <c r="D112"/>
      <c r="E112"/>
      <c r="F112"/>
    </row>
    <row r="113" spans="1:6" ht="15" customHeight="1">
      <c r="A113" s="43"/>
      <c r="B113"/>
      <c r="C113"/>
      <c r="D113"/>
      <c r="E113"/>
      <c r="F113"/>
    </row>
    <row r="114" spans="1:6" ht="15" customHeight="1">
      <c r="A114" s="43"/>
      <c r="B114"/>
      <c r="C114"/>
      <c r="D114"/>
      <c r="E114"/>
      <c r="F114"/>
    </row>
    <row r="115" spans="1:6" ht="15" customHeight="1">
      <c r="A115" s="43"/>
      <c r="B115"/>
      <c r="C115"/>
      <c r="D115"/>
      <c r="E115"/>
      <c r="F115"/>
    </row>
    <row r="116" spans="1:6" ht="15" customHeight="1">
      <c r="A116" s="43"/>
      <c r="B116"/>
      <c r="C116"/>
      <c r="D116"/>
      <c r="E116"/>
      <c r="F116"/>
    </row>
    <row r="117" spans="1:6" ht="15" customHeight="1">
      <c r="A117" s="43"/>
      <c r="B117"/>
      <c r="C117"/>
      <c r="D117"/>
      <c r="E117"/>
      <c r="F117"/>
    </row>
    <row r="118" spans="1:6" ht="15" customHeight="1">
      <c r="A118" s="43"/>
      <c r="B118"/>
      <c r="C118"/>
      <c r="D118"/>
      <c r="E118"/>
      <c r="F118"/>
    </row>
    <row r="119" spans="1:6" ht="15" customHeight="1">
      <c r="A119" s="43"/>
      <c r="B119"/>
      <c r="C119"/>
      <c r="D119"/>
      <c r="E119"/>
      <c r="F119"/>
    </row>
    <row r="120" spans="1:6" ht="15" customHeight="1">
      <c r="A120" s="43"/>
      <c r="B120"/>
      <c r="C120"/>
      <c r="D120"/>
      <c r="E120"/>
      <c r="F120"/>
    </row>
    <row r="121" spans="1:6" ht="15" customHeight="1">
      <c r="A121" s="43"/>
      <c r="B121"/>
      <c r="C121"/>
      <c r="D121"/>
      <c r="E121"/>
      <c r="F121"/>
    </row>
    <row r="122" spans="1:6" ht="15" customHeight="1">
      <c r="A122" s="43"/>
      <c r="B122"/>
      <c r="C122"/>
      <c r="D122"/>
      <c r="E122"/>
      <c r="F122"/>
    </row>
    <row r="123" spans="1:6" ht="15" customHeight="1">
      <c r="A123" s="43"/>
      <c r="B123"/>
      <c r="C123"/>
      <c r="D123"/>
      <c r="E123"/>
      <c r="F123"/>
    </row>
    <row r="124" spans="1:6" ht="15" customHeight="1">
      <c r="A124" s="43"/>
      <c r="B124"/>
      <c r="C124"/>
      <c r="D124"/>
      <c r="E124"/>
      <c r="F124"/>
    </row>
    <row r="125" spans="1:6" ht="15" customHeight="1">
      <c r="A125" s="43"/>
      <c r="B125"/>
      <c r="C125"/>
      <c r="D125"/>
      <c r="E125"/>
      <c r="F125"/>
    </row>
    <row r="126" spans="1:6" ht="15" customHeight="1">
      <c r="A126" s="43"/>
      <c r="B126"/>
      <c r="C126"/>
      <c r="D126"/>
      <c r="E126"/>
      <c r="F126"/>
    </row>
    <row r="127" spans="1:6" ht="15" customHeight="1">
      <c r="A127" s="43"/>
      <c r="B127"/>
      <c r="C127"/>
      <c r="D127"/>
      <c r="E127"/>
      <c r="F127"/>
    </row>
    <row r="128" spans="1:6" ht="15" customHeight="1">
      <c r="A128" s="43"/>
      <c r="B128"/>
      <c r="C128"/>
      <c r="D128"/>
      <c r="E128"/>
      <c r="F128"/>
    </row>
    <row r="129" spans="1:6" ht="15" customHeight="1">
      <c r="A129" s="43"/>
      <c r="B129"/>
      <c r="C129"/>
      <c r="D129"/>
      <c r="E129"/>
      <c r="F129"/>
    </row>
    <row r="130" spans="1:6" ht="15" customHeight="1">
      <c r="A130" s="43"/>
      <c r="B130"/>
      <c r="C130"/>
      <c r="D130"/>
      <c r="E130"/>
      <c r="F130"/>
    </row>
    <row r="131" spans="1:6" ht="15" customHeight="1">
      <c r="A131" s="43"/>
      <c r="B131"/>
      <c r="C131"/>
      <c r="D131"/>
      <c r="E131"/>
      <c r="F131"/>
    </row>
    <row r="132" spans="1:6" ht="15" customHeight="1">
      <c r="A132" s="43"/>
      <c r="B132"/>
      <c r="C132"/>
      <c r="D132"/>
      <c r="E132"/>
      <c r="F132"/>
    </row>
    <row r="133" spans="1:6" ht="15" customHeight="1">
      <c r="A133" s="43"/>
      <c r="B133"/>
      <c r="C133"/>
      <c r="D133"/>
      <c r="E133"/>
      <c r="F133"/>
    </row>
    <row r="134" spans="1:6" ht="15" customHeight="1">
      <c r="A134" s="43"/>
      <c r="B134"/>
      <c r="C134"/>
      <c r="D134"/>
      <c r="E134"/>
      <c r="F134"/>
    </row>
    <row r="135" spans="1:6" ht="15" customHeight="1">
      <c r="A135" s="43"/>
      <c r="B135"/>
      <c r="C135"/>
      <c r="D135"/>
      <c r="E135"/>
      <c r="F135"/>
    </row>
    <row r="136" spans="1:6" ht="15" customHeight="1">
      <c r="A136" s="43"/>
      <c r="B136"/>
      <c r="C136"/>
      <c r="D136"/>
      <c r="E136"/>
      <c r="F136"/>
    </row>
    <row r="137" spans="1:6" ht="15" customHeight="1">
      <c r="A137" s="43"/>
      <c r="B137"/>
      <c r="C137"/>
      <c r="D137"/>
      <c r="E137"/>
      <c r="F137"/>
    </row>
    <row r="138" spans="1:6" ht="15" customHeight="1">
      <c r="A138" s="43"/>
      <c r="B138"/>
      <c r="C138"/>
      <c r="D138"/>
      <c r="E138"/>
      <c r="F138"/>
    </row>
    <row r="139" spans="1:6" ht="15" customHeight="1">
      <c r="A139" s="43"/>
      <c r="B139"/>
      <c r="C139"/>
      <c r="D139"/>
      <c r="E139"/>
      <c r="F139"/>
    </row>
    <row r="140" spans="1:6" ht="15" customHeight="1">
      <c r="A140" s="43"/>
      <c r="B140"/>
      <c r="C140"/>
      <c r="D140"/>
      <c r="E140"/>
      <c r="F140"/>
    </row>
    <row r="141" spans="1:6" ht="15" customHeight="1">
      <c r="A141" s="43"/>
      <c r="B141"/>
      <c r="C141"/>
      <c r="D141"/>
      <c r="E141"/>
      <c r="F141"/>
    </row>
    <row r="142" spans="1:6" ht="15" customHeight="1">
      <c r="A142" s="43"/>
      <c r="B142"/>
      <c r="C142"/>
      <c r="D142"/>
      <c r="E142"/>
      <c r="F142"/>
    </row>
    <row r="143" spans="1:6" ht="15" customHeight="1">
      <c r="A143" s="43"/>
      <c r="B143"/>
      <c r="C143"/>
      <c r="D143"/>
      <c r="E143"/>
      <c r="F143"/>
    </row>
    <row r="144" spans="1:6" ht="15" customHeight="1">
      <c r="A144" s="43"/>
      <c r="B144"/>
      <c r="C144"/>
      <c r="D144"/>
      <c r="E144"/>
      <c r="F144"/>
    </row>
    <row r="145" spans="1:6" ht="15" customHeight="1">
      <c r="A145" s="43"/>
      <c r="B145"/>
      <c r="C145"/>
      <c r="D145"/>
      <c r="E145"/>
      <c r="F145"/>
    </row>
    <row r="146" spans="1:6" ht="15" customHeight="1">
      <c r="A146" s="43"/>
      <c r="B146"/>
      <c r="C146"/>
      <c r="D146"/>
      <c r="E146"/>
      <c r="F146"/>
    </row>
    <row r="147" spans="1:6" ht="15" customHeight="1">
      <c r="A147" s="43"/>
      <c r="B147"/>
      <c r="C147"/>
      <c r="D147"/>
      <c r="E147"/>
      <c r="F147"/>
    </row>
    <row r="148" spans="1:6" ht="15" customHeight="1">
      <c r="A148" s="43"/>
      <c r="B148"/>
      <c r="C148"/>
      <c r="D148"/>
      <c r="E148"/>
      <c r="F148"/>
    </row>
    <row r="149" spans="1:6" ht="15" customHeight="1">
      <c r="A149" s="43"/>
      <c r="B149"/>
      <c r="C149"/>
      <c r="D149"/>
      <c r="E149"/>
      <c r="F149"/>
    </row>
    <row r="150" spans="1:6" ht="15" customHeight="1">
      <c r="A150" s="43"/>
      <c r="B150"/>
      <c r="C150"/>
      <c r="D150"/>
      <c r="E150"/>
      <c r="F150"/>
    </row>
    <row r="151" spans="1:6" ht="15" customHeight="1">
      <c r="A151" s="43"/>
      <c r="B151"/>
      <c r="C151"/>
      <c r="D151"/>
      <c r="E151"/>
      <c r="F151"/>
    </row>
    <row r="152" spans="1:6" ht="15" customHeight="1">
      <c r="A152" s="43"/>
      <c r="B152"/>
      <c r="C152"/>
      <c r="D152"/>
      <c r="E152"/>
      <c r="F152"/>
    </row>
    <row r="153" spans="1:6" ht="15" customHeight="1">
      <c r="A153" s="43"/>
      <c r="B153"/>
      <c r="C153"/>
      <c r="D153"/>
      <c r="E153"/>
      <c r="F153"/>
    </row>
    <row r="154" spans="1:6" ht="15" customHeight="1">
      <c r="A154" s="43"/>
      <c r="B154"/>
      <c r="C154"/>
      <c r="D154"/>
      <c r="E154"/>
      <c r="F154"/>
    </row>
    <row r="155" spans="1:6" ht="15" customHeight="1">
      <c r="A155" s="43"/>
      <c r="B155"/>
      <c r="C155"/>
      <c r="D155"/>
      <c r="E155"/>
      <c r="F155"/>
    </row>
    <row r="156" spans="1:6" ht="15" customHeight="1">
      <c r="A156" s="43"/>
      <c r="B156"/>
      <c r="C156"/>
      <c r="D156"/>
      <c r="E156"/>
      <c r="F156"/>
    </row>
    <row r="157" spans="1:6" ht="15" customHeight="1">
      <c r="A157" s="43"/>
      <c r="B157"/>
      <c r="C157"/>
      <c r="D157"/>
      <c r="E157"/>
      <c r="F157"/>
    </row>
    <row r="158" spans="1:6" ht="15" customHeight="1">
      <c r="A158" s="43"/>
      <c r="B158"/>
      <c r="C158"/>
      <c r="D158"/>
      <c r="E158"/>
      <c r="F158"/>
    </row>
    <row r="159" spans="1:6" ht="15" customHeight="1">
      <c r="A159" s="43"/>
      <c r="B159"/>
      <c r="C159"/>
      <c r="D159"/>
      <c r="E159"/>
      <c r="F159"/>
    </row>
    <row r="160" spans="1:6" ht="15" customHeight="1">
      <c r="A160" s="43"/>
      <c r="B160"/>
      <c r="C160"/>
      <c r="D160"/>
      <c r="E160"/>
      <c r="F160"/>
    </row>
    <row r="161" spans="1:6" ht="15" customHeight="1">
      <c r="A161" s="43"/>
      <c r="B161"/>
      <c r="C161"/>
      <c r="D161"/>
      <c r="E161"/>
      <c r="F161"/>
    </row>
    <row r="162" spans="1:6" ht="15" customHeight="1">
      <c r="A162" s="43"/>
      <c r="B162"/>
      <c r="C162"/>
      <c r="D162"/>
      <c r="E162"/>
      <c r="F162"/>
    </row>
    <row r="163" spans="1:6" ht="15" customHeight="1">
      <c r="A163" s="43"/>
      <c r="B163"/>
      <c r="C163"/>
      <c r="D163"/>
      <c r="E163"/>
      <c r="F163"/>
    </row>
    <row r="164" spans="1:6" ht="15" customHeight="1">
      <c r="A164" s="43"/>
      <c r="B164"/>
      <c r="C164"/>
      <c r="D164"/>
      <c r="E164"/>
      <c r="F164"/>
    </row>
    <row r="165" spans="1:6" ht="15" customHeight="1">
      <c r="A165" s="43"/>
      <c r="B165"/>
      <c r="C165"/>
      <c r="D165"/>
      <c r="E165"/>
      <c r="F165"/>
    </row>
    <row r="166" spans="1:6" ht="15" customHeight="1">
      <c r="A166" s="43"/>
      <c r="B166"/>
      <c r="C166"/>
      <c r="D166"/>
      <c r="E166"/>
      <c r="F166"/>
    </row>
    <row r="167" spans="1:6" ht="15" customHeight="1">
      <c r="A167" s="43"/>
      <c r="B167"/>
      <c r="C167"/>
      <c r="D167"/>
      <c r="E167"/>
      <c r="F167"/>
    </row>
    <row r="168" spans="1:6" ht="15" customHeight="1">
      <c r="A168" s="43"/>
      <c r="B168"/>
      <c r="C168"/>
      <c r="D168"/>
      <c r="E168"/>
      <c r="F168"/>
    </row>
    <row r="169" spans="1:6" ht="15" customHeight="1">
      <c r="A169" s="43"/>
      <c r="B169"/>
      <c r="C169"/>
      <c r="D169"/>
      <c r="E169"/>
      <c r="F169"/>
    </row>
    <row r="170" spans="1:6" ht="15" customHeight="1">
      <c r="A170" s="43"/>
      <c r="B170"/>
      <c r="C170"/>
      <c r="D170"/>
      <c r="E170"/>
      <c r="F170"/>
    </row>
    <row r="171" spans="1:6" ht="15" customHeight="1">
      <c r="A171" s="43"/>
      <c r="B171"/>
      <c r="C171"/>
      <c r="D171"/>
      <c r="E171"/>
      <c r="F171"/>
    </row>
    <row r="172" spans="1:6" ht="15" customHeight="1">
      <c r="A172" s="43"/>
      <c r="B172"/>
      <c r="C172"/>
      <c r="D172"/>
      <c r="E172"/>
      <c r="F172"/>
    </row>
    <row r="173" spans="1:6" ht="15" customHeight="1">
      <c r="A173" s="43"/>
      <c r="B173"/>
      <c r="C173"/>
      <c r="D173"/>
      <c r="E173"/>
      <c r="F173"/>
    </row>
    <row r="174" spans="1:6" ht="15" customHeight="1">
      <c r="A174" s="43"/>
      <c r="B174"/>
      <c r="C174"/>
      <c r="D174"/>
      <c r="E174"/>
      <c r="F174"/>
    </row>
    <row r="175" spans="1:6" ht="15" customHeight="1">
      <c r="A175" s="43"/>
      <c r="B175"/>
      <c r="C175"/>
      <c r="D175"/>
      <c r="E175"/>
      <c r="F175"/>
    </row>
    <row r="176" spans="1:6" ht="15" customHeight="1">
      <c r="A176" s="43"/>
      <c r="B176"/>
      <c r="C176"/>
      <c r="D176"/>
      <c r="E176"/>
      <c r="F176"/>
    </row>
    <row r="177" spans="1:6" ht="15" customHeight="1">
      <c r="A177" s="43"/>
      <c r="B177"/>
      <c r="C177"/>
      <c r="D177"/>
      <c r="E177"/>
      <c r="F177"/>
    </row>
    <row r="178" spans="1:6" ht="15" customHeight="1">
      <c r="A178" s="43"/>
      <c r="B178"/>
      <c r="C178"/>
      <c r="D178"/>
      <c r="E178"/>
      <c r="F178"/>
    </row>
    <row r="179" spans="1:6" ht="15" customHeight="1">
      <c r="A179" s="43"/>
      <c r="B179"/>
      <c r="C179"/>
      <c r="D179"/>
      <c r="E179"/>
      <c r="F179"/>
    </row>
    <row r="180" spans="1:6" ht="15" customHeight="1">
      <c r="A180" s="43"/>
      <c r="B180"/>
      <c r="C180"/>
      <c r="D180"/>
      <c r="E180"/>
      <c r="F180"/>
    </row>
    <row r="181" spans="1:6" ht="15" customHeight="1">
      <c r="A181" s="43"/>
      <c r="B181"/>
      <c r="C181"/>
      <c r="D181"/>
      <c r="E181"/>
      <c r="F181"/>
    </row>
    <row r="182" spans="1:6" ht="15" customHeight="1">
      <c r="A182" s="43"/>
      <c r="B182"/>
      <c r="C182"/>
      <c r="D182"/>
      <c r="E182"/>
      <c r="F182"/>
    </row>
    <row r="183" spans="1:6" ht="15" customHeight="1">
      <c r="A183" s="43"/>
      <c r="B183"/>
      <c r="C183"/>
      <c r="D183"/>
      <c r="E183"/>
      <c r="F183"/>
    </row>
    <row r="184" spans="1:6" ht="15" customHeight="1">
      <c r="A184" s="43"/>
      <c r="B184"/>
      <c r="C184"/>
      <c r="D184"/>
      <c r="E184"/>
      <c r="F184"/>
    </row>
    <row r="185" spans="1:6" ht="15" customHeight="1">
      <c r="A185" s="43"/>
      <c r="B185"/>
      <c r="C185"/>
      <c r="D185"/>
      <c r="E185"/>
      <c r="F185"/>
    </row>
    <row r="186" spans="1:6" ht="15" customHeight="1">
      <c r="A186" s="43"/>
      <c r="B186"/>
      <c r="C186"/>
      <c r="D186"/>
      <c r="E186"/>
      <c r="F186"/>
    </row>
    <row r="187" spans="1:6" ht="15" customHeight="1">
      <c r="A187" s="43"/>
      <c r="B187"/>
      <c r="C187"/>
      <c r="D187"/>
      <c r="E187"/>
      <c r="F187"/>
    </row>
    <row r="188" spans="1:6" ht="15" customHeight="1">
      <c r="A188" s="43"/>
      <c r="B188"/>
      <c r="C188"/>
      <c r="D188"/>
      <c r="E188"/>
      <c r="F188"/>
    </row>
    <row r="189" spans="1:6" ht="15" customHeight="1">
      <c r="A189" s="43"/>
      <c r="B189"/>
      <c r="C189"/>
      <c r="D189"/>
      <c r="E189"/>
      <c r="F189"/>
    </row>
    <row r="190" spans="1:6" ht="15" customHeight="1">
      <c r="A190" s="43"/>
      <c r="B190"/>
      <c r="C190"/>
      <c r="D190"/>
      <c r="E190"/>
      <c r="F190"/>
    </row>
    <row r="191" spans="1:6" ht="15" customHeight="1">
      <c r="A191" s="43"/>
      <c r="B191"/>
      <c r="C191"/>
      <c r="D191"/>
      <c r="E191"/>
      <c r="F191"/>
    </row>
    <row r="192" spans="1:6" ht="15" customHeight="1">
      <c r="A192" s="43"/>
      <c r="B192"/>
      <c r="C192"/>
      <c r="D192"/>
      <c r="E192"/>
      <c r="F192"/>
    </row>
    <row r="193" spans="1:6" ht="15" customHeight="1">
      <c r="A193" s="43"/>
      <c r="B193"/>
      <c r="C193"/>
      <c r="D193"/>
      <c r="E193"/>
      <c r="F193"/>
    </row>
    <row r="194" spans="1:6" ht="15" customHeight="1">
      <c r="A194" s="43"/>
      <c r="B194"/>
      <c r="C194"/>
      <c r="D194"/>
      <c r="E194"/>
      <c r="F194"/>
    </row>
    <row r="195" spans="1:6" ht="15" customHeight="1">
      <c r="A195" s="43"/>
      <c r="B195"/>
      <c r="C195"/>
      <c r="D195"/>
      <c r="E195"/>
      <c r="F195"/>
    </row>
    <row r="196" spans="1:6" ht="15" customHeight="1">
      <c r="A196" s="43"/>
      <c r="B196"/>
      <c r="C196"/>
      <c r="D196"/>
      <c r="E196"/>
      <c r="F196"/>
    </row>
    <row r="197" spans="1:6" ht="15" customHeight="1">
      <c r="A197" s="43"/>
      <c r="B197"/>
      <c r="C197"/>
      <c r="D197"/>
      <c r="E197"/>
      <c r="F197"/>
    </row>
    <row r="198" spans="1:6" ht="15" customHeight="1">
      <c r="A198" s="43"/>
      <c r="B198"/>
      <c r="C198"/>
      <c r="D198"/>
      <c r="E198"/>
      <c r="F198"/>
    </row>
    <row r="199" spans="1:6" ht="15" customHeight="1">
      <c r="A199" s="43"/>
      <c r="B199"/>
      <c r="C199"/>
      <c r="D199"/>
      <c r="E199"/>
      <c r="F199"/>
    </row>
    <row r="200" spans="1:6" ht="15" customHeight="1">
      <c r="A200" s="43"/>
      <c r="B200"/>
      <c r="C200"/>
      <c r="D200"/>
      <c r="E200"/>
      <c r="F200"/>
    </row>
    <row r="201" spans="1:6" ht="15" customHeight="1">
      <c r="A201" s="43"/>
      <c r="B201"/>
      <c r="C201"/>
      <c r="D201"/>
      <c r="E201"/>
      <c r="F201"/>
    </row>
    <row r="202" spans="1:6" ht="15" customHeight="1">
      <c r="A202" s="43"/>
      <c r="B202"/>
      <c r="C202"/>
      <c r="D202"/>
      <c r="E202"/>
      <c r="F202"/>
    </row>
    <row r="203" spans="1:6" ht="15" customHeight="1">
      <c r="A203" s="43"/>
      <c r="B203"/>
      <c r="C203"/>
      <c r="D203"/>
      <c r="E203"/>
      <c r="F203"/>
    </row>
    <row r="204" spans="1:6" ht="15" customHeight="1">
      <c r="A204" s="43"/>
      <c r="B204"/>
      <c r="C204"/>
      <c r="D204"/>
      <c r="E204"/>
      <c r="F204"/>
    </row>
    <row r="205" spans="1:6" ht="15" customHeight="1">
      <c r="A205" s="43"/>
      <c r="B205"/>
      <c r="C205"/>
      <c r="D205"/>
      <c r="E205"/>
      <c r="F205"/>
    </row>
    <row r="206" spans="1:6" ht="15" customHeight="1">
      <c r="A206" s="43"/>
      <c r="B206"/>
      <c r="C206"/>
      <c r="D206"/>
      <c r="E206"/>
      <c r="F206"/>
    </row>
    <row r="207" spans="1:6" ht="15" customHeight="1">
      <c r="A207" s="43"/>
      <c r="B207"/>
      <c r="C207"/>
      <c r="D207"/>
      <c r="E207"/>
      <c r="F207"/>
    </row>
    <row r="208" spans="1:6" ht="15" customHeight="1">
      <c r="A208" s="43"/>
      <c r="B208"/>
      <c r="C208"/>
      <c r="D208"/>
      <c r="E208"/>
      <c r="F208"/>
    </row>
    <row r="209" spans="1:6" ht="15" customHeight="1">
      <c r="A209" s="43"/>
      <c r="B209"/>
      <c r="C209"/>
      <c r="D209"/>
      <c r="E209"/>
      <c r="F209"/>
    </row>
    <row r="210" spans="1:6" ht="15" customHeight="1">
      <c r="A210" s="43"/>
      <c r="B210"/>
      <c r="C210"/>
      <c r="D210"/>
      <c r="E210"/>
      <c r="F210"/>
    </row>
    <row r="211" spans="1:6" ht="15" customHeight="1">
      <c r="A211" s="43"/>
      <c r="B211"/>
      <c r="C211"/>
      <c r="D211"/>
      <c r="E211"/>
      <c r="F211"/>
    </row>
    <row r="212" spans="1:6" ht="15" customHeight="1">
      <c r="A212" s="43"/>
      <c r="B212"/>
      <c r="C212"/>
      <c r="D212"/>
      <c r="E212"/>
      <c r="F212"/>
    </row>
    <row r="213" spans="1:6" ht="15" customHeight="1">
      <c r="A213" s="43"/>
      <c r="B213"/>
      <c r="C213"/>
      <c r="D213"/>
      <c r="E213"/>
      <c r="F213"/>
    </row>
    <row r="214" spans="1:6" ht="15" customHeight="1">
      <c r="A214" s="43"/>
      <c r="B214"/>
      <c r="C214"/>
      <c r="D214"/>
      <c r="E214"/>
      <c r="F214"/>
    </row>
    <row r="215" spans="1:6" ht="15" customHeight="1">
      <c r="A215" s="43"/>
      <c r="B215"/>
      <c r="C215"/>
      <c r="D215"/>
      <c r="E215"/>
      <c r="F215"/>
    </row>
    <row r="216" spans="1:6" ht="15" customHeight="1">
      <c r="A216" s="43"/>
      <c r="B216"/>
      <c r="C216"/>
      <c r="D216"/>
      <c r="E216"/>
      <c r="F216"/>
    </row>
    <row r="217" spans="1:6" ht="15" customHeight="1">
      <c r="A217" s="43"/>
      <c r="B217"/>
      <c r="C217"/>
      <c r="D217"/>
      <c r="E217"/>
      <c r="F217"/>
    </row>
    <row r="218" spans="1:6" ht="15" customHeight="1">
      <c r="A218" s="43"/>
      <c r="B218"/>
      <c r="C218"/>
      <c r="D218"/>
      <c r="E218"/>
      <c r="F218"/>
    </row>
    <row r="219" spans="1:6" ht="15" customHeight="1">
      <c r="A219" s="43"/>
      <c r="B219"/>
      <c r="C219"/>
      <c r="D219"/>
      <c r="E219"/>
      <c r="F219"/>
    </row>
    <row r="220" spans="1:6" ht="15" customHeight="1">
      <c r="A220" s="43"/>
      <c r="B220"/>
      <c r="C220"/>
      <c r="D220"/>
      <c r="E220"/>
      <c r="F220"/>
    </row>
    <row r="221" spans="1:6" ht="15" customHeight="1">
      <c r="A221" s="43"/>
      <c r="B221"/>
      <c r="C221"/>
      <c r="D221"/>
      <c r="E221"/>
      <c r="F221"/>
    </row>
    <row r="222" spans="1:6" ht="15" customHeight="1">
      <c r="A222" s="43"/>
      <c r="B222"/>
      <c r="C222"/>
      <c r="D222"/>
      <c r="E222"/>
      <c r="F222"/>
    </row>
    <row r="223" spans="1:6" ht="15" customHeight="1">
      <c r="A223" s="43"/>
      <c r="B223"/>
      <c r="C223"/>
      <c r="D223"/>
      <c r="E223"/>
      <c r="F223"/>
    </row>
    <row r="224" spans="1:6" ht="15" customHeight="1">
      <c r="A224" s="43"/>
      <c r="B224"/>
      <c r="C224"/>
      <c r="D224"/>
      <c r="E224"/>
      <c r="F224"/>
    </row>
    <row r="225" spans="1:29" ht="15" customHeight="1">
      <c r="A225" s="43"/>
      <c r="B225"/>
      <c r="C225"/>
      <c r="D225"/>
      <c r="E225"/>
      <c r="F225"/>
    </row>
    <row r="226" spans="1:29" ht="15" customHeight="1">
      <c r="A226" s="43"/>
      <c r="B226"/>
      <c r="C226"/>
      <c r="D226"/>
      <c r="E226"/>
      <c r="F226"/>
    </row>
    <row r="227" spans="1:29" ht="15" customHeight="1">
      <c r="A227" s="43"/>
      <c r="B227"/>
      <c r="C227"/>
      <c r="D227"/>
      <c r="E227"/>
      <c r="F227"/>
    </row>
    <row r="228" spans="1:29" ht="15" customHeight="1">
      <c r="A228" s="43"/>
      <c r="B228"/>
      <c r="C228"/>
      <c r="D228"/>
      <c r="E228"/>
      <c r="F228"/>
    </row>
    <row r="229" spans="1:29" ht="15" customHeight="1">
      <c r="A229" s="43"/>
      <c r="B229"/>
      <c r="C229"/>
      <c r="D229"/>
      <c r="E229"/>
      <c r="F229"/>
    </row>
    <row r="230" spans="1:29" ht="15" customHeight="1">
      <c r="A230" s="43"/>
      <c r="B230"/>
      <c r="C230"/>
      <c r="D230"/>
      <c r="E230"/>
      <c r="F230"/>
    </row>
    <row r="231" spans="1:29" ht="15" customHeight="1">
      <c r="A231" s="43"/>
      <c r="B231"/>
      <c r="C231"/>
      <c r="D231"/>
      <c r="E231"/>
      <c r="F231"/>
    </row>
    <row r="232" spans="1:29" ht="15" customHeight="1">
      <c r="A232" s="43"/>
      <c r="B232"/>
      <c r="C232"/>
      <c r="D232"/>
      <c r="E232"/>
      <c r="F232"/>
    </row>
    <row r="233" spans="1:29" ht="15" customHeight="1">
      <c r="A233" s="43"/>
      <c r="B233"/>
      <c r="C233"/>
      <c r="D233"/>
      <c r="E233"/>
      <c r="F233"/>
    </row>
    <row r="234" spans="1:29" ht="15" customHeight="1">
      <c r="A234" s="43"/>
      <c r="B234"/>
      <c r="C234"/>
      <c r="D234"/>
      <c r="E234"/>
      <c r="F234"/>
    </row>
    <row r="235" spans="1:29" ht="15" customHeight="1">
      <c r="A235" s="43"/>
      <c r="B235"/>
      <c r="C235"/>
      <c r="D235"/>
      <c r="E235"/>
      <c r="F235"/>
    </row>
    <row r="236" spans="1:29" ht="15" customHeight="1">
      <c r="A236" s="43"/>
      <c r="B236"/>
      <c r="C236"/>
      <c r="D236"/>
      <c r="E236"/>
      <c r="F236"/>
    </row>
    <row r="237" spans="1:29" ht="15" customHeight="1">
      <c r="A237" s="43"/>
      <c r="B237"/>
      <c r="C237"/>
      <c r="D237"/>
      <c r="E237"/>
      <c r="F237"/>
    </row>
    <row r="238" spans="1:29" ht="15" customHeight="1">
      <c r="A238" s="43"/>
      <c r="B238"/>
      <c r="C238"/>
      <c r="D238"/>
      <c r="E238"/>
      <c r="F238"/>
    </row>
    <row r="239" spans="1:29" ht="15" customHeight="1">
      <c r="A239" s="43"/>
      <c r="B239"/>
      <c r="C239"/>
      <c r="D239"/>
      <c r="E239"/>
      <c r="F239"/>
    </row>
    <row r="240" spans="1:29" customFormat="1" ht="12.75">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row>
    <row r="241" spans="1:29" customFormat="1" ht="12.75">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row>
    <row r="242" spans="1:29" customFormat="1" ht="12.75">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row>
    <row r="243" spans="1:29" customFormat="1" ht="12.75">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row>
    <row r="244" spans="1:29" customFormat="1" ht="12.75">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row>
    <row r="245" spans="1:29" customFormat="1" ht="12.7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row>
    <row r="246" spans="1:29" customFormat="1" ht="12.75">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row>
    <row r="247" spans="1:29" customFormat="1" ht="12.75">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row>
    <row r="248" spans="1:29" customFormat="1" ht="12.75">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row>
    <row r="249" spans="1:29" customFormat="1" ht="12.75">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row>
    <row r="250" spans="1:29" s="16" customFormat="1" ht="15" customHeight="1">
      <c r="A250" s="83" t="s">
        <v>14</v>
      </c>
      <c r="B250" s="83">
        <v>44</v>
      </c>
      <c r="C250" s="83">
        <f>MAX(B251:B316)</f>
        <v>44</v>
      </c>
      <c r="D250" s="84"/>
    </row>
    <row r="251" spans="1:29" s="16" customFormat="1" ht="15" customHeight="1">
      <c r="A251" s="85"/>
      <c r="B251" s="86">
        <v>1</v>
      </c>
      <c r="C251" s="86" t="s">
        <v>15</v>
      </c>
      <c r="D251" s="86" t="s">
        <v>16</v>
      </c>
    </row>
    <row r="252" spans="1:29" s="16" customFormat="1" ht="15" customHeight="1">
      <c r="A252" s="85"/>
      <c r="B252" s="86">
        <v>2</v>
      </c>
      <c r="C252" s="86" t="s">
        <v>17</v>
      </c>
      <c r="D252" s="86" t="s">
        <v>18</v>
      </c>
    </row>
    <row r="253" spans="1:29" s="16" customFormat="1" ht="15" customHeight="1">
      <c r="A253" s="85"/>
      <c r="B253" s="86">
        <v>3</v>
      </c>
      <c r="C253" s="86" t="s">
        <v>19</v>
      </c>
      <c r="D253" s="86" t="s">
        <v>20</v>
      </c>
    </row>
    <row r="254" spans="1:29" s="16" customFormat="1" ht="15" customHeight="1">
      <c r="A254" s="85"/>
      <c r="B254" s="86">
        <v>4</v>
      </c>
      <c r="C254" s="86" t="s">
        <v>21</v>
      </c>
      <c r="D254" s="86" t="s">
        <v>22</v>
      </c>
    </row>
    <row r="255" spans="1:29" s="16" customFormat="1" ht="15" customHeight="1">
      <c r="A255" s="85"/>
      <c r="B255" s="86">
        <v>5</v>
      </c>
      <c r="C255" s="86" t="s">
        <v>23</v>
      </c>
      <c r="D255" s="86" t="s">
        <v>24</v>
      </c>
    </row>
    <row r="256" spans="1:29" s="16" customFormat="1" ht="15" customHeight="1">
      <c r="A256" s="85"/>
      <c r="B256" s="86">
        <v>6</v>
      </c>
      <c r="C256" s="86" t="s">
        <v>25</v>
      </c>
      <c r="D256" s="86" t="s">
        <v>26</v>
      </c>
    </row>
    <row r="257" spans="1:4" s="16" customFormat="1" ht="15" customHeight="1">
      <c r="A257" s="85"/>
      <c r="B257" s="86">
        <v>7</v>
      </c>
      <c r="C257" s="86" t="s">
        <v>27</v>
      </c>
      <c r="D257" s="86" t="s">
        <v>28</v>
      </c>
    </row>
    <row r="258" spans="1:4" s="16" customFormat="1" ht="15" customHeight="1">
      <c r="A258" s="85"/>
      <c r="B258" s="86">
        <v>8</v>
      </c>
      <c r="C258" s="86" t="s">
        <v>29</v>
      </c>
      <c r="D258" s="86" t="s">
        <v>30</v>
      </c>
    </row>
    <row r="259" spans="1:4" s="16" customFormat="1" ht="15" customHeight="1">
      <c r="A259" s="85"/>
      <c r="B259" s="86">
        <v>9</v>
      </c>
      <c r="C259" s="86" t="s">
        <v>31</v>
      </c>
      <c r="D259" s="86" t="s">
        <v>32</v>
      </c>
    </row>
    <row r="260" spans="1:4" s="16" customFormat="1" ht="15" customHeight="1">
      <c r="A260" s="85"/>
      <c r="B260" s="86">
        <v>10</v>
      </c>
      <c r="C260" s="86" t="s">
        <v>33</v>
      </c>
      <c r="D260" s="86" t="s">
        <v>34</v>
      </c>
    </row>
    <row r="261" spans="1:4" s="16" customFormat="1" ht="15" customHeight="1">
      <c r="A261" s="85"/>
      <c r="B261" s="86">
        <v>11</v>
      </c>
      <c r="C261" s="86" t="s">
        <v>35</v>
      </c>
      <c r="D261" s="86" t="s">
        <v>36</v>
      </c>
    </row>
    <row r="262" spans="1:4" s="16" customFormat="1" ht="15" customHeight="1">
      <c r="A262" s="85"/>
      <c r="B262" s="86">
        <v>12</v>
      </c>
      <c r="C262" s="86" t="s">
        <v>37</v>
      </c>
      <c r="D262" s="86" t="s">
        <v>38</v>
      </c>
    </row>
    <row r="263" spans="1:4" s="16" customFormat="1" ht="15" customHeight="1">
      <c r="A263" s="85"/>
      <c r="B263" s="86">
        <v>13</v>
      </c>
      <c r="C263" s="86" t="s">
        <v>39</v>
      </c>
      <c r="D263" s="86" t="s">
        <v>40</v>
      </c>
    </row>
    <row r="264" spans="1:4" s="16" customFormat="1" ht="15" customHeight="1">
      <c r="A264" s="85"/>
      <c r="B264" s="86">
        <v>14</v>
      </c>
      <c r="C264" s="86" t="s">
        <v>41</v>
      </c>
      <c r="D264" s="86" t="s">
        <v>42</v>
      </c>
    </row>
    <row r="265" spans="1:4" s="16" customFormat="1" ht="15" customHeight="1">
      <c r="A265" s="85"/>
      <c r="B265" s="86">
        <v>15</v>
      </c>
      <c r="C265" s="86" t="s">
        <v>43</v>
      </c>
      <c r="D265" s="86" t="s">
        <v>44</v>
      </c>
    </row>
    <row r="266" spans="1:4" s="16" customFormat="1" ht="15" customHeight="1">
      <c r="A266" s="85"/>
      <c r="B266" s="86">
        <v>16</v>
      </c>
      <c r="C266" s="86" t="s">
        <v>45</v>
      </c>
      <c r="D266" s="86" t="s">
        <v>46</v>
      </c>
    </row>
    <row r="267" spans="1:4" s="16" customFormat="1" ht="15" customHeight="1">
      <c r="A267" s="85"/>
      <c r="B267" s="86">
        <v>17</v>
      </c>
      <c r="C267" s="86" t="s">
        <v>47</v>
      </c>
      <c r="D267" s="86" t="s">
        <v>48</v>
      </c>
    </row>
    <row r="268" spans="1:4" s="16" customFormat="1" ht="15" customHeight="1">
      <c r="A268" s="85"/>
      <c r="B268" s="86">
        <v>18</v>
      </c>
      <c r="C268" s="86" t="s">
        <v>49</v>
      </c>
      <c r="D268" s="86" t="s">
        <v>50</v>
      </c>
    </row>
    <row r="269" spans="1:4" s="16" customFormat="1" ht="15" customHeight="1">
      <c r="A269" s="85"/>
      <c r="B269" s="86">
        <v>19</v>
      </c>
      <c r="C269" s="86" t="s">
        <v>51</v>
      </c>
      <c r="D269" s="86" t="s">
        <v>52</v>
      </c>
    </row>
    <row r="270" spans="1:4" s="16" customFormat="1" ht="15" customHeight="1">
      <c r="A270" s="85"/>
      <c r="B270" s="86">
        <v>20</v>
      </c>
      <c r="C270" s="86" t="s">
        <v>53</v>
      </c>
      <c r="D270" s="86" t="s">
        <v>54</v>
      </c>
    </row>
    <row r="271" spans="1:4" s="16" customFormat="1" ht="15" customHeight="1">
      <c r="A271" s="85"/>
      <c r="B271" s="86">
        <v>21</v>
      </c>
      <c r="C271" s="86" t="s">
        <v>55</v>
      </c>
      <c r="D271" s="86" t="s">
        <v>56</v>
      </c>
    </row>
    <row r="272" spans="1:4" s="16" customFormat="1" ht="15" customHeight="1">
      <c r="A272" s="85"/>
      <c r="B272" s="86">
        <v>22</v>
      </c>
      <c r="C272" s="86" t="s">
        <v>57</v>
      </c>
      <c r="D272" s="86" t="s">
        <v>58</v>
      </c>
    </row>
    <row r="273" spans="1:4" s="16" customFormat="1" ht="15" customHeight="1">
      <c r="A273" s="85"/>
      <c r="B273" s="86">
        <v>23</v>
      </c>
      <c r="C273" s="86" t="s">
        <v>59</v>
      </c>
      <c r="D273" s="86" t="s">
        <v>60</v>
      </c>
    </row>
    <row r="274" spans="1:4" s="16" customFormat="1" ht="15" customHeight="1">
      <c r="A274" s="85"/>
      <c r="B274" s="86">
        <v>24</v>
      </c>
      <c r="C274" s="86" t="s">
        <v>61</v>
      </c>
      <c r="D274" s="86" t="s">
        <v>62</v>
      </c>
    </row>
    <row r="275" spans="1:4" s="16" customFormat="1" ht="15" customHeight="1">
      <c r="A275" s="85"/>
      <c r="B275" s="86">
        <v>25</v>
      </c>
      <c r="C275" s="86" t="s">
        <v>63</v>
      </c>
      <c r="D275" s="86" t="s">
        <v>64</v>
      </c>
    </row>
    <row r="276" spans="1:4" s="16" customFormat="1" ht="15" customHeight="1">
      <c r="A276" s="85"/>
      <c r="B276" s="86">
        <v>26</v>
      </c>
      <c r="C276" s="86" t="s">
        <v>65</v>
      </c>
      <c r="D276" s="86" t="s">
        <v>66</v>
      </c>
    </row>
    <row r="277" spans="1:4" s="16" customFormat="1" ht="15" customHeight="1">
      <c r="A277" s="85"/>
      <c r="B277" s="86">
        <v>27</v>
      </c>
      <c r="C277" s="86" t="s">
        <v>67</v>
      </c>
      <c r="D277" s="86" t="s">
        <v>68</v>
      </c>
    </row>
    <row r="278" spans="1:4" s="16" customFormat="1" ht="15" customHeight="1">
      <c r="A278" s="85"/>
      <c r="B278" s="86">
        <v>28</v>
      </c>
      <c r="C278" s="86" t="s">
        <v>69</v>
      </c>
      <c r="D278" s="86" t="s">
        <v>70</v>
      </c>
    </row>
    <row r="279" spans="1:4" s="16" customFormat="1" ht="15" customHeight="1">
      <c r="A279" s="85"/>
      <c r="B279" s="86">
        <v>29</v>
      </c>
      <c r="C279" s="86" t="s">
        <v>71</v>
      </c>
      <c r="D279" s="86" t="s">
        <v>72</v>
      </c>
    </row>
    <row r="280" spans="1:4" s="16" customFormat="1" ht="15" customHeight="1">
      <c r="A280" s="85"/>
      <c r="B280" s="86">
        <v>30</v>
      </c>
      <c r="C280" s="86" t="s">
        <v>73</v>
      </c>
      <c r="D280" s="86" t="s">
        <v>74</v>
      </c>
    </row>
    <row r="281" spans="1:4" s="16" customFormat="1" ht="15" customHeight="1">
      <c r="A281" s="85"/>
      <c r="B281" s="86">
        <v>31</v>
      </c>
      <c r="C281" s="86" t="s">
        <v>75</v>
      </c>
      <c r="D281" s="86" t="s">
        <v>76</v>
      </c>
    </row>
    <row r="282" spans="1:4" s="16" customFormat="1" ht="15" customHeight="1">
      <c r="A282" s="85"/>
      <c r="B282" s="86">
        <v>32</v>
      </c>
      <c r="C282" s="86" t="s">
        <v>77</v>
      </c>
      <c r="D282" s="86" t="s">
        <v>78</v>
      </c>
    </row>
    <row r="283" spans="1:4" s="16" customFormat="1" ht="15" customHeight="1">
      <c r="A283" s="85"/>
      <c r="B283" s="86">
        <v>33</v>
      </c>
      <c r="C283" s="86" t="s">
        <v>79</v>
      </c>
      <c r="D283" s="86" t="s">
        <v>80</v>
      </c>
    </row>
    <row r="284" spans="1:4" s="16" customFormat="1" ht="15" customHeight="1">
      <c r="A284" s="85"/>
      <c r="B284" s="86">
        <v>34</v>
      </c>
      <c r="C284" s="86" t="s">
        <v>81</v>
      </c>
      <c r="D284" s="86" t="s">
        <v>82</v>
      </c>
    </row>
    <row r="285" spans="1:4" s="16" customFormat="1" ht="15" customHeight="1">
      <c r="A285" s="85"/>
      <c r="B285" s="86">
        <v>35</v>
      </c>
      <c r="C285" s="86" t="s">
        <v>83</v>
      </c>
      <c r="D285" s="86" t="s">
        <v>84</v>
      </c>
    </row>
    <row r="286" spans="1:4" s="16" customFormat="1" ht="15" customHeight="1">
      <c r="A286" s="85"/>
      <c r="B286" s="86">
        <v>36</v>
      </c>
      <c r="C286" s="86" t="s">
        <v>85</v>
      </c>
      <c r="D286" s="86" t="s">
        <v>86</v>
      </c>
    </row>
    <row r="287" spans="1:4" s="16" customFormat="1" ht="15" customHeight="1">
      <c r="A287" s="85"/>
      <c r="B287" s="86">
        <v>37</v>
      </c>
      <c r="C287" s="86" t="s">
        <v>87</v>
      </c>
      <c r="D287" s="86" t="s">
        <v>88</v>
      </c>
    </row>
    <row r="288" spans="1:4" s="16" customFormat="1" ht="15" customHeight="1">
      <c r="A288" s="85"/>
      <c r="B288" s="86">
        <v>38</v>
      </c>
      <c r="C288" s="86" t="s">
        <v>89</v>
      </c>
      <c r="D288" s="86" t="s">
        <v>90</v>
      </c>
    </row>
    <row r="289" spans="1:4" s="16" customFormat="1" ht="15" customHeight="1">
      <c r="A289" s="85"/>
      <c r="B289" s="86">
        <v>39</v>
      </c>
      <c r="C289" s="86" t="s">
        <v>91</v>
      </c>
      <c r="D289" s="86" t="s">
        <v>92</v>
      </c>
    </row>
    <row r="290" spans="1:4" s="16" customFormat="1" ht="15" customHeight="1">
      <c r="A290" s="85"/>
      <c r="B290" s="86">
        <v>40</v>
      </c>
      <c r="C290" s="86" t="s">
        <v>93</v>
      </c>
      <c r="D290" s="86" t="s">
        <v>94</v>
      </c>
    </row>
    <row r="291" spans="1:4" s="16" customFormat="1" ht="15" customHeight="1">
      <c r="A291" s="85"/>
      <c r="B291" s="86">
        <v>41</v>
      </c>
      <c r="C291" s="86" t="s">
        <v>95</v>
      </c>
      <c r="D291" s="86" t="s">
        <v>96</v>
      </c>
    </row>
    <row r="292" spans="1:4" s="16" customFormat="1" ht="15" customHeight="1">
      <c r="A292" s="85"/>
      <c r="B292" s="86">
        <v>42</v>
      </c>
      <c r="C292" s="86" t="s">
        <v>97</v>
      </c>
      <c r="D292" s="86" t="s">
        <v>98</v>
      </c>
    </row>
    <row r="293" spans="1:4" s="16" customFormat="1" ht="15" customHeight="1">
      <c r="A293" s="85"/>
      <c r="B293" s="86">
        <v>43</v>
      </c>
      <c r="C293" s="86" t="s">
        <v>99</v>
      </c>
      <c r="D293" s="86" t="s">
        <v>100</v>
      </c>
    </row>
    <row r="294" spans="1:4" s="16" customFormat="1" ht="15" customHeight="1">
      <c r="A294" s="85"/>
      <c r="B294" s="86">
        <v>44</v>
      </c>
      <c r="C294" s="86" t="s">
        <v>101</v>
      </c>
      <c r="D294" s="86" t="s">
        <v>102</v>
      </c>
    </row>
    <row r="295" spans="1:4" s="16" customFormat="1" ht="15" customHeight="1">
      <c r="A295" s="85"/>
      <c r="B295" s="86"/>
      <c r="C295" s="86"/>
      <c r="D295" s="86"/>
    </row>
    <row r="296" spans="1:4" s="16" customFormat="1" ht="15" customHeight="1">
      <c r="A296" s="85"/>
      <c r="B296" s="86"/>
      <c r="C296" s="86"/>
      <c r="D296" s="86"/>
    </row>
    <row r="297" spans="1:4" s="16" customFormat="1" ht="15" customHeight="1">
      <c r="A297" s="85"/>
      <c r="B297" s="86"/>
      <c r="C297" s="86"/>
      <c r="D297" s="86"/>
    </row>
    <row r="298" spans="1:4" s="16" customFormat="1" ht="15" customHeight="1">
      <c r="A298" s="85"/>
      <c r="B298" s="86"/>
      <c r="C298" s="86"/>
      <c r="D298" s="86"/>
    </row>
    <row r="299" spans="1:4" s="16" customFormat="1" ht="15" customHeight="1">
      <c r="A299" s="85"/>
      <c r="B299" s="86"/>
      <c r="C299" s="86"/>
      <c r="D299" s="86"/>
    </row>
    <row r="300" spans="1:4" s="16" customFormat="1" ht="15" customHeight="1">
      <c r="A300" s="85"/>
      <c r="B300" s="86"/>
      <c r="C300" s="86"/>
      <c r="D300" s="86"/>
    </row>
    <row r="301" spans="1:4" s="16" customFormat="1" ht="15" customHeight="1">
      <c r="A301" s="85"/>
      <c r="B301" s="86"/>
      <c r="C301" s="86"/>
      <c r="D301" s="86"/>
    </row>
    <row r="302" spans="1:4" s="16" customFormat="1" ht="15" customHeight="1">
      <c r="A302" s="85"/>
      <c r="B302" s="86"/>
      <c r="C302" s="86"/>
      <c r="D302" s="86"/>
    </row>
    <row r="303" spans="1:4" s="16" customFormat="1" ht="15" customHeight="1">
      <c r="A303" s="85"/>
      <c r="B303" s="86"/>
      <c r="C303" s="86"/>
      <c r="D303" s="86"/>
    </row>
    <row r="304" spans="1:4" s="16" customFormat="1" ht="15" customHeight="1">
      <c r="A304" s="85"/>
      <c r="B304" s="86"/>
      <c r="C304" s="86"/>
      <c r="D304" s="86"/>
    </row>
    <row r="305" spans="1:4" s="16" customFormat="1" ht="15" customHeight="1">
      <c r="A305" s="85"/>
      <c r="B305" s="86"/>
      <c r="C305" s="86"/>
      <c r="D305" s="86"/>
    </row>
    <row r="306" spans="1:4" s="16" customFormat="1" ht="15" customHeight="1">
      <c r="A306" s="85"/>
      <c r="B306" s="86"/>
      <c r="C306" s="86"/>
      <c r="D306" s="86"/>
    </row>
    <row r="307" spans="1:4" s="16" customFormat="1" ht="15" customHeight="1">
      <c r="A307" s="85"/>
      <c r="B307" s="86"/>
      <c r="C307" s="86"/>
      <c r="D307" s="86"/>
    </row>
    <row r="308" spans="1:4" s="16" customFormat="1" ht="15" customHeight="1">
      <c r="A308" s="85"/>
      <c r="B308" s="86"/>
      <c r="C308" s="86"/>
      <c r="D308" s="86"/>
    </row>
    <row r="309" spans="1:4" s="16" customFormat="1" ht="15" customHeight="1">
      <c r="A309" s="85"/>
      <c r="B309" s="86"/>
      <c r="C309" s="86"/>
      <c r="D309" s="86"/>
    </row>
    <row r="310" spans="1:4" s="16" customFormat="1" ht="15" customHeight="1">
      <c r="A310" s="85"/>
      <c r="B310" s="86"/>
      <c r="C310" s="86"/>
      <c r="D310" s="86"/>
    </row>
    <row r="311" spans="1:4" s="16" customFormat="1" ht="15" customHeight="1">
      <c r="A311" s="85"/>
      <c r="B311" s="86"/>
      <c r="C311" s="86"/>
      <c r="D311" s="86"/>
    </row>
    <row r="312" spans="1:4" s="16" customFormat="1" ht="15" customHeight="1">
      <c r="A312" s="85"/>
      <c r="B312" s="86"/>
      <c r="C312" s="86"/>
      <c r="D312" s="86"/>
    </row>
    <row r="313" spans="1:4" s="16" customFormat="1" ht="15" customHeight="1">
      <c r="A313" s="85"/>
      <c r="B313" s="86"/>
      <c r="C313" s="86"/>
      <c r="D313" s="86"/>
    </row>
    <row r="314" spans="1:4" s="16" customFormat="1" ht="15" customHeight="1">
      <c r="A314" s="85"/>
      <c r="B314" s="86"/>
      <c r="C314" s="86"/>
      <c r="D314" s="86"/>
    </row>
    <row r="315" spans="1:4" s="16" customFormat="1" ht="15" customHeight="1">
      <c r="A315" s="85"/>
      <c r="B315" s="86"/>
      <c r="C315" s="86"/>
      <c r="D315" s="86"/>
    </row>
    <row r="316" spans="1:4" s="16" customFormat="1" ht="15" customHeight="1">
      <c r="A316" s="85"/>
      <c r="B316" s="86">
        <v>0</v>
      </c>
      <c r="C316" s="86" t="s">
        <v>103</v>
      </c>
      <c r="D316" s="87">
        <v>0</v>
      </c>
    </row>
    <row r="317" spans="1:4" s="16" customFormat="1" ht="15" customHeight="1"/>
    <row r="318" spans="1:4" s="16" customFormat="1" ht="15" customHeight="1"/>
    <row r="319" spans="1:4" s="16" customFormat="1" ht="15" customHeight="1">
      <c r="B319" s="88" t="s">
        <v>104</v>
      </c>
      <c r="C319" s="88">
        <v>2023</v>
      </c>
      <c r="D319" s="88" t="s">
        <v>105</v>
      </c>
    </row>
    <row r="320" spans="1:4" s="16" customFormat="1" ht="15" customHeight="1">
      <c r="B320" s="88" t="s">
        <v>0</v>
      </c>
      <c r="C320" s="88">
        <v>2024</v>
      </c>
      <c r="D320" s="88" t="s">
        <v>106</v>
      </c>
    </row>
    <row r="321" spans="1:29" s="16" customFormat="1" ht="15" customHeight="1">
      <c r="B321" s="88" t="s">
        <v>107</v>
      </c>
      <c r="C321" s="88">
        <v>2025</v>
      </c>
      <c r="D321" s="88" t="s">
        <v>108</v>
      </c>
    </row>
    <row r="322" spans="1:29" s="16" customFormat="1" ht="15" customHeight="1">
      <c r="B322" s="88" t="s">
        <v>109</v>
      </c>
      <c r="C322" s="88">
        <v>2026</v>
      </c>
      <c r="D322" s="88" t="s">
        <v>110</v>
      </c>
    </row>
    <row r="323" spans="1:29" s="16" customFormat="1" ht="15" customHeight="1">
      <c r="B323" s="88" t="s">
        <v>111</v>
      </c>
      <c r="C323" s="88">
        <v>2027</v>
      </c>
      <c r="D323" s="88" t="s">
        <v>112</v>
      </c>
    </row>
    <row r="324" spans="1:29" s="16" customFormat="1" ht="15" customHeight="1">
      <c r="B324" s="88" t="s">
        <v>113</v>
      </c>
      <c r="C324" s="88">
        <v>2028</v>
      </c>
      <c r="D324" s="88" t="s">
        <v>114</v>
      </c>
    </row>
    <row r="325" spans="1:29" customFormat="1" ht="14.25">
      <c r="A325" s="34"/>
      <c r="B325" s="34"/>
      <c r="C325" s="34"/>
      <c r="D325" s="88" t="s">
        <v>115</v>
      </c>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row>
    <row r="326" spans="1:29" customFormat="1" ht="12.75">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row>
    <row r="327" spans="1:29" customFormat="1" ht="12.75">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row>
    <row r="328" spans="1:29" customFormat="1" ht="12.75">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row>
    <row r="329" spans="1:29" customFormat="1" ht="12.75">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row>
    <row r="330" spans="1:29" customFormat="1" ht="12.75">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row>
    <row r="331" spans="1:29" s="16" customFormat="1" ht="15" customHeight="1"/>
    <row r="332" spans="1:29" s="16" customFormat="1" ht="15" customHeight="1"/>
    <row r="333" spans="1:29" s="16" customFormat="1" ht="15" customHeight="1"/>
    <row r="334" spans="1:29" s="16" customFormat="1" ht="15" customHeight="1"/>
    <row r="335" spans="1:29" s="16" customFormat="1" ht="15" customHeight="1"/>
    <row r="336" spans="1:29" s="16" customFormat="1" ht="15" customHeight="1"/>
    <row r="337" s="16" customFormat="1" ht="15" customHeight="1"/>
    <row r="338" s="16" customFormat="1" ht="15" customHeight="1"/>
    <row r="339" s="16" customFormat="1" ht="15" customHeight="1"/>
    <row r="340" s="16" customFormat="1" ht="15" customHeight="1"/>
    <row r="341" s="16" customFormat="1" ht="15" customHeight="1"/>
    <row r="342" s="16" customFormat="1" ht="15" customHeight="1"/>
    <row r="343" s="16" customFormat="1" ht="15" customHeight="1"/>
    <row r="344" s="16" customFormat="1" ht="15" customHeight="1"/>
    <row r="345" s="16" customFormat="1" ht="15" customHeight="1"/>
    <row r="346" s="16" customFormat="1" ht="15" customHeight="1"/>
    <row r="347" s="16" customFormat="1" ht="15" customHeight="1"/>
    <row r="348" s="16" customFormat="1" ht="15" customHeight="1"/>
    <row r="349" s="16" customFormat="1" ht="15" customHeight="1"/>
    <row r="350" s="16" customFormat="1" ht="15" customHeight="1"/>
    <row r="351" s="16" customFormat="1" ht="15" customHeight="1"/>
    <row r="352" s="16" customFormat="1" ht="15" customHeight="1"/>
    <row r="353" s="16" customFormat="1" ht="15" customHeight="1"/>
    <row r="354" s="16" customFormat="1" ht="15" customHeight="1"/>
    <row r="355" s="16" customFormat="1" ht="15" customHeight="1"/>
    <row r="356" s="16" customFormat="1" ht="15" customHeight="1"/>
    <row r="357" s="16" customFormat="1" ht="15" customHeight="1"/>
    <row r="358" s="16" customFormat="1" ht="15" customHeight="1"/>
    <row r="359" s="16" customFormat="1" ht="15" customHeight="1"/>
    <row r="360" s="16" customFormat="1" ht="15" customHeight="1"/>
    <row r="361" s="16" customFormat="1" ht="15" customHeight="1"/>
    <row r="362" s="16" customFormat="1" ht="15" customHeight="1"/>
    <row r="363" s="16" customFormat="1" ht="15" customHeight="1"/>
    <row r="364" s="16" customFormat="1" ht="15" customHeight="1"/>
    <row r="365" s="16" customFormat="1" ht="15" customHeight="1"/>
    <row r="366" s="16" customFormat="1" ht="15" customHeight="1"/>
    <row r="367" s="16" customFormat="1" ht="15" customHeight="1"/>
    <row r="368" s="16" customFormat="1" ht="15" customHeight="1"/>
    <row r="369" spans="1:6" s="16" customFormat="1" ht="15" customHeight="1"/>
    <row r="370" spans="1:6" s="16" customFormat="1" ht="15" customHeight="1"/>
    <row r="371" spans="1:6" s="16" customFormat="1" ht="15" customHeight="1"/>
    <row r="372" spans="1:6" s="16" customFormat="1" ht="15" customHeight="1"/>
    <row r="373" spans="1:6" s="16" customFormat="1" ht="15" customHeight="1"/>
    <row r="374" spans="1:6" s="16" customFormat="1" ht="15" customHeight="1"/>
    <row r="375" spans="1:6" s="17" customFormat="1" ht="15" customHeight="1">
      <c r="A375" s="16"/>
      <c r="B375" s="16"/>
      <c r="C375" s="16"/>
      <c r="D375" s="16"/>
      <c r="E375" s="16"/>
      <c r="F375" s="16"/>
    </row>
    <row r="376" spans="1:6" s="17" customFormat="1" ht="15" customHeight="1">
      <c r="A376" s="16"/>
      <c r="B376" s="16"/>
      <c r="C376" s="16"/>
      <c r="D376" s="16"/>
      <c r="E376" s="16"/>
      <c r="F376" s="16"/>
    </row>
    <row r="377" spans="1:6" s="17" customFormat="1" ht="15" customHeight="1"/>
    <row r="378" spans="1:6" s="17" customFormat="1" ht="15" customHeight="1"/>
    <row r="379" spans="1:6" s="17" customFormat="1" ht="15" customHeight="1"/>
    <row r="380" spans="1:6" s="17" customFormat="1" ht="15" customHeight="1"/>
    <row r="381" spans="1:6" s="17" customFormat="1" ht="15" customHeight="1"/>
    <row r="382" spans="1:6" s="17" customFormat="1" ht="15" customHeight="1"/>
    <row r="383" spans="1:6" s="17" customFormat="1" ht="15" customHeight="1"/>
    <row r="384" spans="1:6" s="17" customFormat="1" ht="15" customHeight="1"/>
    <row r="385" spans="1:6" s="17" customFormat="1" ht="15" customHeight="1"/>
    <row r="386" spans="1:6" s="17" customFormat="1" ht="15" customHeight="1"/>
    <row r="387" spans="1:6" s="17" customFormat="1" ht="15" customHeight="1"/>
    <row r="388" spans="1:6" s="17" customFormat="1" ht="15" customHeight="1"/>
    <row r="389" spans="1:6" s="17" customFormat="1" ht="15" customHeight="1"/>
    <row r="390" spans="1:6" s="17" customFormat="1" ht="15" customHeight="1"/>
    <row r="391" spans="1:6" s="17" customFormat="1" ht="15" customHeight="1"/>
    <row r="392" spans="1:6" s="17" customFormat="1" ht="15" customHeight="1"/>
    <row r="393" spans="1:6" s="17" customFormat="1" ht="15" customHeight="1"/>
    <row r="394" spans="1:6" s="17" customFormat="1" ht="15" customHeight="1"/>
    <row r="395" spans="1:6" s="17" customFormat="1" ht="15" customHeight="1"/>
    <row r="396" spans="1:6" ht="15" customHeight="1">
      <c r="A396" s="17"/>
      <c r="B396" s="17"/>
      <c r="C396" s="17"/>
      <c r="D396" s="17"/>
      <c r="E396" s="17"/>
      <c r="F396" s="17"/>
    </row>
    <row r="397" spans="1:6" ht="15" customHeight="1">
      <c r="A397" s="17"/>
      <c r="B397" s="17"/>
      <c r="C397" s="17"/>
      <c r="D397" s="17"/>
      <c r="E397" s="17"/>
      <c r="F397" s="17"/>
    </row>
  </sheetData>
  <mergeCells count="15">
    <mergeCell ref="B1:B5"/>
    <mergeCell ref="A6:F6"/>
    <mergeCell ref="A7:F7"/>
    <mergeCell ref="A8:F8"/>
    <mergeCell ref="A10:F10"/>
    <mergeCell ref="A11:F11"/>
    <mergeCell ref="B23:F23"/>
    <mergeCell ref="B19:F19"/>
    <mergeCell ref="A27:F27"/>
    <mergeCell ref="B15:F15"/>
    <mergeCell ref="B16:F16"/>
    <mergeCell ref="A21:F21"/>
    <mergeCell ref="B14:F14"/>
    <mergeCell ref="B24:F24"/>
    <mergeCell ref="A26:F26"/>
  </mergeCells>
  <conditionalFormatting sqref="A19">
    <cfRule type="containsBlanks" dxfId="15" priority="1">
      <formula>LEN(TRIM(A19))=0</formula>
    </cfRule>
  </conditionalFormatting>
  <hyperlinks>
    <hyperlink ref="A15" location="'FP1'!A1" display="FP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1:Q51"/>
  <sheetViews>
    <sheetView topLeftCell="A6" zoomScaleNormal="100" workbookViewId="0">
      <selection activeCell="B23" sqref="B23"/>
    </sheetView>
  </sheetViews>
  <sheetFormatPr defaultColWidth="9.140625" defaultRowHeight="42" customHeight="1"/>
  <cols>
    <col min="1" max="1" width="43.42578125" style="10" customWidth="1"/>
    <col min="2" max="2" width="106.140625" style="10" customWidth="1"/>
    <col min="3" max="3" width="74" style="10" customWidth="1"/>
    <col min="4" max="16384" width="9.140625" style="10"/>
  </cols>
  <sheetData>
    <row r="1" spans="1:17" ht="20.25">
      <c r="A1" s="135" t="s">
        <v>116</v>
      </c>
      <c r="B1" s="135"/>
      <c r="C1" s="45"/>
      <c r="D1" s="45"/>
      <c r="E1" s="45"/>
      <c r="F1" s="45"/>
      <c r="G1" s="45"/>
      <c r="H1" s="45"/>
      <c r="I1" s="45"/>
      <c r="J1" s="45"/>
      <c r="K1" s="45"/>
      <c r="L1" s="45"/>
      <c r="M1" s="45"/>
      <c r="N1" s="45"/>
      <c r="O1" s="45"/>
      <c r="P1" s="45"/>
      <c r="Q1" s="45"/>
    </row>
    <row r="2" spans="1:17" ht="20.25">
      <c r="A2" s="44"/>
      <c r="B2" s="45"/>
      <c r="C2" s="45"/>
      <c r="D2" s="45"/>
      <c r="E2" s="45"/>
      <c r="F2" s="45"/>
      <c r="G2" s="45"/>
      <c r="H2" s="45"/>
      <c r="I2" s="45"/>
      <c r="J2" s="45"/>
      <c r="K2" s="45"/>
      <c r="L2" s="45"/>
      <c r="M2" s="45"/>
      <c r="N2" s="45"/>
      <c r="O2" s="45"/>
      <c r="P2" s="45"/>
      <c r="Q2" s="45"/>
    </row>
    <row r="3" spans="1:17" ht="42" customHeight="1">
      <c r="A3" s="136" t="s">
        <v>117</v>
      </c>
      <c r="B3" s="136"/>
      <c r="C3" s="45"/>
      <c r="D3" s="45"/>
      <c r="E3" s="45"/>
      <c r="F3" s="45"/>
      <c r="G3" s="45"/>
      <c r="H3" s="45"/>
      <c r="I3" s="45"/>
      <c r="J3" s="45"/>
      <c r="K3" s="45"/>
      <c r="L3" s="45"/>
      <c r="M3" s="45"/>
      <c r="N3" s="45"/>
      <c r="O3" s="45"/>
      <c r="P3" s="45"/>
      <c r="Q3" s="45"/>
    </row>
    <row r="4" spans="1:17" ht="15">
      <c r="A4" s="46"/>
      <c r="B4" s="45"/>
      <c r="C4" s="45"/>
      <c r="D4" s="45"/>
      <c r="E4" s="45"/>
      <c r="F4" s="45"/>
      <c r="G4" s="45"/>
      <c r="H4" s="45"/>
      <c r="I4" s="45"/>
      <c r="J4" s="45"/>
      <c r="K4" s="45"/>
      <c r="L4" s="45"/>
      <c r="M4" s="45"/>
      <c r="N4" s="45"/>
      <c r="O4" s="45"/>
      <c r="P4" s="45"/>
      <c r="Q4" s="45"/>
    </row>
    <row r="5" spans="1:17" ht="17.25" customHeight="1">
      <c r="A5" s="137" t="s">
        <v>212</v>
      </c>
      <c r="B5" s="137"/>
      <c r="C5" s="45"/>
      <c r="D5" s="45"/>
      <c r="E5" s="45"/>
      <c r="F5" s="45"/>
      <c r="G5" s="45"/>
      <c r="H5" s="45"/>
      <c r="I5" s="45"/>
      <c r="J5" s="45"/>
      <c r="K5" s="45"/>
      <c r="L5" s="45"/>
      <c r="M5" s="45"/>
      <c r="N5" s="45"/>
      <c r="O5" s="45"/>
      <c r="P5" s="45"/>
      <c r="Q5" s="45"/>
    </row>
    <row r="6" spans="1:17" ht="15">
      <c r="A6" s="47"/>
      <c r="B6" s="47"/>
      <c r="C6" s="45"/>
      <c r="D6" s="45"/>
      <c r="E6" s="45"/>
      <c r="F6" s="45"/>
      <c r="G6" s="45"/>
      <c r="H6" s="45"/>
      <c r="I6" s="45"/>
      <c r="J6" s="45"/>
      <c r="K6" s="45"/>
      <c r="L6" s="45"/>
      <c r="M6" s="45"/>
      <c r="N6" s="45"/>
      <c r="O6" s="45"/>
      <c r="P6" s="45"/>
      <c r="Q6" s="45"/>
    </row>
    <row r="7" spans="1:17" ht="15">
      <c r="A7" s="48" t="s">
        <v>118</v>
      </c>
      <c r="B7" s="45"/>
      <c r="C7" s="45"/>
      <c r="D7" s="45"/>
      <c r="E7" s="45"/>
      <c r="F7" s="45"/>
      <c r="G7" s="45"/>
      <c r="H7" s="45"/>
      <c r="I7" s="45"/>
      <c r="J7" s="45"/>
      <c r="K7" s="45"/>
      <c r="L7" s="45"/>
      <c r="M7" s="45"/>
      <c r="N7" s="45"/>
      <c r="O7" s="45"/>
      <c r="P7" s="45"/>
      <c r="Q7" s="45"/>
    </row>
    <row r="8" spans="1:17" ht="15">
      <c r="A8" s="48"/>
      <c r="B8" s="45"/>
      <c r="C8" s="45"/>
      <c r="D8" s="45"/>
      <c r="E8" s="45"/>
      <c r="F8" s="45"/>
      <c r="G8" s="45"/>
      <c r="H8" s="45"/>
      <c r="I8" s="45"/>
      <c r="J8" s="45"/>
      <c r="K8" s="45"/>
      <c r="L8" s="45"/>
      <c r="M8" s="45"/>
      <c r="N8" s="45"/>
      <c r="O8" s="45"/>
      <c r="P8" s="45"/>
      <c r="Q8" s="45"/>
    </row>
    <row r="9" spans="1:17" ht="122.25">
      <c r="A9" s="49" t="s">
        <v>119</v>
      </c>
      <c r="B9" s="47" t="s">
        <v>120</v>
      </c>
      <c r="C9" s="45"/>
      <c r="D9" s="45"/>
      <c r="E9" s="45"/>
      <c r="F9" s="45"/>
      <c r="G9" s="45"/>
      <c r="H9" s="45"/>
      <c r="I9" s="45"/>
      <c r="J9" s="45"/>
      <c r="K9" s="45"/>
      <c r="L9" s="45"/>
      <c r="M9" s="45"/>
      <c r="N9" s="45"/>
      <c r="O9" s="45"/>
      <c r="P9" s="45"/>
      <c r="Q9" s="45"/>
    </row>
    <row r="10" spans="1:17" ht="18.75" customHeight="1">
      <c r="A10" s="45"/>
      <c r="B10" s="69" t="s">
        <v>121</v>
      </c>
      <c r="C10" s="45"/>
      <c r="D10" s="45"/>
      <c r="E10" s="45"/>
      <c r="F10" s="45"/>
      <c r="G10" s="45"/>
      <c r="H10" s="45"/>
      <c r="I10" s="45"/>
      <c r="J10" s="45"/>
      <c r="K10" s="45"/>
      <c r="L10" s="45"/>
      <c r="M10" s="45"/>
      <c r="N10" s="45"/>
      <c r="O10" s="45"/>
      <c r="P10" s="45"/>
      <c r="Q10" s="45"/>
    </row>
    <row r="11" spans="1:17" ht="16.7" customHeight="1">
      <c r="A11" s="45"/>
      <c r="B11" s="69" t="s">
        <v>122</v>
      </c>
      <c r="C11" s="45"/>
      <c r="D11" s="45"/>
      <c r="E11" s="45"/>
      <c r="F11" s="45"/>
      <c r="G11" s="45"/>
      <c r="H11" s="45"/>
      <c r="I11" s="45"/>
      <c r="J11" s="45"/>
      <c r="K11" s="45"/>
      <c r="L11" s="45"/>
      <c r="M11" s="45"/>
      <c r="N11" s="45"/>
      <c r="O11" s="45"/>
      <c r="P11" s="45"/>
      <c r="Q11" s="45"/>
    </row>
    <row r="12" spans="1:17" ht="31.5" customHeight="1">
      <c r="A12" s="45"/>
      <c r="B12" s="50" t="s">
        <v>123</v>
      </c>
      <c r="C12" s="45"/>
      <c r="D12" s="45"/>
      <c r="E12" s="45"/>
      <c r="F12" s="45"/>
      <c r="G12" s="45"/>
      <c r="H12" s="45"/>
      <c r="I12" s="45"/>
      <c r="J12" s="45"/>
      <c r="K12" s="45"/>
      <c r="L12" s="45"/>
      <c r="M12" s="45"/>
      <c r="N12" s="45"/>
      <c r="O12" s="45"/>
      <c r="P12" s="45"/>
      <c r="Q12" s="45"/>
    </row>
    <row r="13" spans="1:17" ht="20.25" customHeight="1">
      <c r="A13" s="45"/>
      <c r="B13" s="72" t="s">
        <v>124</v>
      </c>
      <c r="C13" s="11"/>
      <c r="D13" s="12" t="s">
        <v>125</v>
      </c>
      <c r="E13" s="12"/>
      <c r="F13" s="12"/>
      <c r="G13" s="12"/>
      <c r="H13" s="45"/>
      <c r="I13" s="45"/>
      <c r="J13" s="45"/>
      <c r="K13" s="45"/>
      <c r="L13" s="45"/>
      <c r="M13" s="45"/>
      <c r="N13" s="45"/>
      <c r="O13" s="45"/>
      <c r="P13" s="45"/>
      <c r="Q13" s="45"/>
    </row>
    <row r="14" spans="1:17" ht="117" customHeight="1">
      <c r="A14" s="45"/>
      <c r="B14" s="71" t="s">
        <v>126</v>
      </c>
      <c r="C14" s="11"/>
      <c r="D14" s="12"/>
      <c r="E14" s="12"/>
      <c r="F14" s="12"/>
      <c r="G14" s="12"/>
      <c r="H14" s="45"/>
      <c r="I14" s="45"/>
      <c r="J14" s="45"/>
      <c r="K14" s="45"/>
      <c r="L14" s="45"/>
      <c r="M14" s="45"/>
      <c r="N14" s="45"/>
      <c r="O14" s="45"/>
      <c r="P14" s="45"/>
      <c r="Q14" s="45"/>
    </row>
    <row r="15" spans="1:17" ht="15.6" customHeight="1">
      <c r="A15" s="45"/>
      <c r="B15" s="49"/>
      <c r="C15" s="12"/>
      <c r="D15" s="45"/>
      <c r="E15" s="12"/>
      <c r="F15" s="12"/>
      <c r="G15" s="12"/>
      <c r="H15" s="45"/>
      <c r="I15" s="45"/>
      <c r="J15" s="45"/>
      <c r="K15" s="45"/>
      <c r="L15" s="45"/>
      <c r="M15" s="45"/>
      <c r="N15" s="45"/>
      <c r="O15" s="45"/>
      <c r="P15" s="45"/>
      <c r="Q15" s="45"/>
    </row>
    <row r="16" spans="1:17" ht="36.75" customHeight="1">
      <c r="A16" s="70" t="s">
        <v>127</v>
      </c>
      <c r="B16" s="72" t="s">
        <v>128</v>
      </c>
      <c r="C16" s="45"/>
      <c r="D16" s="45"/>
      <c r="E16" s="45"/>
      <c r="F16" s="45"/>
      <c r="G16" s="45"/>
      <c r="H16" s="45"/>
      <c r="I16" s="45"/>
      <c r="J16" s="45"/>
      <c r="K16" s="45"/>
      <c r="L16" s="45"/>
      <c r="M16" s="45"/>
      <c r="N16" s="45"/>
      <c r="O16" s="45"/>
      <c r="P16" s="45"/>
      <c r="Q16" s="45"/>
    </row>
    <row r="17" spans="1:17" ht="21" customHeight="1">
      <c r="A17" s="49"/>
      <c r="B17" s="72" t="s">
        <v>129</v>
      </c>
      <c r="C17" s="45"/>
      <c r="D17" s="45"/>
      <c r="E17" s="45"/>
      <c r="F17" s="45"/>
      <c r="G17" s="45"/>
      <c r="H17" s="45"/>
      <c r="I17" s="45"/>
      <c r="J17" s="45"/>
      <c r="K17" s="45"/>
      <c r="L17" s="45"/>
      <c r="M17" s="45"/>
      <c r="N17" s="45"/>
      <c r="O17" s="45"/>
      <c r="P17" s="45"/>
      <c r="Q17" s="45"/>
    </row>
    <row r="18" spans="1:17" ht="21" customHeight="1">
      <c r="A18" s="49"/>
      <c r="B18" s="72" t="s">
        <v>130</v>
      </c>
      <c r="C18" s="45"/>
      <c r="D18" s="45"/>
      <c r="E18" s="45"/>
      <c r="F18" s="45"/>
      <c r="G18" s="45"/>
      <c r="H18" s="45"/>
      <c r="I18" s="45"/>
      <c r="J18" s="45"/>
      <c r="K18" s="45"/>
      <c r="L18" s="45"/>
      <c r="M18" s="45"/>
      <c r="N18" s="45"/>
      <c r="O18" s="45"/>
      <c r="P18" s="45"/>
      <c r="Q18" s="45"/>
    </row>
    <row r="19" spans="1:17" ht="21" customHeight="1">
      <c r="A19" s="49"/>
      <c r="B19" s="72" t="s">
        <v>213</v>
      </c>
      <c r="C19" s="45"/>
      <c r="D19" s="45"/>
      <c r="E19" s="45"/>
      <c r="F19" s="45"/>
      <c r="G19" s="45"/>
      <c r="H19" s="45"/>
      <c r="I19" s="45"/>
      <c r="J19" s="45"/>
      <c r="K19" s="45"/>
      <c r="L19" s="45"/>
      <c r="M19" s="45"/>
      <c r="N19" s="45"/>
      <c r="O19" s="45"/>
      <c r="P19" s="45"/>
      <c r="Q19" s="45"/>
    </row>
    <row r="20" spans="1:17" ht="21" customHeight="1">
      <c r="A20" s="49"/>
      <c r="B20" s="72" t="s">
        <v>131</v>
      </c>
      <c r="C20" s="45"/>
      <c r="D20" s="45"/>
      <c r="E20" s="45"/>
      <c r="F20" s="45"/>
      <c r="G20" s="45"/>
      <c r="H20" s="45"/>
      <c r="I20" s="45"/>
      <c r="J20" s="45"/>
      <c r="K20" s="45"/>
      <c r="L20" s="45"/>
      <c r="M20" s="45"/>
      <c r="N20" s="45"/>
      <c r="O20" s="45"/>
      <c r="P20" s="45"/>
      <c r="Q20" s="45"/>
    </row>
    <row r="21" spans="1:17" ht="21" customHeight="1">
      <c r="A21" s="49"/>
      <c r="B21" s="72" t="s">
        <v>132</v>
      </c>
      <c r="C21" s="45"/>
      <c r="D21" s="45"/>
      <c r="E21" s="45"/>
      <c r="F21" s="45"/>
      <c r="G21" s="45"/>
      <c r="H21" s="45"/>
      <c r="I21" s="45"/>
      <c r="J21" s="45"/>
      <c r="K21" s="45"/>
      <c r="L21" s="45"/>
      <c r="M21" s="45"/>
      <c r="N21" s="45"/>
      <c r="O21" s="45"/>
      <c r="P21" s="45"/>
      <c r="Q21" s="45"/>
    </row>
    <row r="22" spans="1:17" ht="21" customHeight="1">
      <c r="A22" s="49"/>
      <c r="B22" s="72" t="s">
        <v>214</v>
      </c>
      <c r="C22" s="45"/>
      <c r="D22" s="45"/>
      <c r="E22" s="45"/>
      <c r="F22" s="45"/>
      <c r="G22" s="45"/>
      <c r="H22" s="45"/>
      <c r="I22" s="45"/>
      <c r="J22" s="45"/>
      <c r="K22" s="45"/>
      <c r="L22" s="45"/>
      <c r="M22" s="45"/>
      <c r="N22" s="45"/>
      <c r="O22" s="45"/>
      <c r="P22" s="45"/>
      <c r="Q22" s="45"/>
    </row>
    <row r="23" spans="1:17" ht="15">
      <c r="A23" s="50"/>
      <c r="B23" s="47"/>
      <c r="C23" s="45"/>
      <c r="D23" s="45"/>
      <c r="E23" s="45"/>
      <c r="F23" s="45"/>
      <c r="G23" s="45"/>
      <c r="H23" s="45"/>
      <c r="I23" s="45"/>
      <c r="J23" s="45"/>
      <c r="K23" s="45"/>
      <c r="L23" s="45"/>
      <c r="M23" s="45"/>
      <c r="N23" s="45"/>
      <c r="O23" s="45"/>
      <c r="P23" s="45"/>
      <c r="Q23" s="45"/>
    </row>
    <row r="24" spans="1:17" ht="15.75">
      <c r="A24" s="49" t="s">
        <v>133</v>
      </c>
      <c r="B24" s="47" t="s">
        <v>134</v>
      </c>
      <c r="C24" s="45"/>
      <c r="D24" s="45"/>
      <c r="E24" s="45"/>
      <c r="F24" s="45"/>
      <c r="G24" s="45"/>
      <c r="H24" s="45"/>
      <c r="I24" s="45"/>
      <c r="J24" s="45"/>
      <c r="K24" s="45"/>
      <c r="L24" s="45"/>
      <c r="M24" s="45"/>
      <c r="N24" s="45"/>
      <c r="O24" s="45"/>
      <c r="P24" s="45"/>
      <c r="Q24" s="45"/>
    </row>
    <row r="25" spans="1:17" ht="16.5" customHeight="1">
      <c r="A25" s="50"/>
      <c r="B25" s="73" t="s">
        <v>135</v>
      </c>
      <c r="C25" s="45"/>
      <c r="D25" s="45"/>
      <c r="E25" s="45"/>
      <c r="F25" s="45"/>
      <c r="G25" s="45"/>
      <c r="H25" s="45"/>
      <c r="I25" s="45"/>
      <c r="J25" s="45"/>
      <c r="K25" s="45"/>
      <c r="L25" s="45"/>
      <c r="M25" s="45"/>
      <c r="N25" s="45"/>
      <c r="O25" s="45"/>
      <c r="P25" s="45"/>
      <c r="Q25" s="45"/>
    </row>
    <row r="26" spans="1:17" ht="16.5" customHeight="1">
      <c r="A26" s="50"/>
      <c r="B26" s="73" t="s">
        <v>136</v>
      </c>
      <c r="C26" s="45"/>
      <c r="D26" s="45"/>
      <c r="E26" s="45"/>
      <c r="F26" s="45"/>
      <c r="G26" s="45"/>
      <c r="H26" s="45"/>
      <c r="I26" s="45"/>
      <c r="J26" s="45"/>
      <c r="K26" s="45"/>
      <c r="L26" s="45"/>
      <c r="M26" s="45"/>
      <c r="N26" s="45"/>
      <c r="O26" s="45"/>
      <c r="P26" s="45"/>
      <c r="Q26" s="45"/>
    </row>
    <row r="27" spans="1:17" ht="16.5" customHeight="1">
      <c r="A27" s="50"/>
      <c r="B27" s="73" t="s">
        <v>137</v>
      </c>
      <c r="C27" s="45"/>
      <c r="D27" s="45"/>
      <c r="E27" s="45"/>
      <c r="F27" s="45"/>
      <c r="G27" s="45"/>
      <c r="H27" s="45"/>
      <c r="I27" s="45"/>
      <c r="J27" s="45"/>
      <c r="K27" s="45"/>
      <c r="L27" s="45"/>
      <c r="M27" s="45"/>
      <c r="N27" s="45"/>
      <c r="O27" s="45"/>
      <c r="P27" s="45"/>
      <c r="Q27" s="45"/>
    </row>
    <row r="28" spans="1:17" ht="16.5" customHeight="1">
      <c r="A28" s="50"/>
      <c r="B28" s="73" t="s">
        <v>138</v>
      </c>
      <c r="C28" s="45"/>
      <c r="D28" s="45"/>
      <c r="E28" s="45"/>
      <c r="F28" s="45"/>
      <c r="G28" s="45"/>
      <c r="H28" s="45"/>
      <c r="I28" s="45"/>
      <c r="J28" s="45"/>
      <c r="K28" s="45"/>
      <c r="L28" s="45"/>
      <c r="M28" s="45"/>
      <c r="N28" s="45"/>
      <c r="O28" s="45"/>
      <c r="P28" s="45"/>
      <c r="Q28" s="45"/>
    </row>
    <row r="29" spans="1:17" ht="16.5" customHeight="1">
      <c r="A29" s="50"/>
      <c r="B29" s="73" t="s">
        <v>139</v>
      </c>
      <c r="C29" s="45"/>
      <c r="D29" s="45"/>
      <c r="E29" s="45"/>
      <c r="F29" s="45"/>
      <c r="G29" s="45"/>
      <c r="H29" s="45"/>
      <c r="I29" s="45"/>
      <c r="J29" s="45"/>
      <c r="K29" s="45"/>
      <c r="L29" s="45"/>
      <c r="M29" s="45"/>
      <c r="N29" s="45"/>
      <c r="O29" s="45"/>
      <c r="P29" s="45"/>
      <c r="Q29" s="45"/>
    </row>
    <row r="30" spans="1:17" ht="16.5" customHeight="1">
      <c r="A30" s="50"/>
      <c r="B30" s="73" t="s">
        <v>140</v>
      </c>
      <c r="C30" s="45"/>
      <c r="D30" s="45"/>
      <c r="E30" s="45"/>
      <c r="F30" s="45"/>
      <c r="G30" s="45"/>
      <c r="H30" s="45"/>
      <c r="I30" s="45"/>
      <c r="J30" s="45"/>
      <c r="K30" s="45"/>
      <c r="L30" s="45"/>
      <c r="M30" s="45"/>
      <c r="N30" s="45"/>
      <c r="O30" s="45"/>
      <c r="P30" s="45"/>
      <c r="Q30" s="45"/>
    </row>
    <row r="31" spans="1:17" ht="15">
      <c r="A31" s="50"/>
      <c r="B31" s="47"/>
      <c r="C31" s="45"/>
      <c r="D31" s="45"/>
      <c r="E31" s="45"/>
      <c r="F31" s="45"/>
      <c r="G31" s="45"/>
      <c r="H31" s="45"/>
      <c r="I31" s="45"/>
      <c r="J31" s="45"/>
      <c r="K31" s="45"/>
      <c r="L31" s="45"/>
      <c r="M31" s="45"/>
      <c r="N31" s="45"/>
      <c r="O31" s="45"/>
      <c r="P31" s="45"/>
      <c r="Q31" s="45"/>
    </row>
    <row r="32" spans="1:17" ht="15.75">
      <c r="A32" s="49" t="s">
        <v>141</v>
      </c>
      <c r="B32" s="47" t="s">
        <v>142</v>
      </c>
      <c r="C32" s="45"/>
      <c r="D32" s="45"/>
      <c r="E32" s="45"/>
      <c r="F32" s="45"/>
      <c r="G32" s="45"/>
      <c r="H32" s="45"/>
      <c r="I32" s="45"/>
      <c r="J32" s="45"/>
      <c r="K32" s="45"/>
      <c r="L32" s="45"/>
      <c r="M32" s="45"/>
      <c r="N32" s="45"/>
      <c r="O32" s="45"/>
      <c r="P32" s="45"/>
      <c r="Q32" s="45"/>
    </row>
    <row r="33" spans="1:17" ht="15">
      <c r="A33" s="47"/>
      <c r="B33" s="45"/>
      <c r="C33" s="45"/>
      <c r="D33" s="45"/>
      <c r="E33" s="45"/>
      <c r="F33" s="45"/>
      <c r="G33" s="45"/>
      <c r="H33" s="45"/>
      <c r="I33" s="45"/>
      <c r="J33" s="45"/>
      <c r="K33" s="45"/>
      <c r="L33" s="45"/>
      <c r="M33" s="45"/>
      <c r="N33" s="45"/>
      <c r="O33" s="45"/>
      <c r="P33" s="45"/>
      <c r="Q33" s="45"/>
    </row>
    <row r="34" spans="1:17" ht="30.75">
      <c r="A34" s="49" t="s">
        <v>143</v>
      </c>
      <c r="B34" s="47" t="s">
        <v>144</v>
      </c>
      <c r="C34" s="45"/>
      <c r="D34" s="45"/>
      <c r="E34" s="45"/>
      <c r="F34" s="45"/>
      <c r="G34" s="45"/>
      <c r="H34" s="45"/>
      <c r="I34" s="45"/>
      <c r="J34" s="45"/>
      <c r="K34" s="45"/>
      <c r="L34" s="45"/>
      <c r="M34" s="45"/>
      <c r="N34" s="45"/>
      <c r="O34" s="45"/>
      <c r="P34" s="45"/>
      <c r="Q34" s="45"/>
    </row>
    <row r="35" spans="1:17" ht="15.75">
      <c r="A35" s="49"/>
      <c r="B35" s="46" t="s">
        <v>145</v>
      </c>
      <c r="C35" s="46"/>
      <c r="D35" s="46"/>
      <c r="E35" s="46"/>
      <c r="F35" s="46"/>
      <c r="G35" s="46"/>
      <c r="H35" s="46"/>
      <c r="I35" s="46"/>
      <c r="J35" s="46"/>
      <c r="K35" s="46"/>
      <c r="L35" s="46"/>
      <c r="M35" s="45"/>
      <c r="N35" s="45"/>
      <c r="O35" s="45"/>
      <c r="P35" s="45"/>
      <c r="Q35" s="45"/>
    </row>
    <row r="36" spans="1:17" ht="30">
      <c r="A36" s="45"/>
      <c r="B36" s="74" t="s">
        <v>146</v>
      </c>
      <c r="C36" s="46"/>
      <c r="D36" s="46"/>
      <c r="E36" s="46"/>
      <c r="F36" s="46"/>
      <c r="G36" s="46"/>
      <c r="H36" s="46"/>
      <c r="I36" s="46"/>
      <c r="J36" s="46"/>
      <c r="K36" s="46"/>
      <c r="L36" s="46"/>
      <c r="M36" s="45"/>
      <c r="N36" s="45"/>
      <c r="O36" s="45"/>
      <c r="P36" s="45"/>
      <c r="Q36" s="45"/>
    </row>
    <row r="37" spans="1:17" ht="15.75">
      <c r="A37" s="45"/>
      <c r="B37" s="51"/>
      <c r="C37" s="45"/>
      <c r="D37" s="45"/>
      <c r="E37" s="45"/>
      <c r="F37" s="45"/>
      <c r="G37" s="45"/>
      <c r="H37" s="45"/>
      <c r="I37" s="45"/>
      <c r="J37" s="45"/>
      <c r="K37" s="45"/>
      <c r="L37" s="45"/>
      <c r="M37" s="45"/>
      <c r="N37" s="45"/>
      <c r="O37" s="45"/>
      <c r="P37" s="45"/>
      <c r="Q37" s="45"/>
    </row>
    <row r="38" spans="1:17" ht="35.450000000000003" customHeight="1">
      <c r="B38" s="46" t="s">
        <v>147</v>
      </c>
      <c r="C38" s="45"/>
      <c r="D38" s="45"/>
      <c r="E38" s="45"/>
      <c r="F38" s="45"/>
      <c r="G38" s="45"/>
      <c r="H38" s="45"/>
      <c r="I38" s="45"/>
      <c r="J38" s="45"/>
      <c r="K38" s="45"/>
      <c r="L38" s="45"/>
      <c r="M38" s="45"/>
      <c r="N38" s="45"/>
      <c r="O38" s="45"/>
      <c r="P38" s="45"/>
      <c r="Q38" s="45"/>
    </row>
    <row r="39" spans="1:17" ht="15.75">
      <c r="A39" s="52"/>
      <c r="B39" s="52"/>
      <c r="C39" s="45"/>
      <c r="D39" s="45"/>
      <c r="E39" s="45"/>
      <c r="F39" s="45"/>
      <c r="G39" s="45"/>
      <c r="H39" s="45"/>
      <c r="I39" s="45"/>
      <c r="J39" s="45"/>
      <c r="K39" s="45"/>
      <c r="L39" s="45"/>
      <c r="M39" s="45"/>
      <c r="N39" s="45"/>
      <c r="O39" s="45"/>
      <c r="P39" s="45"/>
      <c r="Q39" s="45"/>
    </row>
    <row r="40" spans="1:17" ht="135">
      <c r="A40" s="52" t="s">
        <v>148</v>
      </c>
      <c r="B40" s="50" t="s">
        <v>149</v>
      </c>
      <c r="C40" s="45"/>
      <c r="D40" s="45"/>
      <c r="E40" s="45"/>
      <c r="F40" s="45"/>
      <c r="G40" s="45"/>
      <c r="H40" s="45"/>
      <c r="I40" s="45"/>
      <c r="J40" s="45"/>
      <c r="K40" s="45"/>
      <c r="L40" s="45"/>
      <c r="M40" s="45"/>
      <c r="N40" s="45"/>
      <c r="O40" s="45"/>
      <c r="P40" s="45"/>
      <c r="Q40" s="45"/>
    </row>
    <row r="41" spans="1:17" ht="23.45" customHeight="1">
      <c r="A41" s="45"/>
      <c r="B41" s="45"/>
      <c r="C41" s="45"/>
      <c r="D41" s="45"/>
      <c r="E41" s="45"/>
      <c r="F41" s="45"/>
      <c r="G41" s="45"/>
      <c r="H41" s="45"/>
      <c r="I41" s="45"/>
      <c r="J41" s="45"/>
      <c r="K41" s="45"/>
      <c r="L41" s="45"/>
      <c r="M41" s="45"/>
      <c r="N41" s="45"/>
      <c r="O41" s="45"/>
      <c r="P41" s="45"/>
      <c r="Q41" s="45"/>
    </row>
    <row r="42" spans="1:17" ht="121.5">
      <c r="A42" s="49" t="s">
        <v>150</v>
      </c>
      <c r="B42" s="102" t="s">
        <v>151</v>
      </c>
      <c r="C42" s="45"/>
      <c r="D42" s="45"/>
      <c r="E42" s="45"/>
      <c r="F42" s="45"/>
      <c r="G42" s="45"/>
      <c r="H42" s="45"/>
      <c r="I42" s="45"/>
      <c r="J42" s="45"/>
      <c r="K42" s="45"/>
      <c r="L42" s="45"/>
      <c r="M42" s="45"/>
      <c r="N42" s="45"/>
      <c r="O42" s="45"/>
      <c r="P42" s="45"/>
      <c r="Q42" s="45"/>
    </row>
    <row r="43" spans="1:17" ht="12.75">
      <c r="A43" s="45"/>
      <c r="C43" s="45"/>
      <c r="D43" s="45"/>
      <c r="E43" s="45"/>
      <c r="F43" s="45"/>
      <c r="G43" s="45"/>
      <c r="H43" s="45"/>
      <c r="I43" s="45"/>
      <c r="J43" s="45"/>
      <c r="K43" s="45"/>
      <c r="L43" s="45"/>
      <c r="M43" s="45"/>
      <c r="N43" s="45"/>
      <c r="O43" s="45"/>
      <c r="P43" s="45"/>
      <c r="Q43" s="45"/>
    </row>
    <row r="44" spans="1:17" ht="36.75" customHeight="1">
      <c r="A44" s="45"/>
      <c r="B44" s="46" t="s">
        <v>152</v>
      </c>
      <c r="D44" s="45"/>
      <c r="E44" s="45"/>
      <c r="F44" s="45"/>
      <c r="G44" s="45"/>
      <c r="H44" s="45"/>
      <c r="I44" s="45"/>
      <c r="J44" s="45"/>
      <c r="K44" s="45"/>
      <c r="L44" s="45"/>
      <c r="M44" s="45"/>
      <c r="N44" s="45"/>
      <c r="O44" s="45"/>
      <c r="P44" s="45"/>
      <c r="Q44" s="45"/>
    </row>
    <row r="45" spans="1:17" ht="24.75" customHeight="1">
      <c r="A45" s="45"/>
      <c r="B45" s="46" t="s">
        <v>153</v>
      </c>
      <c r="D45" s="45"/>
      <c r="E45" s="45"/>
      <c r="F45" s="45"/>
      <c r="G45" s="45"/>
      <c r="H45" s="45"/>
      <c r="I45" s="45"/>
      <c r="J45" s="45"/>
      <c r="K45" s="45"/>
      <c r="L45" s="45"/>
      <c r="M45" s="45"/>
      <c r="N45" s="45"/>
      <c r="O45" s="45"/>
      <c r="P45" s="45"/>
      <c r="Q45" s="45"/>
    </row>
    <row r="46" spans="1:17" ht="42" customHeight="1">
      <c r="A46" s="45"/>
      <c r="B46" s="75" t="s">
        <v>154</v>
      </c>
      <c r="D46" s="45"/>
      <c r="E46" s="45"/>
      <c r="F46" s="45"/>
      <c r="G46" s="45"/>
      <c r="H46" s="45"/>
      <c r="I46" s="45"/>
      <c r="J46" s="45"/>
      <c r="K46" s="45"/>
      <c r="L46" s="45"/>
      <c r="M46" s="45"/>
      <c r="N46" s="45"/>
      <c r="O46" s="45"/>
      <c r="P46" s="45"/>
      <c r="Q46" s="45"/>
    </row>
    <row r="47" spans="1:17" ht="42" customHeight="1">
      <c r="A47" s="45"/>
      <c r="B47" s="46" t="s">
        <v>155</v>
      </c>
      <c r="D47" s="45"/>
      <c r="E47" s="45"/>
      <c r="F47" s="45"/>
      <c r="G47" s="45"/>
      <c r="H47" s="45"/>
      <c r="I47" s="45"/>
      <c r="J47" s="45"/>
      <c r="K47" s="45"/>
      <c r="L47" s="45"/>
      <c r="M47" s="45"/>
      <c r="N47" s="45"/>
      <c r="O47" s="45"/>
      <c r="P47" s="45"/>
      <c r="Q47" s="45"/>
    </row>
    <row r="48" spans="1:17" ht="42" customHeight="1">
      <c r="A48" s="45"/>
      <c r="B48" s="45"/>
      <c r="C48" s="45"/>
      <c r="D48" s="45"/>
      <c r="E48" s="45"/>
      <c r="F48" s="45"/>
      <c r="G48" s="45"/>
      <c r="H48" s="45"/>
      <c r="I48" s="45"/>
      <c r="J48" s="45"/>
      <c r="K48" s="45"/>
      <c r="L48" s="45"/>
      <c r="M48" s="45"/>
      <c r="N48" s="45"/>
      <c r="O48" s="45"/>
      <c r="P48" s="45"/>
      <c r="Q48" s="45"/>
    </row>
    <row r="49" spans="1:17" ht="42" customHeight="1">
      <c r="A49" s="45"/>
      <c r="B49" s="45"/>
      <c r="C49" s="45"/>
      <c r="D49" s="45"/>
      <c r="E49" s="45"/>
      <c r="F49" s="45"/>
      <c r="G49" s="45"/>
      <c r="H49" s="45"/>
      <c r="I49" s="45"/>
      <c r="J49" s="45"/>
      <c r="K49" s="45"/>
      <c r="L49" s="45"/>
      <c r="M49" s="45"/>
      <c r="N49" s="45"/>
      <c r="O49" s="45"/>
      <c r="P49" s="45"/>
      <c r="Q49" s="45"/>
    </row>
    <row r="50" spans="1:17" ht="42" customHeight="1">
      <c r="A50" s="45"/>
      <c r="B50" s="45"/>
      <c r="C50" s="45"/>
      <c r="D50" s="45"/>
      <c r="E50" s="45"/>
      <c r="F50" s="45"/>
      <c r="G50" s="45"/>
      <c r="H50" s="45"/>
      <c r="I50" s="45"/>
      <c r="J50" s="45"/>
      <c r="K50" s="45"/>
      <c r="L50" s="45"/>
      <c r="M50" s="45"/>
      <c r="N50" s="45"/>
      <c r="O50" s="45"/>
      <c r="P50" s="45"/>
      <c r="Q50" s="45"/>
    </row>
    <row r="51" spans="1:17" ht="42" customHeight="1">
      <c r="C51" s="45"/>
      <c r="D51" s="45"/>
      <c r="E51" s="45"/>
      <c r="F51" s="45"/>
      <c r="G51" s="45"/>
      <c r="H51" s="45"/>
      <c r="I51" s="45"/>
      <c r="J51" s="45"/>
      <c r="K51" s="45"/>
      <c r="L51" s="45"/>
      <c r="M51" s="45"/>
      <c r="N51" s="45"/>
      <c r="O51" s="45"/>
      <c r="P51" s="45"/>
      <c r="Q51" s="45"/>
    </row>
  </sheetData>
  <mergeCells count="3">
    <mergeCell ref="A1:B1"/>
    <mergeCell ref="A3:B3"/>
    <mergeCell ref="A5:B5"/>
  </mergeCells>
  <phoneticPr fontId="4" type="noConversion"/>
  <pageMargins left="0.75" right="0.75" top="1" bottom="1" header="0.5" footer="0.5"/>
  <pageSetup paperSize="9" scale="62" fitToHeight="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5254F-4678-4609-9E77-AA6CD42BC96D}">
  <sheetPr codeName="Sheet5">
    <pageSetUpPr fitToPage="1"/>
  </sheetPr>
  <dimension ref="A1:Z1406"/>
  <sheetViews>
    <sheetView topLeftCell="A3" zoomScaleNormal="100" workbookViewId="0">
      <selection activeCell="A6" sqref="A6:C6"/>
    </sheetView>
  </sheetViews>
  <sheetFormatPr defaultColWidth="9.140625" defaultRowHeight="12.75"/>
  <cols>
    <col min="1" max="1" width="109.5703125" style="2" bestFit="1" customWidth="1"/>
    <col min="2" max="2" width="36.42578125" style="1" customWidth="1"/>
    <col min="3" max="3" width="40.140625" style="1" customWidth="1"/>
    <col min="4" max="4" width="3.5703125" style="1" customWidth="1"/>
    <col min="5" max="5" width="79.42578125" style="1" customWidth="1"/>
    <col min="6" max="6" width="12.140625" style="1" customWidth="1"/>
    <col min="7" max="7" width="5.140625" style="1" customWidth="1"/>
    <col min="8" max="19" width="7.42578125" style="1" customWidth="1"/>
    <col min="20" max="16384" width="9.140625" style="1"/>
  </cols>
  <sheetData>
    <row r="1" spans="1:26">
      <c r="A1" s="37"/>
      <c r="B1" s="34"/>
      <c r="C1" s="34"/>
      <c r="D1" s="34"/>
      <c r="E1" s="34"/>
      <c r="F1" s="34"/>
      <c r="G1" s="34"/>
      <c r="H1" s="37"/>
      <c r="I1" s="37"/>
      <c r="J1" s="37"/>
      <c r="K1" s="37"/>
      <c r="L1" s="37"/>
      <c r="M1" s="37"/>
      <c r="N1" s="37"/>
      <c r="O1" s="37"/>
      <c r="P1" s="37"/>
      <c r="Q1" s="37"/>
      <c r="R1" s="37"/>
      <c r="S1" s="37"/>
      <c r="T1" s="37"/>
      <c r="U1" s="37"/>
      <c r="V1" s="37"/>
      <c r="W1" s="37"/>
      <c r="X1" s="37"/>
      <c r="Y1" s="37"/>
      <c r="Z1" s="37"/>
    </row>
    <row r="2" spans="1:26" ht="11.25" customHeight="1">
      <c r="A2" s="37"/>
      <c r="B2" s="34"/>
      <c r="C2" s="34"/>
      <c r="D2" s="34"/>
      <c r="E2" s="34"/>
      <c r="F2" s="34"/>
      <c r="G2" s="34"/>
      <c r="H2" s="37"/>
      <c r="I2" s="37"/>
      <c r="J2" s="37"/>
      <c r="K2" s="37"/>
      <c r="L2" s="37"/>
      <c r="M2" s="37"/>
      <c r="N2" s="37"/>
      <c r="O2" s="37"/>
      <c r="P2" s="37"/>
      <c r="Q2" s="37"/>
      <c r="R2" s="37"/>
      <c r="S2" s="37"/>
      <c r="T2" s="37"/>
      <c r="U2" s="37"/>
      <c r="V2" s="37"/>
      <c r="W2" s="37"/>
      <c r="X2" s="37"/>
      <c r="Y2" s="37"/>
      <c r="Z2" s="37"/>
    </row>
    <row r="3" spans="1:26" ht="29.25" customHeight="1">
      <c r="A3" s="37"/>
      <c r="B3" s="34"/>
      <c r="C3" s="34"/>
      <c r="D3" s="34"/>
      <c r="E3" s="34"/>
      <c r="F3" s="34"/>
      <c r="G3" s="34"/>
      <c r="H3" s="37"/>
      <c r="I3" s="37"/>
      <c r="J3" s="37"/>
      <c r="K3" s="37"/>
      <c r="L3" s="37"/>
      <c r="M3" s="37"/>
      <c r="N3" s="37"/>
      <c r="O3" s="37"/>
      <c r="P3" s="37"/>
      <c r="Q3" s="37"/>
      <c r="R3" s="37"/>
      <c r="S3" s="37"/>
      <c r="T3" s="37"/>
      <c r="U3" s="37"/>
      <c r="V3" s="37"/>
      <c r="W3" s="37"/>
      <c r="X3" s="37"/>
      <c r="Y3" s="37"/>
      <c r="Z3" s="37"/>
    </row>
    <row r="4" spans="1:26" ht="12.75" customHeight="1">
      <c r="A4" s="37"/>
      <c r="B4" s="34"/>
      <c r="C4" s="34"/>
      <c r="D4" s="34"/>
      <c r="E4" s="34"/>
      <c r="F4" s="34"/>
      <c r="G4" s="34"/>
      <c r="H4" s="37"/>
      <c r="I4" s="37"/>
      <c r="J4" s="37"/>
      <c r="K4" s="37"/>
      <c r="L4" s="37"/>
      <c r="M4" s="37"/>
      <c r="N4" s="37"/>
      <c r="O4" s="37"/>
      <c r="P4" s="37"/>
      <c r="Q4" s="37"/>
      <c r="R4" s="37"/>
      <c r="S4" s="37"/>
      <c r="T4" s="37"/>
      <c r="U4" s="37"/>
      <c r="V4" s="37"/>
      <c r="W4" s="37"/>
      <c r="X4" s="37"/>
      <c r="Y4" s="37"/>
      <c r="Z4" s="37"/>
    </row>
    <row r="5" spans="1:26" ht="39.75" customHeight="1" thickBot="1">
      <c r="A5" s="37"/>
      <c r="B5" s="34"/>
      <c r="C5" s="34"/>
      <c r="D5" s="34"/>
      <c r="E5" s="34"/>
      <c r="F5" s="34"/>
      <c r="G5" s="34"/>
      <c r="H5" s="37"/>
      <c r="I5" s="37"/>
      <c r="J5" s="37"/>
      <c r="K5" s="37"/>
      <c r="L5" s="37"/>
      <c r="M5" s="37"/>
      <c r="N5" s="37"/>
      <c r="O5" s="37"/>
      <c r="P5" s="37"/>
      <c r="Q5" s="37"/>
      <c r="R5" s="37"/>
      <c r="S5" s="37"/>
      <c r="T5" s="37"/>
      <c r="U5" s="37"/>
      <c r="V5" s="37"/>
      <c r="W5" s="37"/>
      <c r="X5" s="37"/>
      <c r="Y5" s="37"/>
      <c r="Z5" s="37"/>
    </row>
    <row r="6" spans="1:26" ht="18" customHeight="1" thickBot="1">
      <c r="A6" s="145" t="s">
        <v>216</v>
      </c>
      <c r="B6" s="146"/>
      <c r="C6" s="147"/>
      <c r="D6" s="37"/>
      <c r="E6" s="104" t="s">
        <v>156</v>
      </c>
      <c r="F6" s="38"/>
      <c r="G6" s="37"/>
      <c r="H6" s="37"/>
      <c r="I6" s="37"/>
      <c r="J6" s="37"/>
      <c r="K6" s="37"/>
      <c r="L6" s="37"/>
      <c r="M6" s="37"/>
      <c r="N6" s="37"/>
      <c r="O6" s="37"/>
      <c r="P6" s="37"/>
      <c r="Q6" s="37"/>
      <c r="R6" s="37"/>
      <c r="S6" s="37"/>
      <c r="T6" s="37"/>
      <c r="U6" s="37"/>
      <c r="V6" s="37"/>
      <c r="W6" s="37"/>
      <c r="X6" s="37"/>
      <c r="Y6" s="37"/>
      <c r="Z6" s="37"/>
    </row>
    <row r="7" spans="1:26" ht="18" customHeight="1" thickBot="1">
      <c r="A7" s="39"/>
      <c r="B7" s="37"/>
      <c r="C7" s="37"/>
      <c r="D7" s="34"/>
      <c r="E7" s="158" t="s">
        <v>157</v>
      </c>
      <c r="F7" s="38"/>
      <c r="G7" s="37"/>
      <c r="H7" s="37"/>
      <c r="I7" s="37"/>
      <c r="J7" s="37"/>
      <c r="K7" s="37"/>
      <c r="L7" s="37"/>
      <c r="M7" s="37"/>
      <c r="N7" s="37"/>
      <c r="O7" s="37"/>
      <c r="P7" s="37"/>
      <c r="Q7" s="37"/>
      <c r="R7" s="37"/>
      <c r="S7" s="37"/>
      <c r="T7" s="37"/>
      <c r="U7" s="37"/>
      <c r="V7" s="37"/>
      <c r="W7" s="37"/>
      <c r="X7" s="37"/>
      <c r="Y7" s="37"/>
      <c r="Z7" s="37"/>
    </row>
    <row r="8" spans="1:26" ht="18" customHeight="1" thickBot="1">
      <c r="B8" s="62" t="s">
        <v>158</v>
      </c>
      <c r="C8" s="63"/>
      <c r="D8" s="61"/>
      <c r="E8" s="159"/>
      <c r="F8" s="61"/>
      <c r="G8" s="37"/>
      <c r="H8" s="37"/>
      <c r="I8" s="37"/>
      <c r="J8" s="37"/>
      <c r="K8" s="37"/>
      <c r="L8" s="37"/>
      <c r="M8" s="37"/>
      <c r="N8" s="37"/>
      <c r="O8" s="37"/>
      <c r="P8" s="37"/>
      <c r="Q8" s="37"/>
      <c r="R8" s="37"/>
      <c r="S8" s="37"/>
      <c r="T8" s="37"/>
      <c r="U8" s="37"/>
      <c r="V8" s="37"/>
      <c r="W8" s="37"/>
      <c r="X8" s="37"/>
      <c r="Y8" s="37"/>
      <c r="Z8" s="37"/>
    </row>
    <row r="9" spans="1:26" ht="73.5" customHeight="1" thickBot="1">
      <c r="A9" s="3"/>
      <c r="B9" s="55" t="s">
        <v>159</v>
      </c>
      <c r="C9" s="55" t="s">
        <v>160</v>
      </c>
      <c r="D9" s="56"/>
      <c r="E9" s="103"/>
      <c r="F9" s="59"/>
      <c r="G9" s="37"/>
      <c r="H9" s="37"/>
      <c r="I9" s="37"/>
      <c r="J9" s="37"/>
      <c r="K9" s="37"/>
      <c r="L9" s="37"/>
      <c r="M9" s="37"/>
      <c r="N9" s="37"/>
      <c r="O9" s="37"/>
      <c r="P9" s="37"/>
      <c r="Q9" s="37"/>
      <c r="R9" s="37"/>
      <c r="S9" s="37"/>
      <c r="T9" s="37"/>
      <c r="U9" s="37"/>
      <c r="V9" s="37"/>
      <c r="W9" s="37"/>
      <c r="X9" s="37"/>
      <c r="Y9" s="37"/>
      <c r="Z9" s="37"/>
    </row>
    <row r="10" spans="1:26" ht="18" customHeight="1" thickBot="1">
      <c r="A10" s="7" t="s">
        <v>161</v>
      </c>
      <c r="B10" s="76"/>
      <c r="C10" s="96"/>
      <c r="D10" s="57"/>
      <c r="E10" s="60"/>
      <c r="F10" s="60"/>
      <c r="G10" s="37"/>
      <c r="H10" s="37"/>
      <c r="I10" s="37"/>
      <c r="J10" s="37"/>
      <c r="K10" s="37"/>
      <c r="L10" s="37"/>
      <c r="M10" s="37"/>
      <c r="N10" s="37"/>
      <c r="O10" s="37"/>
      <c r="P10" s="37"/>
      <c r="Q10" s="37"/>
      <c r="R10" s="37"/>
      <c r="S10" s="37"/>
      <c r="T10" s="37"/>
      <c r="U10" s="37"/>
      <c r="V10" s="37"/>
      <c r="W10" s="37"/>
      <c r="X10" s="37"/>
      <c r="Y10" s="37"/>
      <c r="Z10" s="37"/>
    </row>
    <row r="11" spans="1:26" ht="21" customHeight="1" thickBot="1">
      <c r="A11" s="97" t="s">
        <v>162</v>
      </c>
      <c r="B11" s="54"/>
      <c r="C11" s="96"/>
      <c r="D11" s="57"/>
      <c r="E11" s="60"/>
      <c r="F11" s="60"/>
      <c r="G11" s="37"/>
      <c r="H11" s="37"/>
      <c r="I11" s="37"/>
      <c r="J11" s="37"/>
      <c r="K11" s="37"/>
      <c r="L11" s="37"/>
      <c r="M11" s="37"/>
      <c r="N11" s="37"/>
      <c r="O11" s="37"/>
      <c r="P11" s="37"/>
      <c r="Q11" s="37"/>
      <c r="R11" s="37"/>
      <c r="S11" s="37"/>
      <c r="T11" s="37"/>
      <c r="U11" s="37"/>
      <c r="V11" s="37"/>
      <c r="W11" s="37"/>
      <c r="X11" s="37"/>
      <c r="Y11" s="37"/>
      <c r="Z11" s="37"/>
    </row>
    <row r="12" spans="1:26" ht="18" customHeight="1" thickBot="1">
      <c r="A12" s="98" t="s">
        <v>163</v>
      </c>
      <c r="B12" s="95"/>
      <c r="C12" s="100"/>
      <c r="D12" s="57"/>
      <c r="E12" s="60"/>
      <c r="F12" s="57"/>
      <c r="G12" s="41"/>
      <c r="H12" s="37"/>
      <c r="I12" s="37"/>
      <c r="J12" s="37"/>
      <c r="K12" s="37"/>
      <c r="L12" s="37"/>
      <c r="M12" s="37"/>
      <c r="N12" s="37"/>
      <c r="O12" s="37"/>
      <c r="P12" s="37"/>
      <c r="Q12" s="37"/>
      <c r="R12" s="37"/>
      <c r="S12" s="37"/>
      <c r="T12" s="37"/>
      <c r="U12" s="37"/>
      <c r="V12" s="37"/>
      <c r="W12" s="37"/>
      <c r="X12" s="37"/>
      <c r="Y12" s="37"/>
      <c r="Z12" s="37"/>
    </row>
    <row r="13" spans="1:26" ht="18" customHeight="1" thickBot="1">
      <c r="A13" s="99" t="s">
        <v>164</v>
      </c>
      <c r="B13" s="9"/>
      <c r="C13" s="53"/>
      <c r="D13" s="58"/>
      <c r="E13" s="60"/>
      <c r="F13" s="60"/>
      <c r="G13" s="37"/>
      <c r="H13" s="37"/>
      <c r="I13" s="37"/>
      <c r="J13" s="37"/>
      <c r="K13" s="37"/>
      <c r="L13" s="37"/>
      <c r="M13" s="37"/>
      <c r="N13" s="37"/>
      <c r="O13" s="37"/>
      <c r="P13" s="37"/>
      <c r="Q13" s="37"/>
      <c r="R13" s="37"/>
      <c r="S13" s="37"/>
      <c r="T13" s="37"/>
      <c r="U13" s="37"/>
      <c r="V13" s="37"/>
      <c r="W13" s="37"/>
      <c r="X13" s="37"/>
      <c r="Y13" s="37"/>
      <c r="Z13" s="37"/>
    </row>
    <row r="14" spans="1:26" ht="18" customHeight="1" thickBot="1">
      <c r="A14" s="99" t="s">
        <v>165</v>
      </c>
      <c r="B14" s="9"/>
      <c r="C14" s="53"/>
      <c r="D14" s="58"/>
      <c r="E14" s="60"/>
      <c r="F14" s="60"/>
      <c r="G14" s="37"/>
      <c r="H14" s="37"/>
      <c r="I14" s="37"/>
      <c r="J14" s="37"/>
      <c r="K14" s="37"/>
      <c r="L14" s="37"/>
      <c r="M14" s="37"/>
      <c r="N14" s="37"/>
      <c r="O14" s="37"/>
      <c r="P14" s="37"/>
      <c r="Q14" s="37"/>
      <c r="R14" s="37"/>
      <c r="S14" s="37"/>
      <c r="T14" s="37"/>
      <c r="U14" s="37"/>
      <c r="V14" s="37"/>
      <c r="W14" s="37"/>
      <c r="X14" s="37"/>
      <c r="Y14" s="37"/>
      <c r="Z14" s="37"/>
    </row>
    <row r="15" spans="1:26" ht="18" customHeight="1" thickBot="1">
      <c r="A15" s="99" t="s">
        <v>166</v>
      </c>
      <c r="B15" s="9"/>
      <c r="C15" s="53"/>
      <c r="D15" s="58"/>
      <c r="E15" s="60"/>
      <c r="F15" s="60"/>
      <c r="G15" s="37"/>
      <c r="H15" s="37"/>
      <c r="I15" s="37"/>
      <c r="J15" s="37"/>
      <c r="K15" s="37"/>
      <c r="L15" s="37"/>
      <c r="M15" s="37"/>
      <c r="N15" s="37"/>
      <c r="O15" s="37"/>
      <c r="P15" s="37"/>
      <c r="Q15" s="37"/>
      <c r="R15" s="37"/>
      <c r="S15" s="37"/>
      <c r="T15" s="37"/>
      <c r="U15" s="37"/>
      <c r="V15" s="37"/>
      <c r="W15" s="37"/>
      <c r="X15" s="37"/>
      <c r="Y15" s="37"/>
      <c r="Z15" s="37"/>
    </row>
    <row r="16" spans="1:26" ht="18" customHeight="1" thickBot="1">
      <c r="A16" s="8" t="s">
        <v>167</v>
      </c>
      <c r="B16" s="9"/>
      <c r="C16" s="53"/>
      <c r="D16" s="57"/>
      <c r="E16" s="60"/>
      <c r="F16" s="60"/>
      <c r="G16" s="37"/>
      <c r="H16" s="37"/>
      <c r="I16" s="37"/>
      <c r="J16" s="37"/>
      <c r="K16" s="37"/>
      <c r="L16" s="37"/>
      <c r="M16" s="37"/>
      <c r="N16" s="37"/>
      <c r="O16" s="37"/>
      <c r="P16" s="37"/>
      <c r="Q16" s="37"/>
      <c r="R16" s="37"/>
      <c r="S16" s="37"/>
      <c r="T16" s="37"/>
      <c r="U16" s="37"/>
      <c r="V16" s="37"/>
      <c r="W16" s="37"/>
      <c r="X16" s="37"/>
      <c r="Y16" s="37"/>
      <c r="Z16" s="37"/>
    </row>
    <row r="17" spans="1:26" ht="18" customHeight="1" thickBot="1">
      <c r="A17" s="6" t="s">
        <v>164</v>
      </c>
      <c r="B17" s="9"/>
      <c r="C17" s="53"/>
      <c r="D17" s="58"/>
      <c r="E17" s="60"/>
      <c r="F17" s="60"/>
      <c r="G17" s="37"/>
      <c r="H17" s="37"/>
      <c r="I17" s="37"/>
      <c r="J17" s="37"/>
      <c r="K17" s="37"/>
      <c r="L17" s="37"/>
      <c r="M17" s="37"/>
      <c r="N17" s="37"/>
      <c r="O17" s="37"/>
      <c r="P17" s="37"/>
      <c r="Q17" s="37"/>
      <c r="R17" s="37"/>
      <c r="S17" s="37"/>
      <c r="T17" s="37"/>
      <c r="U17" s="37"/>
      <c r="V17" s="37"/>
      <c r="W17" s="37"/>
      <c r="X17" s="37"/>
      <c r="Y17" s="37"/>
      <c r="Z17" s="37"/>
    </row>
    <row r="18" spans="1:26" ht="18" customHeight="1" thickBot="1">
      <c r="A18" s="6" t="s">
        <v>165</v>
      </c>
      <c r="B18" s="9"/>
      <c r="C18" s="53"/>
      <c r="D18" s="58"/>
      <c r="E18" s="60"/>
      <c r="F18" s="60"/>
      <c r="G18" s="37"/>
      <c r="H18" s="37"/>
      <c r="I18" s="37"/>
      <c r="J18" s="37"/>
      <c r="K18" s="37"/>
      <c r="L18" s="37"/>
      <c r="M18" s="37"/>
      <c r="N18" s="37"/>
      <c r="O18" s="37"/>
      <c r="P18" s="37"/>
      <c r="Q18" s="37"/>
      <c r="R18" s="37"/>
      <c r="S18" s="37"/>
      <c r="T18" s="37"/>
      <c r="U18" s="37"/>
      <c r="V18" s="37"/>
      <c r="W18" s="37"/>
      <c r="X18" s="37"/>
      <c r="Y18" s="37"/>
      <c r="Z18" s="37"/>
    </row>
    <row r="19" spans="1:26" ht="18" customHeight="1" thickBot="1">
      <c r="A19" s="18" t="s">
        <v>166</v>
      </c>
      <c r="B19" s="54"/>
      <c r="C19" s="96"/>
      <c r="D19" s="58"/>
      <c r="E19" s="60"/>
      <c r="F19" s="60"/>
      <c r="G19" s="37"/>
      <c r="H19" s="37"/>
      <c r="I19" s="37"/>
      <c r="J19" s="37"/>
      <c r="K19" s="37"/>
      <c r="L19" s="37"/>
      <c r="M19" s="37"/>
      <c r="N19" s="37"/>
      <c r="O19" s="37"/>
      <c r="P19" s="37"/>
      <c r="Q19" s="37"/>
      <c r="R19" s="37"/>
      <c r="S19" s="37"/>
      <c r="T19" s="37"/>
      <c r="U19" s="37"/>
      <c r="V19" s="37"/>
      <c r="W19" s="37"/>
      <c r="X19" s="37"/>
      <c r="Y19" s="37"/>
      <c r="Z19" s="37"/>
    </row>
    <row r="20" spans="1:26" ht="18" customHeight="1">
      <c r="A20" s="40"/>
      <c r="B20" s="37"/>
      <c r="C20" s="37"/>
      <c r="D20" s="37"/>
      <c r="E20" s="34"/>
      <c r="F20" s="34"/>
      <c r="G20" s="34"/>
      <c r="H20" s="37"/>
      <c r="I20" s="37"/>
      <c r="J20" s="37"/>
      <c r="K20" s="37"/>
      <c r="L20" s="37"/>
      <c r="M20" s="37"/>
      <c r="N20" s="37"/>
      <c r="O20" s="37"/>
      <c r="P20" s="37"/>
      <c r="Q20" s="37"/>
      <c r="R20" s="37"/>
      <c r="S20" s="37"/>
      <c r="T20" s="37"/>
      <c r="U20" s="37"/>
      <c r="V20" s="37"/>
      <c r="W20" s="37"/>
      <c r="X20" s="37"/>
      <c r="Y20" s="37"/>
      <c r="Z20" s="37"/>
    </row>
    <row r="21" spans="1:26" ht="18" customHeight="1" thickBot="1">
      <c r="A21" s="39"/>
      <c r="B21" s="37"/>
      <c r="C21" s="37"/>
      <c r="D21" s="37"/>
      <c r="E21" s="34"/>
      <c r="F21" s="34"/>
      <c r="G21" s="34"/>
      <c r="H21" s="37"/>
      <c r="I21" s="37"/>
      <c r="J21" s="37"/>
      <c r="K21" s="37"/>
      <c r="L21" s="37"/>
      <c r="M21" s="37"/>
      <c r="N21" s="37"/>
      <c r="O21" s="37"/>
      <c r="P21" s="37"/>
      <c r="Q21" s="37"/>
      <c r="R21" s="37"/>
      <c r="S21" s="37"/>
      <c r="T21" s="37"/>
      <c r="U21" s="37"/>
      <c r="V21" s="37"/>
      <c r="W21" s="37"/>
      <c r="X21" s="37"/>
      <c r="Y21" s="37"/>
      <c r="Z21" s="37"/>
    </row>
    <row r="22" spans="1:26" ht="35.25" customHeight="1" thickBot="1">
      <c r="A22" s="154" t="s">
        <v>168</v>
      </c>
      <c r="B22" s="155"/>
      <c r="C22" s="64"/>
      <c r="D22" s="37"/>
      <c r="E22" s="34"/>
      <c r="F22" s="34"/>
      <c r="G22" s="34"/>
      <c r="H22" s="37"/>
      <c r="I22" s="37"/>
      <c r="J22" s="37"/>
      <c r="K22" s="37"/>
      <c r="L22" s="37"/>
      <c r="M22" s="37"/>
      <c r="N22" s="37"/>
      <c r="O22" s="37"/>
      <c r="P22" s="37"/>
      <c r="Q22" s="37"/>
      <c r="R22" s="37"/>
      <c r="S22" s="37"/>
      <c r="T22" s="37"/>
      <c r="U22" s="37"/>
      <c r="V22" s="37"/>
      <c r="W22" s="37"/>
      <c r="X22" s="37"/>
      <c r="Y22" s="37"/>
      <c r="Z22" s="37"/>
    </row>
    <row r="23" spans="1:26" ht="18" customHeight="1">
      <c r="A23" s="148"/>
      <c r="B23" s="150" t="s">
        <v>169</v>
      </c>
      <c r="C23" s="152"/>
      <c r="D23" s="37"/>
      <c r="E23" s="91" t="s">
        <v>170</v>
      </c>
      <c r="F23" s="34"/>
      <c r="G23" s="34"/>
      <c r="H23" s="37"/>
      <c r="I23" s="37"/>
      <c r="J23" s="37"/>
      <c r="K23" s="37"/>
      <c r="L23" s="37"/>
      <c r="M23" s="37"/>
      <c r="N23" s="37"/>
      <c r="O23" s="37"/>
      <c r="P23" s="37"/>
      <c r="Q23" s="37"/>
      <c r="R23" s="37"/>
      <c r="S23" s="37"/>
      <c r="T23" s="37"/>
      <c r="U23" s="37"/>
      <c r="V23" s="37"/>
      <c r="W23" s="37"/>
      <c r="X23" s="37"/>
      <c r="Y23" s="37"/>
      <c r="Z23" s="37"/>
    </row>
    <row r="24" spans="1:26" ht="13.5" thickBot="1">
      <c r="A24" s="149"/>
      <c r="B24" s="151"/>
      <c r="C24" s="152"/>
      <c r="D24" s="37"/>
      <c r="E24" s="156" t="s">
        <v>171</v>
      </c>
      <c r="F24" s="157" t="str">
        <f>IF(B31&gt;=SUM(B10:C10,B16:C16),"YES","NO")</f>
        <v>YES</v>
      </c>
      <c r="G24" s="34"/>
      <c r="H24" s="37"/>
      <c r="I24" s="37"/>
      <c r="J24" s="37"/>
      <c r="K24" s="37"/>
      <c r="L24" s="37"/>
      <c r="M24" s="37"/>
      <c r="N24" s="37"/>
      <c r="O24" s="37"/>
      <c r="P24" s="37"/>
      <c r="Q24" s="37"/>
      <c r="R24" s="37"/>
      <c r="S24" s="37"/>
      <c r="T24" s="37"/>
      <c r="U24" s="37"/>
      <c r="V24" s="37"/>
      <c r="W24" s="37"/>
      <c r="X24" s="37"/>
      <c r="Y24" s="37"/>
      <c r="Z24" s="37"/>
    </row>
    <row r="25" spans="1:26" ht="18" customHeight="1" thickBot="1">
      <c r="A25" s="66" t="s">
        <v>172</v>
      </c>
      <c r="B25" s="53"/>
      <c r="C25" s="65"/>
      <c r="D25" s="37"/>
      <c r="E25" s="156"/>
      <c r="F25" s="157"/>
      <c r="G25" s="34"/>
      <c r="H25" s="37"/>
      <c r="I25" s="37"/>
      <c r="J25" s="37"/>
      <c r="K25" s="37"/>
      <c r="L25" s="37"/>
      <c r="M25" s="37"/>
      <c r="N25" s="37"/>
      <c r="O25" s="37"/>
      <c r="P25" s="37"/>
      <c r="Q25" s="37"/>
      <c r="R25" s="37"/>
      <c r="S25" s="37"/>
      <c r="T25" s="37"/>
      <c r="U25" s="37"/>
      <c r="V25" s="37"/>
      <c r="W25" s="37"/>
      <c r="X25" s="37"/>
      <c r="Y25" s="37"/>
      <c r="Z25" s="37"/>
    </row>
    <row r="26" spans="1:26" ht="18" customHeight="1" thickBot="1">
      <c r="A26" s="67" t="s">
        <v>173</v>
      </c>
      <c r="B26" s="53"/>
      <c r="C26" s="65"/>
      <c r="D26" s="37"/>
      <c r="E26" s="156"/>
      <c r="F26" s="157"/>
      <c r="G26" s="34"/>
      <c r="H26" s="37"/>
      <c r="I26" s="37"/>
      <c r="J26" s="37"/>
      <c r="K26" s="37"/>
      <c r="L26" s="37"/>
      <c r="M26" s="37"/>
      <c r="N26" s="37"/>
      <c r="O26" s="37"/>
      <c r="P26" s="37"/>
      <c r="Q26" s="37"/>
      <c r="R26" s="37"/>
      <c r="S26" s="37"/>
      <c r="T26" s="37"/>
      <c r="U26" s="37"/>
      <c r="V26" s="37"/>
      <c r="W26" s="37"/>
      <c r="X26" s="37"/>
      <c r="Y26" s="37"/>
      <c r="Z26" s="37"/>
    </row>
    <row r="27" spans="1:26" ht="18" customHeight="1" thickBot="1">
      <c r="A27" s="67" t="s">
        <v>174</v>
      </c>
      <c r="B27" s="53"/>
      <c r="C27" s="65"/>
      <c r="D27" s="37"/>
      <c r="E27" s="77" t="s">
        <v>175</v>
      </c>
      <c r="F27" s="78">
        <f>SUM(B10:C10,B16:C16)</f>
        <v>0</v>
      </c>
      <c r="G27" s="34"/>
      <c r="H27" s="37"/>
      <c r="I27" s="37"/>
      <c r="J27" s="37"/>
      <c r="K27" s="37"/>
      <c r="L27" s="37"/>
      <c r="M27" s="37"/>
      <c r="N27" s="37"/>
      <c r="O27" s="37"/>
      <c r="P27" s="37"/>
      <c r="Q27" s="37"/>
      <c r="R27" s="37"/>
      <c r="S27" s="37"/>
      <c r="T27" s="37"/>
      <c r="U27" s="37"/>
      <c r="V27" s="37"/>
      <c r="W27" s="37"/>
      <c r="X27" s="37"/>
      <c r="Y27" s="37"/>
      <c r="Z27" s="37"/>
    </row>
    <row r="28" spans="1:26" ht="18" customHeight="1" thickBot="1">
      <c r="A28" s="67" t="s">
        <v>176</v>
      </c>
      <c r="B28" s="53"/>
      <c r="C28" s="65"/>
      <c r="D28" s="37"/>
      <c r="E28" s="153" t="s">
        <v>177</v>
      </c>
      <c r="F28" s="144" t="e">
        <f>B31/F27</f>
        <v>#DIV/0!</v>
      </c>
      <c r="G28" s="34"/>
      <c r="H28" s="37"/>
      <c r="I28" s="37"/>
      <c r="J28" s="37"/>
      <c r="K28" s="37"/>
      <c r="L28" s="37"/>
      <c r="M28" s="37"/>
      <c r="N28" s="37"/>
      <c r="O28" s="37"/>
      <c r="P28" s="37"/>
      <c r="Q28" s="37"/>
      <c r="R28" s="37"/>
      <c r="S28" s="37"/>
      <c r="T28" s="37"/>
      <c r="U28" s="37"/>
      <c r="V28" s="37"/>
      <c r="W28" s="37"/>
      <c r="X28" s="37"/>
      <c r="Y28" s="37"/>
      <c r="Z28" s="37"/>
    </row>
    <row r="29" spans="1:26" ht="18" customHeight="1" thickBot="1">
      <c r="A29" s="67" t="s">
        <v>178</v>
      </c>
      <c r="B29" s="53"/>
      <c r="C29" s="65"/>
      <c r="D29" s="37"/>
      <c r="E29" s="153"/>
      <c r="F29" s="144"/>
      <c r="G29" s="34"/>
      <c r="H29" s="37"/>
      <c r="I29" s="37"/>
      <c r="J29" s="37"/>
      <c r="K29" s="37"/>
      <c r="L29" s="37"/>
      <c r="M29" s="37"/>
      <c r="N29" s="37"/>
      <c r="O29" s="37"/>
      <c r="P29" s="37"/>
      <c r="Q29" s="37"/>
      <c r="R29" s="37"/>
      <c r="S29" s="37"/>
      <c r="T29" s="37"/>
      <c r="U29" s="37"/>
      <c r="V29" s="37"/>
      <c r="W29" s="37"/>
      <c r="X29" s="37"/>
      <c r="Y29" s="37"/>
      <c r="Z29" s="37"/>
    </row>
    <row r="30" spans="1:26" ht="18" customHeight="1" thickBot="1">
      <c r="A30" s="68" t="s">
        <v>179</v>
      </c>
      <c r="B30" s="53"/>
      <c r="C30" s="65"/>
      <c r="D30" s="37"/>
      <c r="E30" s="153"/>
      <c r="F30" s="144"/>
      <c r="G30" s="34"/>
      <c r="H30" s="37"/>
      <c r="I30" s="37"/>
      <c r="J30" s="37"/>
      <c r="K30" s="37"/>
      <c r="L30" s="37"/>
      <c r="M30" s="37"/>
      <c r="N30" s="37"/>
      <c r="O30" s="37"/>
      <c r="P30" s="37"/>
      <c r="Q30" s="37"/>
      <c r="R30" s="37"/>
      <c r="S30" s="37"/>
      <c r="T30" s="37"/>
      <c r="U30" s="37"/>
      <c r="V30" s="37"/>
      <c r="W30" s="37"/>
      <c r="X30" s="37"/>
      <c r="Y30" s="37"/>
      <c r="Z30" s="37"/>
    </row>
    <row r="31" spans="1:26" ht="18" customHeight="1" thickBot="1">
      <c r="A31" s="62" t="s">
        <v>180</v>
      </c>
      <c r="B31" s="101">
        <f>SUM(B25:B30)</f>
        <v>0</v>
      </c>
      <c r="C31" s="65"/>
      <c r="D31" s="37"/>
      <c r="E31" s="34"/>
      <c r="F31" s="34"/>
      <c r="G31" s="34"/>
      <c r="H31" s="37"/>
      <c r="I31" s="37"/>
      <c r="J31" s="37"/>
      <c r="K31" s="37"/>
      <c r="L31" s="37"/>
      <c r="M31" s="37"/>
      <c r="N31" s="37"/>
      <c r="O31" s="37"/>
      <c r="P31" s="37"/>
      <c r="Q31" s="37"/>
      <c r="R31" s="37"/>
      <c r="S31" s="37"/>
      <c r="T31" s="37"/>
      <c r="U31" s="37"/>
      <c r="V31" s="37"/>
      <c r="W31" s="37"/>
      <c r="X31" s="37"/>
      <c r="Y31" s="37"/>
      <c r="Z31" s="37"/>
    </row>
    <row r="32" spans="1:26" s="2" customFormat="1" ht="18" customHeight="1" thickBot="1">
      <c r="A32" s="39"/>
      <c r="C32" s="39"/>
      <c r="D32" s="39"/>
      <c r="E32" s="34"/>
      <c r="F32" s="34"/>
      <c r="G32" s="34"/>
      <c r="H32" s="37"/>
      <c r="I32" s="37"/>
      <c r="J32" s="39"/>
      <c r="K32" s="39"/>
      <c r="L32" s="39"/>
      <c r="M32" s="39"/>
      <c r="N32" s="39"/>
      <c r="O32" s="39"/>
      <c r="P32" s="39"/>
      <c r="Q32" s="39"/>
      <c r="R32" s="39"/>
      <c r="S32" s="39"/>
      <c r="T32" s="39"/>
      <c r="U32" s="39"/>
      <c r="V32" s="39"/>
      <c r="W32" s="39"/>
      <c r="X32" s="39"/>
      <c r="Y32" s="39"/>
      <c r="Z32" s="39"/>
    </row>
    <row r="33" spans="1:26" ht="14.45" customHeight="1" thickBot="1">
      <c r="A33" s="138" t="s">
        <v>181</v>
      </c>
      <c r="B33" s="139"/>
      <c r="C33" s="140"/>
      <c r="D33" s="37"/>
      <c r="E33" s="34"/>
      <c r="F33" s="34"/>
      <c r="G33" s="37"/>
      <c r="H33" s="37"/>
      <c r="I33" s="37"/>
      <c r="J33" s="37"/>
      <c r="K33" s="37"/>
      <c r="L33" s="37"/>
      <c r="M33" s="37"/>
      <c r="N33" s="37"/>
      <c r="O33" s="37"/>
      <c r="P33" s="37"/>
      <c r="Q33" s="37"/>
      <c r="R33" s="37"/>
      <c r="S33" s="37"/>
      <c r="T33" s="37"/>
      <c r="U33" s="37"/>
      <c r="V33" s="37"/>
      <c r="W33" s="37"/>
      <c r="X33" s="37"/>
      <c r="Y33" s="37"/>
      <c r="Z33" s="37"/>
    </row>
    <row r="34" spans="1:26" ht="46.35" customHeight="1" thickBot="1">
      <c r="A34" s="141"/>
      <c r="B34" s="142"/>
      <c r="C34" s="143"/>
      <c r="D34" s="37"/>
      <c r="E34" s="34"/>
      <c r="F34" s="34"/>
      <c r="G34" s="34"/>
      <c r="H34" s="34"/>
      <c r="I34" s="34"/>
      <c r="J34" s="34"/>
      <c r="K34" s="34"/>
      <c r="L34" s="34"/>
      <c r="M34" s="37"/>
      <c r="N34" s="37"/>
      <c r="O34" s="37"/>
      <c r="P34" s="37"/>
      <c r="Q34" s="37"/>
      <c r="R34" s="37"/>
      <c r="S34" s="37"/>
      <c r="T34" s="37"/>
      <c r="U34" s="37"/>
      <c r="V34" s="37"/>
      <c r="W34" s="37"/>
      <c r="X34" s="37"/>
      <c r="Y34" s="37"/>
      <c r="Z34" s="37"/>
    </row>
    <row r="35" spans="1:26">
      <c r="A35" s="40"/>
      <c r="B35" s="37"/>
      <c r="C35" s="37"/>
      <c r="D35" s="37"/>
      <c r="E35" s="34"/>
      <c r="F35" s="34"/>
      <c r="G35" s="34"/>
      <c r="H35" s="34"/>
      <c r="I35" s="34"/>
      <c r="J35" s="34"/>
      <c r="K35" s="34"/>
      <c r="L35" s="34"/>
      <c r="M35" s="37"/>
      <c r="N35" s="37"/>
      <c r="O35" s="37"/>
      <c r="P35" s="37"/>
      <c r="Q35" s="37"/>
      <c r="R35" s="37"/>
      <c r="S35" s="37"/>
      <c r="T35" s="37"/>
      <c r="U35" s="37"/>
      <c r="V35" s="37"/>
      <c r="W35" s="37"/>
      <c r="X35" s="37"/>
      <c r="Y35" s="37"/>
      <c r="Z35" s="37"/>
    </row>
    <row r="36" spans="1:26">
      <c r="A36" s="39"/>
      <c r="B36" s="37"/>
      <c r="C36" s="37"/>
      <c r="D36" s="37"/>
      <c r="E36" s="34"/>
      <c r="F36" s="34"/>
      <c r="G36" s="34"/>
      <c r="H36" s="34"/>
      <c r="I36" s="34"/>
      <c r="J36" s="34"/>
      <c r="K36" s="34"/>
      <c r="L36" s="34"/>
      <c r="M36" s="37"/>
      <c r="N36" s="37"/>
      <c r="O36" s="37"/>
      <c r="P36" s="37"/>
      <c r="Q36" s="37"/>
      <c r="R36" s="37"/>
      <c r="S36" s="37"/>
      <c r="T36" s="37"/>
      <c r="U36" s="37"/>
      <c r="V36" s="37"/>
      <c r="W36" s="37"/>
      <c r="X36" s="37"/>
      <c r="Y36" s="37"/>
      <c r="Z36" s="37"/>
    </row>
    <row r="37" spans="1:26">
      <c r="A37" s="39"/>
      <c r="B37" s="37"/>
      <c r="C37" s="37"/>
      <c r="D37" s="37"/>
      <c r="E37" s="34"/>
      <c r="F37" s="34"/>
      <c r="G37" s="37"/>
      <c r="H37" s="37"/>
      <c r="I37" s="37"/>
      <c r="J37" s="37"/>
      <c r="K37" s="37"/>
      <c r="L37" s="37"/>
      <c r="M37" s="37"/>
      <c r="N37" s="37"/>
      <c r="O37" s="37"/>
      <c r="P37" s="37"/>
      <c r="Q37" s="37"/>
      <c r="R37" s="37"/>
      <c r="S37" s="37"/>
      <c r="T37" s="37"/>
      <c r="U37" s="37"/>
      <c r="V37" s="37"/>
      <c r="W37" s="37"/>
      <c r="X37" s="37"/>
      <c r="Y37" s="37"/>
      <c r="Z37" s="37"/>
    </row>
    <row r="38" spans="1:26" ht="28.5" customHeight="1">
      <c r="A38" s="39"/>
      <c r="B38" s="37"/>
      <c r="C38" s="37"/>
      <c r="D38" s="37"/>
      <c r="E38" s="34"/>
      <c r="F38" s="34"/>
      <c r="G38" s="37"/>
      <c r="H38" s="37"/>
      <c r="I38" s="37"/>
      <c r="J38" s="37"/>
      <c r="K38" s="37"/>
      <c r="L38" s="37"/>
      <c r="M38" s="37"/>
      <c r="N38" s="37"/>
      <c r="O38" s="37"/>
      <c r="P38" s="37"/>
      <c r="Q38" s="37"/>
      <c r="R38" s="37"/>
      <c r="S38" s="37"/>
      <c r="T38" s="37"/>
      <c r="U38" s="37"/>
      <c r="V38" s="37"/>
      <c r="W38" s="37"/>
      <c r="X38" s="37"/>
      <c r="Y38" s="37"/>
      <c r="Z38" s="37"/>
    </row>
    <row r="39" spans="1:26">
      <c r="A39" s="39"/>
      <c r="B39" s="37"/>
      <c r="C39" s="37"/>
      <c r="D39" s="37"/>
      <c r="E39" s="34"/>
      <c r="F39" s="34"/>
      <c r="G39" s="37"/>
      <c r="H39" s="37"/>
      <c r="I39" s="37"/>
      <c r="J39" s="37"/>
      <c r="K39" s="37"/>
      <c r="L39" s="37"/>
      <c r="M39" s="37"/>
      <c r="N39" s="37"/>
      <c r="O39" s="37"/>
      <c r="P39" s="37"/>
      <c r="Q39" s="37"/>
      <c r="R39" s="37"/>
      <c r="S39" s="37"/>
      <c r="T39" s="37"/>
      <c r="U39" s="37"/>
      <c r="V39" s="37"/>
      <c r="W39" s="37"/>
      <c r="X39" s="37"/>
      <c r="Y39" s="37"/>
      <c r="Z39" s="37"/>
    </row>
    <row r="40" spans="1:26">
      <c r="A40" s="39"/>
      <c r="B40" s="37"/>
      <c r="C40" s="37"/>
      <c r="D40" s="37"/>
      <c r="E40" s="34"/>
      <c r="F40" s="37"/>
      <c r="G40" s="37"/>
      <c r="H40" s="37"/>
      <c r="I40" s="37"/>
      <c r="J40" s="37"/>
      <c r="K40" s="37"/>
      <c r="L40" s="37"/>
      <c r="M40" s="37"/>
      <c r="N40" s="37"/>
      <c r="O40" s="37"/>
      <c r="P40" s="37"/>
      <c r="Q40" s="37"/>
      <c r="R40" s="37"/>
      <c r="S40" s="37"/>
      <c r="T40" s="37"/>
      <c r="U40" s="37"/>
      <c r="V40" s="37"/>
      <c r="W40" s="37"/>
      <c r="X40" s="37"/>
      <c r="Y40" s="37"/>
      <c r="Z40" s="37"/>
    </row>
    <row r="41" spans="1:26">
      <c r="A41" s="39"/>
      <c r="B41" s="37"/>
      <c r="C41" s="37"/>
      <c r="D41" s="37"/>
      <c r="E41" s="37"/>
      <c r="F41" s="37"/>
      <c r="G41" s="39"/>
      <c r="H41" s="39"/>
      <c r="I41" s="39"/>
      <c r="J41" s="37"/>
      <c r="K41" s="37"/>
      <c r="L41" s="37"/>
      <c r="M41" s="37"/>
      <c r="N41" s="37"/>
      <c r="O41" s="37"/>
      <c r="P41" s="37"/>
      <c r="Q41" s="37"/>
      <c r="R41" s="37"/>
      <c r="S41" s="37"/>
      <c r="T41" s="37"/>
      <c r="U41" s="37"/>
      <c r="V41" s="37"/>
      <c r="W41" s="37"/>
      <c r="X41" s="37"/>
      <c r="Y41" s="37"/>
      <c r="Z41" s="37"/>
    </row>
    <row r="42" spans="1:26">
      <c r="A42" s="39"/>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spans="1:26">
      <c r="A43" s="39"/>
      <c r="B43" s="37"/>
      <c r="C43" s="37"/>
      <c r="D43" s="37"/>
      <c r="E43" s="34"/>
      <c r="F43" s="39"/>
      <c r="G43" s="37"/>
      <c r="H43" s="37"/>
      <c r="I43" s="37"/>
      <c r="J43" s="37"/>
      <c r="K43" s="37"/>
      <c r="L43" s="37"/>
      <c r="M43" s="37"/>
      <c r="N43" s="37"/>
      <c r="O43" s="37"/>
      <c r="P43" s="37"/>
      <c r="Q43" s="37"/>
      <c r="R43" s="37"/>
      <c r="S43" s="37"/>
      <c r="T43" s="37"/>
      <c r="U43" s="37"/>
      <c r="V43" s="37"/>
      <c r="W43" s="37"/>
      <c r="X43" s="37"/>
      <c r="Y43" s="37"/>
      <c r="Z43" s="37"/>
    </row>
    <row r="44" spans="1:26">
      <c r="A44" s="39"/>
      <c r="B44" s="37"/>
      <c r="C44" s="37"/>
      <c r="D44" s="37"/>
      <c r="E44" s="34"/>
      <c r="F44" s="37"/>
      <c r="G44" s="37"/>
      <c r="H44" s="37"/>
      <c r="I44" s="37"/>
      <c r="J44" s="37"/>
      <c r="K44" s="37"/>
      <c r="L44" s="37"/>
      <c r="M44" s="37"/>
      <c r="N44" s="37"/>
      <c r="O44" s="37"/>
      <c r="P44" s="37"/>
      <c r="Q44" s="37"/>
      <c r="R44" s="37"/>
      <c r="S44" s="37"/>
      <c r="T44" s="37"/>
      <c r="U44" s="37"/>
      <c r="V44" s="37"/>
      <c r="W44" s="37"/>
      <c r="X44" s="37"/>
      <c r="Y44" s="37"/>
      <c r="Z44" s="37"/>
    </row>
    <row r="45" spans="1:26">
      <c r="A45" s="39"/>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spans="1:26">
      <c r="A46" s="39"/>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spans="1:26">
      <c r="A47" s="39"/>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spans="1:26">
      <c r="A48" s="39"/>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spans="1:26">
      <c r="A49" s="39"/>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spans="1:26">
      <c r="A50" s="39"/>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spans="1:26">
      <c r="A51" s="39"/>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spans="1:26">
      <c r="A52" s="39"/>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spans="1:26">
      <c r="A53" s="39"/>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spans="1:26">
      <c r="A54" s="39"/>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spans="1:26">
      <c r="A55" s="39"/>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spans="1:26">
      <c r="A56" s="39"/>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spans="1:26">
      <c r="A57" s="39"/>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spans="1:26">
      <c r="A58" s="39"/>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spans="1:26">
      <c r="A59" s="39"/>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spans="1:26">
      <c r="A60" s="39"/>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spans="1:26">
      <c r="A61" s="39"/>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spans="1:26">
      <c r="A62" s="39"/>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spans="1:26">
      <c r="A63" s="39"/>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spans="1:26">
      <c r="A64" s="39"/>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spans="1:26">
      <c r="A65" s="39"/>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spans="1:26">
      <c r="A66" s="39"/>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spans="1:26">
      <c r="A67" s="39"/>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spans="1:26">
      <c r="A68" s="39"/>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spans="1:26">
      <c r="A69" s="39"/>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spans="1:26">
      <c r="A70" s="39"/>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spans="1:26">
      <c r="A71" s="39"/>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spans="1:26">
      <c r="A72" s="39"/>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spans="1:26">
      <c r="A73" s="39"/>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spans="1:26">
      <c r="A74" s="39"/>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spans="1:26">
      <c r="A75" s="39"/>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spans="1:26">
      <c r="A76" s="39"/>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spans="1:26">
      <c r="A77" s="39"/>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spans="1:26">
      <c r="A78" s="39"/>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spans="1:26">
      <c r="A79" s="39"/>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spans="1:26">
      <c r="A80" s="39"/>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spans="1:26">
      <c r="A81" s="39"/>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spans="1:26">
      <c r="A82" s="39"/>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spans="1:26">
      <c r="A83" s="39"/>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spans="1:26">
      <c r="A84" s="39"/>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spans="1:26">
      <c r="A85" s="39"/>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spans="1:26">
      <c r="A86" s="39"/>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spans="1:26">
      <c r="A87" s="39"/>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spans="1:26">
      <c r="A88" s="39"/>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spans="1:26">
      <c r="A89" s="39"/>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spans="1:26">
      <c r="A90" s="39"/>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spans="1:26">
      <c r="A91" s="39"/>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spans="1:26">
      <c r="A92" s="39"/>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spans="1:26">
      <c r="A93" s="39"/>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spans="1:26">
      <c r="A94" s="39"/>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spans="1:26">
      <c r="A95" s="39"/>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spans="1:26">
      <c r="A96" s="39"/>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spans="1:26">
      <c r="A97" s="39"/>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spans="1:26">
      <c r="A98" s="39"/>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spans="1:26">
      <c r="A99" s="39"/>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spans="1:26">
      <c r="A100" s="39"/>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spans="1:26">
      <c r="A101" s="39"/>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spans="1:26">
      <c r="A102" s="39"/>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spans="1:26">
      <c r="A103" s="39"/>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spans="1:26">
      <c r="A104" s="39"/>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spans="1:26">
      <c r="A105" s="39"/>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spans="1:26">
      <c r="A106" s="39"/>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spans="1:26">
      <c r="A107" s="39"/>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spans="1:26">
      <c r="A108" s="39"/>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spans="1:26">
      <c r="A109" s="39"/>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spans="1:26">
      <c r="A110" s="39"/>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spans="1:26">
      <c r="A111" s="39"/>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spans="1:26">
      <c r="A112" s="39"/>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spans="1:26">
      <c r="A113" s="39"/>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spans="1:26">
      <c r="A114" s="39"/>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spans="1:26">
      <c r="A115" s="39"/>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spans="1:26">
      <c r="A116" s="39"/>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spans="1:26">
      <c r="A117" s="39"/>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spans="1:26">
      <c r="A118" s="39"/>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spans="1:26">
      <c r="A119" s="39"/>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spans="1:26">
      <c r="A120" s="39"/>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spans="1:26">
      <c r="A121" s="39"/>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spans="1:26">
      <c r="A122" s="39"/>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spans="1:26">
      <c r="A123" s="39"/>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spans="1:26">
      <c r="A124" s="39"/>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spans="1:26">
      <c r="A125" s="39"/>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spans="1:26">
      <c r="A126" s="39"/>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spans="1:26">
      <c r="A127" s="39"/>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spans="1:26">
      <c r="A128" s="39"/>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spans="1:26">
      <c r="A129" s="39"/>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spans="1:26">
      <c r="A130" s="39"/>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spans="1:26">
      <c r="A131" s="39"/>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spans="1:26">
      <c r="A132" s="39"/>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spans="1:26">
      <c r="A133" s="39"/>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spans="1:26">
      <c r="A134" s="39"/>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spans="1:26">
      <c r="A135" s="39"/>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spans="1:26">
      <c r="A136" s="39"/>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spans="1:26">
      <c r="A137" s="39"/>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spans="1:26">
      <c r="A138" s="39"/>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spans="1:26">
      <c r="A139" s="39"/>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spans="1:26">
      <c r="A140" s="39"/>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spans="1:26">
      <c r="A141" s="39"/>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spans="1:26">
      <c r="A142" s="39"/>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spans="1:26">
      <c r="A143" s="39"/>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spans="1:26">
      <c r="A144" s="39"/>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spans="1:26">
      <c r="A145" s="39"/>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spans="1:26">
      <c r="A146" s="39"/>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spans="1:26">
      <c r="A147" s="39"/>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spans="1:26">
      <c r="A148" s="39"/>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spans="1:26">
      <c r="A149" s="39"/>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spans="1:26">
      <c r="A150" s="39"/>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spans="1:26">
      <c r="A151" s="39"/>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spans="1:26">
      <c r="A152" s="39"/>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spans="1:26">
      <c r="A153" s="39"/>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spans="1:26">
      <c r="A154" s="39"/>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spans="1:26">
      <c r="A155" s="39"/>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spans="1:26">
      <c r="A156" s="39"/>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spans="1:26">
      <c r="A157" s="39"/>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spans="1:26">
      <c r="A158" s="39"/>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spans="1:26">
      <c r="A159" s="39"/>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spans="1:26">
      <c r="A160" s="39"/>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spans="1:26">
      <c r="A161" s="39"/>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spans="1:26">
      <c r="A162" s="39"/>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spans="1:26">
      <c r="A163" s="39"/>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spans="1:26">
      <c r="A164" s="39"/>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spans="1:26">
      <c r="A165" s="39"/>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spans="1:26">
      <c r="A166" s="39"/>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spans="1:26">
      <c r="A167" s="39"/>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spans="1:26">
      <c r="A168" s="39"/>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spans="1:26">
      <c r="A169" s="39"/>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spans="1:26">
      <c r="A170" s="39"/>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spans="1:26">
      <c r="A171" s="39"/>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spans="1:26">
      <c r="A172" s="39"/>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spans="1:26">
      <c r="A173" s="39"/>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spans="1:26">
      <c r="A174" s="39"/>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spans="1:26">
      <c r="A175" s="39"/>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spans="1:26">
      <c r="A176" s="39"/>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spans="1:26">
      <c r="A177" s="39"/>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spans="1:26">
      <c r="A178" s="39"/>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spans="1:26">
      <c r="A179" s="39"/>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spans="1:26">
      <c r="A180" s="39"/>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spans="1:26">
      <c r="A181" s="39"/>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spans="1:26">
      <c r="A182" s="39"/>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spans="1:26">
      <c r="A183" s="39"/>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spans="1:26">
      <c r="A184" s="39"/>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spans="1:26">
      <c r="A185" s="39"/>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spans="1:26">
      <c r="A186" s="39"/>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spans="1:26">
      <c r="A187" s="39"/>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spans="1:26">
      <c r="A188" s="39"/>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spans="1:26">
      <c r="A189" s="39"/>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spans="1:26">
      <c r="A190" s="39"/>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spans="1:26">
      <c r="A191" s="39"/>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spans="1:26">
      <c r="A192" s="39"/>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spans="1:26">
      <c r="A193" s="39"/>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spans="1:26">
      <c r="A194" s="39"/>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spans="1:26">
      <c r="A195" s="39"/>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spans="1:26">
      <c r="A196" s="39"/>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spans="1:26">
      <c r="A197" s="39"/>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spans="1:26">
      <c r="A198" s="39"/>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spans="1:26">
      <c r="A199" s="39"/>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spans="1:26">
      <c r="A200" s="39"/>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spans="1:26">
      <c r="A201" s="39"/>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spans="1:26">
      <c r="A202" s="39"/>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spans="1:26">
      <c r="A203" s="39"/>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spans="1:26">
      <c r="A204" s="39"/>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spans="1:26">
      <c r="A205" s="39"/>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spans="1:26">
      <c r="A206" s="39"/>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spans="1:26">
      <c r="A207" s="39"/>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spans="1:26">
      <c r="A208" s="39"/>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spans="1:26">
      <c r="A209" s="39"/>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spans="1:26">
      <c r="A210" s="39"/>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spans="1:26">
      <c r="A211" s="39"/>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spans="1:26">
      <c r="A212" s="39"/>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spans="1:26">
      <c r="A213" s="39"/>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spans="1:26">
      <c r="A214" s="39"/>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spans="1:26">
      <c r="A215" s="39"/>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spans="1:26">
      <c r="A216" s="39"/>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spans="1:26">
      <c r="A217" s="39"/>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spans="1:26">
      <c r="A218" s="39"/>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spans="1:26">
      <c r="A219" s="39"/>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spans="1:26">
      <c r="A220" s="39"/>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spans="1:26">
      <c r="A221" s="39"/>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spans="1:26">
      <c r="A222" s="39"/>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spans="1:26">
      <c r="A223" s="39"/>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spans="1:26">
      <c r="A224" s="39"/>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spans="1:26">
      <c r="A225" s="39"/>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spans="1:26">
      <c r="A226" s="39"/>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spans="1:26">
      <c r="A227" s="39"/>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spans="1:26">
      <c r="A228" s="39"/>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spans="1:26">
      <c r="A229" s="39"/>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spans="1:26">
      <c r="A230" s="39"/>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spans="1:26">
      <c r="A231" s="39"/>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spans="1:26">
      <c r="A232" s="39"/>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spans="1:26">
      <c r="A233" s="39"/>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spans="1:26">
      <c r="A234" s="39"/>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spans="1:26">
      <c r="A235" s="39"/>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spans="1:26">
      <c r="A236" s="39"/>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spans="1:26">
      <c r="A237" s="39"/>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spans="1:26">
      <c r="A238" s="39"/>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spans="1:26">
      <c r="A239" s="39"/>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spans="1:26">
      <c r="A240" s="39"/>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spans="1:26">
      <c r="A241" s="39"/>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spans="1:26">
      <c r="A242" s="39"/>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spans="1:26">
      <c r="A243" s="39"/>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spans="1:26">
      <c r="A244" s="39"/>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spans="1:26">
      <c r="A245" s="39"/>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spans="1:26">
      <c r="A246" s="39"/>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spans="1:26">
      <c r="A247" s="39"/>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spans="1:26">
      <c r="A248" s="39"/>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spans="1:26">
      <c r="A249" s="39"/>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spans="1:26">
      <c r="A250" s="39"/>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spans="1:26">
      <c r="A251" s="39"/>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spans="1:26">
      <c r="A252" s="39"/>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spans="1:26">
      <c r="A253" s="39"/>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spans="1:26">
      <c r="A254" s="39"/>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spans="1:26">
      <c r="A255" s="39"/>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spans="1:26">
      <c r="A256" s="39"/>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spans="1:26">
      <c r="A257" s="39"/>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spans="1:26">
      <c r="A258" s="39"/>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spans="1:26">
      <c r="A259" s="39"/>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spans="1:26">
      <c r="A260" s="39"/>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spans="1:26">
      <c r="A261" s="39"/>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spans="1:26">
      <c r="A262" s="39"/>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spans="1:26">
      <c r="A263" s="39"/>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spans="1:26">
      <c r="A264" s="39"/>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spans="1:26">
      <c r="A265" s="39"/>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spans="1:26">
      <c r="A266" s="39"/>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spans="1:26">
      <c r="A267" s="39"/>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spans="1:26">
      <c r="A268" s="39"/>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spans="1:26">
      <c r="A269" s="39"/>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spans="1:26">
      <c r="A270" s="39"/>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spans="1:26">
      <c r="A271" s="39"/>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spans="1:26">
      <c r="A272" s="39"/>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spans="1:26">
      <c r="A273" s="39"/>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spans="1:26">
      <c r="A274" s="39"/>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spans="1:26">
      <c r="A275" s="39"/>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spans="1:26">
      <c r="A276" s="39"/>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spans="1:26">
      <c r="A277" s="39"/>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spans="1:26">
      <c r="A278" s="39"/>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spans="1:26">
      <c r="A279" s="39"/>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spans="1:26">
      <c r="A280" s="39"/>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spans="1:26">
      <c r="A281" s="39"/>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spans="1:26">
      <c r="A282" s="39"/>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spans="1:26">
      <c r="A283" s="39"/>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spans="1:26">
      <c r="A284" s="39"/>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spans="1:26">
      <c r="A285" s="39"/>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spans="1:26">
      <c r="A286" s="39"/>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spans="1:26">
      <c r="A287" s="39"/>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spans="1:26">
      <c r="A288" s="39"/>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spans="1:26">
      <c r="A289" s="39"/>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spans="1:26">
      <c r="A290" s="39"/>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spans="1:26">
      <c r="A291" s="39"/>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spans="1:26">
      <c r="A292" s="39"/>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spans="1:26">
      <c r="A293" s="39"/>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spans="1:26">
      <c r="A294" s="39"/>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spans="1:26">
      <c r="A295" s="39"/>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spans="1:26">
      <c r="A296" s="39"/>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spans="1:26">
      <c r="A297" s="39"/>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spans="1:26">
      <c r="A298" s="39"/>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spans="1:26">
      <c r="A299" s="39"/>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spans="1:26">
      <c r="A300" s="39"/>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spans="1:26">
      <c r="A301" s="39"/>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spans="1:26">
      <c r="A302" s="39"/>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spans="1:26">
      <c r="A303" s="39"/>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spans="1:26">
      <c r="A304" s="39"/>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spans="1:26">
      <c r="A305" s="39"/>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spans="1:26">
      <c r="A306" s="39"/>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spans="1:26">
      <c r="A307" s="39"/>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spans="1:26">
      <c r="A308" s="39"/>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spans="1:26">
      <c r="A309" s="39"/>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spans="1:26">
      <c r="A310" s="39"/>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spans="1:26">
      <c r="A311" s="39"/>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spans="1:26">
      <c r="A312" s="39"/>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spans="1:26">
      <c r="A313" s="39"/>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spans="1:26">
      <c r="A314" s="39"/>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spans="1:26">
      <c r="A315" s="39"/>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spans="1:26">
      <c r="A316" s="39"/>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spans="1:26">
      <c r="A317" s="39"/>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spans="1:26">
      <c r="A318" s="39"/>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spans="1:26">
      <c r="A319" s="39"/>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spans="1:26">
      <c r="A320" s="39"/>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spans="1:26">
      <c r="A321" s="39"/>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spans="1:26">
      <c r="A322" s="39"/>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spans="1:26">
      <c r="A323" s="39"/>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spans="1:26">
      <c r="A324" s="39"/>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spans="1:26">
      <c r="A325" s="39"/>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spans="1:26">
      <c r="A326" s="39"/>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spans="1:26">
      <c r="A327" s="39"/>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spans="1:26">
      <c r="A328" s="39"/>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spans="1:26">
      <c r="A329" s="39"/>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spans="1:26">
      <c r="A330" s="39"/>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spans="1:26">
      <c r="A331" s="39"/>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spans="1:26">
      <c r="A332" s="39"/>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spans="1:26">
      <c r="A333" s="39"/>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spans="1:26">
      <c r="A334" s="39"/>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spans="1:26">
      <c r="A335" s="39"/>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spans="1:26">
      <c r="A336" s="39"/>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spans="1:26">
      <c r="A337" s="39"/>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spans="1:26">
      <c r="A338" s="39"/>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spans="1:26">
      <c r="A339" s="39"/>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spans="1:26">
      <c r="A340" s="39"/>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spans="1:26">
      <c r="A341" s="39"/>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spans="1:26">
      <c r="A342" s="39"/>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spans="1:26">
      <c r="A343" s="39"/>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spans="1:26">
      <c r="A344" s="39"/>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spans="1:26">
      <c r="A345" s="39"/>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spans="1:26">
      <c r="A346" s="39"/>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spans="1:26">
      <c r="A347" s="39"/>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spans="1:26">
      <c r="A348" s="39"/>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spans="1:26">
      <c r="A349" s="39"/>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spans="1:26">
      <c r="A350" s="39"/>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spans="1:26">
      <c r="A351" s="39"/>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spans="1:26">
      <c r="A352" s="39"/>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spans="1:26">
      <c r="A353" s="39"/>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spans="1:26">
      <c r="A354" s="39"/>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spans="1:26">
      <c r="A355" s="39"/>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spans="1:26">
      <c r="A356" s="39"/>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spans="1:26">
      <c r="A357" s="39"/>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spans="1:26">
      <c r="A358" s="39"/>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spans="1:26">
      <c r="A359" s="39"/>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spans="1:26">
      <c r="A360" s="39"/>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spans="1:26">
      <c r="A361" s="39"/>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spans="1:26">
      <c r="A362" s="39"/>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spans="1:26">
      <c r="A363" s="39"/>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spans="1:26">
      <c r="A364" s="39"/>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spans="1:26">
      <c r="A365" s="39"/>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spans="1:26">
      <c r="A366" s="39"/>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spans="1:26">
      <c r="A367" s="39"/>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spans="1:26">
      <c r="A368" s="39"/>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spans="1:26">
      <c r="A369" s="39"/>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spans="1:26">
      <c r="A370" s="39"/>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spans="1:26">
      <c r="A371" s="39"/>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spans="1:26">
      <c r="A372" s="39"/>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spans="1:26">
      <c r="A373" s="39"/>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spans="1:26">
      <c r="A374" s="39"/>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spans="1:26">
      <c r="A375" s="39"/>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spans="1:26">
      <c r="A376" s="39"/>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spans="1:26">
      <c r="A377" s="39"/>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spans="1:26">
      <c r="A378" s="39"/>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spans="1:26">
      <c r="A379" s="39"/>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spans="1:26">
      <c r="A380" s="39"/>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spans="1:26">
      <c r="A381" s="39"/>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spans="1:26">
      <c r="A382" s="39"/>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spans="1:26">
      <c r="A383" s="39"/>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spans="1:26">
      <c r="A384" s="39"/>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spans="1:26">
      <c r="A385" s="39"/>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spans="1:26">
      <c r="A386" s="39"/>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spans="1:26">
      <c r="A387" s="39"/>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spans="1:26">
      <c r="A388" s="39"/>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spans="1:26">
      <c r="A389" s="39"/>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spans="1:26">
      <c r="A390" s="39"/>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spans="1:26">
      <c r="A391" s="39"/>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spans="1:26">
      <c r="A392" s="39"/>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spans="1:26">
      <c r="A393" s="39"/>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spans="1:26">
      <c r="A394" s="39"/>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spans="1:26">
      <c r="A395" s="39"/>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spans="1:26">
      <c r="A396" s="39"/>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spans="1:26">
      <c r="A397" s="39"/>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spans="1:26">
      <c r="A398" s="39"/>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spans="1:26">
      <c r="A399" s="39"/>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spans="1:26">
      <c r="A400" s="39"/>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spans="1:26">
      <c r="A401" s="39"/>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spans="1:26">
      <c r="A402" s="39"/>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spans="1:26">
      <c r="A403" s="39"/>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spans="1:26">
      <c r="A404" s="39"/>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spans="1:26">
      <c r="A405" s="39"/>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spans="1:26">
      <c r="A406" s="39"/>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spans="1:26">
      <c r="A407" s="39"/>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spans="1:26">
      <c r="A408" s="39"/>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spans="1:26">
      <c r="A409" s="39"/>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spans="1:26">
      <c r="A410" s="39"/>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spans="1:26">
      <c r="A411" s="39"/>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spans="1:26">
      <c r="A412" s="39"/>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spans="1:26">
      <c r="A413" s="39"/>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spans="1:26">
      <c r="A414" s="39"/>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spans="1:26">
      <c r="A415" s="39"/>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spans="1:26">
      <c r="A416" s="39"/>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spans="1:26">
      <c r="A417" s="39"/>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spans="1:26">
      <c r="A418" s="39"/>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spans="1:26">
      <c r="A419" s="39"/>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spans="1:26">
      <c r="A420" s="39"/>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spans="1:26">
      <c r="A421" s="39"/>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spans="1:26">
      <c r="A422" s="39"/>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spans="1:26">
      <c r="A423" s="39"/>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spans="1:26">
      <c r="A424" s="39"/>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spans="1:26">
      <c r="A425" s="39"/>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spans="1:26">
      <c r="A426" s="39"/>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spans="1:26">
      <c r="A427" s="39"/>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spans="1:26">
      <c r="A428" s="39"/>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spans="1:26">
      <c r="A429" s="39"/>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spans="1:26">
      <c r="A430" s="39"/>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spans="1:26">
      <c r="A431" s="39"/>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spans="1:26">
      <c r="A432" s="39"/>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spans="1:26">
      <c r="A433" s="39"/>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spans="1:26">
      <c r="A434" s="39"/>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spans="1:26">
      <c r="A435" s="39"/>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spans="1:26">
      <c r="A436" s="39"/>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spans="1:26">
      <c r="A437" s="39"/>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spans="1:26">
      <c r="A438" s="39"/>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spans="1:26">
      <c r="A439" s="39"/>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spans="1:26">
      <c r="A440" s="39"/>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spans="1:26">
      <c r="A441" s="39"/>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spans="1:26">
      <c r="A442" s="39"/>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spans="1:26">
      <c r="A443" s="39"/>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spans="1:26">
      <c r="A444" s="39"/>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spans="1:26">
      <c r="A445" s="39"/>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spans="1:26">
      <c r="A446" s="39"/>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spans="1:26">
      <c r="A447" s="39"/>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spans="1:26">
      <c r="A448" s="39"/>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spans="1:26">
      <c r="A449" s="39"/>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spans="1:26">
      <c r="A450" s="39"/>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spans="1:26">
      <c r="A451" s="39"/>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spans="1:26">
      <c r="A452" s="39"/>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spans="1:26">
      <c r="A453" s="39"/>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spans="1:26">
      <c r="A454" s="39"/>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spans="1:26">
      <c r="A455" s="39"/>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spans="1:26">
      <c r="A456" s="39"/>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spans="1:26">
      <c r="A457" s="39"/>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spans="1:26">
      <c r="A458" s="39"/>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spans="1:26">
      <c r="A459" s="39"/>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spans="1:26">
      <c r="A460" s="39"/>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spans="1:26">
      <c r="A461" s="39"/>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spans="1:26">
      <c r="A462" s="39"/>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spans="1:26">
      <c r="A463" s="39"/>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spans="1:26">
      <c r="A464" s="39"/>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spans="1:26">
      <c r="A465" s="39"/>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spans="1:26">
      <c r="A466" s="39"/>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spans="1:26">
      <c r="A467" s="39"/>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spans="1:26">
      <c r="A468" s="39"/>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spans="1:26">
      <c r="A469" s="39"/>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spans="1:26">
      <c r="A470" s="39"/>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spans="1:26">
      <c r="A471" s="39"/>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spans="1:26">
      <c r="A472" s="39"/>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spans="1:26">
      <c r="A473" s="39"/>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spans="1:26">
      <c r="A474" s="39"/>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spans="1:26">
      <c r="A475" s="39"/>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spans="1:26">
      <c r="A476" s="39"/>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spans="1:26">
      <c r="A477" s="39"/>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spans="1:26">
      <c r="A478" s="39"/>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spans="1:26">
      <c r="A479" s="39"/>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spans="1:26">
      <c r="A480" s="39"/>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spans="1:26">
      <c r="A481" s="39"/>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spans="1:26">
      <c r="A482" s="39"/>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spans="1:26">
      <c r="A483" s="39"/>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spans="1:26">
      <c r="A484" s="39"/>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spans="1:26">
      <c r="A485" s="39"/>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spans="1:26">
      <c r="A486" s="39"/>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spans="1:26">
      <c r="A487" s="39"/>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spans="1:26">
      <c r="A488" s="39"/>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spans="1:26">
      <c r="A489" s="39"/>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spans="1:26">
      <c r="A490" s="39"/>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spans="1:26">
      <c r="A491" s="39"/>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spans="1:26">
      <c r="A492" s="39"/>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spans="1:26">
      <c r="A493" s="39"/>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spans="1:26">
      <c r="A494" s="39"/>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spans="1:26">
      <c r="A495" s="39"/>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spans="1:26">
      <c r="A496" s="39"/>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spans="1:26">
      <c r="A497" s="39"/>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spans="1:26">
      <c r="A498" s="39"/>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spans="1:26">
      <c r="A499" s="39"/>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spans="1:26">
      <c r="A500" s="39"/>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spans="1:26">
      <c r="A501" s="39"/>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spans="1:26">
      <c r="A502" s="39"/>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spans="1:26">
      <c r="A503" s="39"/>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spans="1:26">
      <c r="A504" s="39"/>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spans="1:26">
      <c r="A505" s="39"/>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spans="1:26">
      <c r="A506" s="39"/>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spans="1:26">
      <c r="A507" s="39"/>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spans="1:26">
      <c r="A508" s="39"/>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spans="1:26">
      <c r="A509" s="39"/>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spans="1:26">
      <c r="A510" s="39"/>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spans="1:26">
      <c r="A511" s="39"/>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spans="1:26">
      <c r="A512" s="39"/>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spans="1:26">
      <c r="A513" s="39"/>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spans="1:26">
      <c r="A514" s="39"/>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spans="1:26">
      <c r="A515" s="39"/>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spans="1:26">
      <c r="A516" s="39"/>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spans="1:26">
      <c r="A517" s="39"/>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spans="1:26">
      <c r="A518" s="39"/>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spans="1:26">
      <c r="A519" s="39"/>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spans="1:26">
      <c r="A520" s="39"/>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spans="1:26">
      <c r="A521" s="39"/>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spans="1:26">
      <c r="A522" s="39"/>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spans="1:26">
      <c r="A523" s="39"/>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spans="1:26">
      <c r="A524" s="39"/>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spans="1:26">
      <c r="A525" s="39"/>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spans="1:26">
      <c r="A526" s="39"/>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spans="1:26">
      <c r="A527" s="39"/>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spans="1:26">
      <c r="A528" s="39"/>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spans="1:26">
      <c r="A529" s="39"/>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spans="1:26">
      <c r="A530" s="39"/>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spans="1:26">
      <c r="A531" s="39"/>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spans="1:26">
      <c r="A532" s="39"/>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spans="1:26">
      <c r="A533" s="39"/>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spans="1:26">
      <c r="A534" s="39"/>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spans="1:26">
      <c r="A535" s="39"/>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spans="1:26">
      <c r="A536" s="39"/>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spans="1:26">
      <c r="A537" s="39"/>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spans="1:26">
      <c r="A538" s="39"/>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spans="1:26">
      <c r="A539" s="39"/>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spans="1:26">
      <c r="A540" s="39"/>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spans="1:26">
      <c r="A541" s="39"/>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spans="1:26">
      <c r="A542" s="39"/>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spans="1:26">
      <c r="A543" s="39"/>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spans="1:26">
      <c r="A544" s="39"/>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spans="1:26">
      <c r="A545" s="39"/>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spans="1:26">
      <c r="A546" s="39"/>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spans="1:26">
      <c r="A547" s="39"/>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spans="1:26">
      <c r="A548" s="39"/>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spans="1:26">
      <c r="A549" s="39"/>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spans="1:26">
      <c r="A550" s="39"/>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spans="1:26">
      <c r="A551" s="39"/>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spans="1:26">
      <c r="A552" s="39"/>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spans="1:26">
      <c r="A553" s="39"/>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spans="1:26">
      <c r="A554" s="39"/>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spans="1:26">
      <c r="A555" s="39"/>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spans="1:26">
      <c r="A556" s="39"/>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spans="1:26">
      <c r="A557" s="39"/>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spans="1:26">
      <c r="A558" s="39"/>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spans="1:26">
      <c r="A559" s="39"/>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spans="1:26">
      <c r="A560" s="39"/>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spans="1:26">
      <c r="A561" s="39"/>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spans="1:26">
      <c r="A562" s="39"/>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spans="1:26">
      <c r="A563" s="39"/>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spans="1:26">
      <c r="A564" s="39"/>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spans="1:26">
      <c r="A565" s="39"/>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spans="1:26">
      <c r="A566" s="39"/>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spans="1:26">
      <c r="A567" s="39"/>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spans="1:26">
      <c r="A568" s="39"/>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spans="1:26">
      <c r="A569" s="39"/>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spans="1:26">
      <c r="A570" s="39"/>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spans="1:26">
      <c r="A571" s="39"/>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spans="1:26">
      <c r="A572" s="39"/>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spans="1:26">
      <c r="A573" s="39"/>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spans="1:26">
      <c r="A574" s="39"/>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spans="1:26">
      <c r="A575" s="39"/>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spans="1:26">
      <c r="A576" s="39"/>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spans="1:26">
      <c r="A577" s="39"/>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spans="1:26">
      <c r="A578" s="39"/>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spans="1:26">
      <c r="A579" s="39"/>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spans="1:26">
      <c r="A580" s="39"/>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spans="1:26">
      <c r="A581" s="39"/>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spans="1:26">
      <c r="A582" s="39"/>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spans="1:26">
      <c r="A583" s="39"/>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spans="1:26">
      <c r="A584" s="39"/>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spans="1:26">
      <c r="A585" s="39"/>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spans="1:26">
      <c r="A586" s="39"/>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spans="1:26">
      <c r="A587" s="39"/>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spans="1:26">
      <c r="A588" s="39"/>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spans="1:26">
      <c r="A589" s="39"/>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spans="1:26">
      <c r="A590" s="39"/>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spans="1:26">
      <c r="A591" s="39"/>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spans="1:26">
      <c r="A592" s="39"/>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spans="1:26">
      <c r="A593" s="39"/>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spans="1:26">
      <c r="A594" s="39"/>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spans="1:26">
      <c r="A595" s="39"/>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spans="1:26">
      <c r="A596" s="39"/>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spans="1:26">
      <c r="A597" s="39"/>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spans="1:26">
      <c r="A598" s="39"/>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spans="1:26">
      <c r="A599" s="39"/>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spans="1:26">
      <c r="A600" s="39"/>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spans="1:26">
      <c r="A601" s="39"/>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spans="1:26">
      <c r="A602" s="39"/>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spans="1:26">
      <c r="A603" s="39"/>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spans="1:26">
      <c r="A604" s="39"/>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spans="1:26">
      <c r="A605" s="39"/>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spans="1:26">
      <c r="A606" s="39"/>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spans="1:26">
      <c r="A607" s="39"/>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spans="1:26">
      <c r="A608" s="39"/>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spans="1:26">
      <c r="A609" s="39"/>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spans="1:26">
      <c r="A610" s="39"/>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spans="1:26">
      <c r="A611" s="39"/>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spans="1:26">
      <c r="A612" s="39"/>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spans="1:26">
      <c r="A613" s="39"/>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spans="1:26">
      <c r="A614" s="39"/>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spans="1:26">
      <c r="A615" s="39"/>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spans="1:26">
      <c r="A616" s="39"/>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spans="1:26">
      <c r="A617" s="39"/>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spans="1:26">
      <c r="A618" s="39"/>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spans="1:26">
      <c r="A619" s="39"/>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spans="1:26">
      <c r="A620" s="39"/>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spans="1:26">
      <c r="A621" s="39"/>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spans="1:26">
      <c r="A622" s="39"/>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spans="1:26">
      <c r="A623" s="39"/>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spans="1:26">
      <c r="A624" s="39"/>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spans="1:26">
      <c r="A625" s="39"/>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spans="1:26">
      <c r="A626" s="39"/>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spans="1:26">
      <c r="A627" s="39"/>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spans="1:26">
      <c r="A628" s="39"/>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spans="1:26">
      <c r="A629" s="39"/>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spans="1:26">
      <c r="A630" s="39"/>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spans="1:26">
      <c r="A631" s="39"/>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spans="1:26">
      <c r="A632" s="39"/>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spans="1:26">
      <c r="A633" s="39"/>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spans="1:26">
      <c r="A634" s="39"/>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spans="1:26">
      <c r="A635" s="39"/>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spans="1:26">
      <c r="A636" s="39"/>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spans="1:26">
      <c r="A637" s="39"/>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spans="1:26">
      <c r="A638" s="39"/>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spans="1:26">
      <c r="A639" s="39"/>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spans="1:26">
      <c r="A640" s="39"/>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spans="1:26">
      <c r="A641" s="39"/>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spans="1:26">
      <c r="A642" s="39"/>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spans="1:26">
      <c r="A643" s="39"/>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spans="1:26">
      <c r="A644" s="39"/>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spans="1:26">
      <c r="A645" s="39"/>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spans="1:26">
      <c r="A646" s="39"/>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spans="1:26">
      <c r="A647" s="39"/>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spans="1:26">
      <c r="A648" s="39"/>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spans="1:26">
      <c r="A649" s="39"/>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spans="1:26">
      <c r="A650" s="39"/>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spans="1:26">
      <c r="A651" s="39"/>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spans="1:26">
      <c r="A652" s="39"/>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spans="1:26">
      <c r="A653" s="39"/>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spans="1:26">
      <c r="A654" s="39"/>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spans="1:26">
      <c r="A655" s="39"/>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spans="1:26">
      <c r="A656" s="39"/>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spans="1:26">
      <c r="A657" s="39"/>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spans="1:26">
      <c r="A658" s="39"/>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spans="1:26">
      <c r="A659" s="39"/>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spans="1:26">
      <c r="A660" s="39"/>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spans="1:26">
      <c r="A661" s="39"/>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spans="1:26">
      <c r="A662" s="39"/>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spans="1:26">
      <c r="A663" s="39"/>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spans="1:26">
      <c r="A664" s="39"/>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spans="1:26">
      <c r="A665" s="39"/>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spans="1:26">
      <c r="A666" s="39"/>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spans="1:26">
      <c r="A667" s="39"/>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spans="1:26">
      <c r="A668" s="39"/>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spans="1:26">
      <c r="A669" s="39"/>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spans="1:26">
      <c r="A670" s="39"/>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spans="1:26">
      <c r="A671" s="39"/>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spans="1:26">
      <c r="A672" s="39"/>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spans="1:26">
      <c r="A673" s="39"/>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spans="1:26">
      <c r="A674" s="39"/>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spans="1:26">
      <c r="A675" s="39"/>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spans="1:26">
      <c r="A676" s="39"/>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spans="1:26">
      <c r="A677" s="39"/>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spans="1:26">
      <c r="A678" s="39"/>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spans="1:26">
      <c r="A679" s="39"/>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spans="1:26">
      <c r="A680" s="39"/>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spans="1:26">
      <c r="A681" s="39"/>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spans="1:26">
      <c r="A682" s="39"/>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spans="1:26">
      <c r="A683" s="39"/>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spans="1:26">
      <c r="A684" s="39"/>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spans="1:26">
      <c r="A685" s="39"/>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spans="1:26">
      <c r="A686" s="39"/>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spans="1:26">
      <c r="A687" s="39"/>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spans="1:26">
      <c r="A688" s="39"/>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spans="1:26">
      <c r="A689" s="39"/>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spans="1:26">
      <c r="A690" s="39"/>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spans="1:26">
      <c r="A691" s="39"/>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spans="1:26">
      <c r="A692" s="39"/>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spans="1:26">
      <c r="A693" s="39"/>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spans="1:26">
      <c r="A694" s="39"/>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spans="1:26">
      <c r="A695" s="39"/>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spans="1:26">
      <c r="A696" s="39"/>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spans="1:26">
      <c r="A697" s="39"/>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spans="1:26">
      <c r="A698" s="39"/>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spans="1:26">
      <c r="A699" s="39"/>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spans="1:26">
      <c r="A700" s="39"/>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spans="1:26">
      <c r="A701" s="39"/>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spans="1:26">
      <c r="A702" s="39"/>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spans="1:26">
      <c r="A703" s="39"/>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spans="1:26">
      <c r="A704" s="39"/>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spans="1:26">
      <c r="A705" s="39"/>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spans="1:26">
      <c r="A706" s="39"/>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spans="1:26">
      <c r="A707" s="39"/>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spans="1:26">
      <c r="A708" s="39"/>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spans="1:26">
      <c r="A709" s="39"/>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spans="1:26">
      <c r="A710" s="39"/>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spans="1:26">
      <c r="A711" s="39"/>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spans="1:26">
      <c r="A712" s="39"/>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spans="1:26">
      <c r="A713" s="39"/>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spans="1:26">
      <c r="A714" s="39"/>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spans="1:26">
      <c r="A715" s="39"/>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spans="1:26">
      <c r="A716" s="39"/>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spans="1:26">
      <c r="A717" s="39"/>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spans="1:26">
      <c r="A718" s="39"/>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spans="1:26">
      <c r="A719" s="39"/>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spans="1:26">
      <c r="A720" s="39"/>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spans="1:26">
      <c r="A721" s="39"/>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spans="1:26">
      <c r="A722" s="39"/>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spans="1:26">
      <c r="A723" s="39"/>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spans="1:26">
      <c r="A724" s="39"/>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spans="1:26">
      <c r="A725" s="39"/>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spans="1:26">
      <c r="A726" s="39"/>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spans="1:26">
      <c r="A727" s="39"/>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spans="1:26">
      <c r="A728" s="39"/>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spans="1:26">
      <c r="A729" s="39"/>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spans="1:26">
      <c r="A730" s="39"/>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spans="1:26">
      <c r="A731" s="39"/>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spans="1:26">
      <c r="A732" s="39"/>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spans="1:26">
      <c r="A733" s="39"/>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spans="1:26">
      <c r="A734" s="39"/>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spans="1:26">
      <c r="A735" s="39"/>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spans="1:26">
      <c r="A736" s="39"/>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spans="1:26">
      <c r="A737" s="39"/>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spans="1:26">
      <c r="A738" s="39"/>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spans="1:26">
      <c r="A739" s="39"/>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spans="1:26">
      <c r="A740" s="39"/>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spans="1:26">
      <c r="A741" s="39"/>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spans="1:26">
      <c r="A742" s="39"/>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spans="1:26">
      <c r="A743" s="39"/>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spans="1:26">
      <c r="A744" s="39"/>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spans="1:26">
      <c r="A745" s="39"/>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spans="1:26">
      <c r="A746" s="39"/>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spans="1:26">
      <c r="A747" s="39"/>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spans="1:26">
      <c r="A748" s="39"/>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spans="1:26">
      <c r="A749" s="39"/>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spans="1:26">
      <c r="A750" s="39"/>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spans="1:26">
      <c r="A751" s="39"/>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spans="1:26">
      <c r="A752" s="39"/>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spans="1:26">
      <c r="A753" s="39"/>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spans="1:26">
      <c r="A754" s="39"/>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spans="1:26">
      <c r="A755" s="39"/>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spans="1:26">
      <c r="A756" s="39"/>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spans="1:26">
      <c r="A757" s="39"/>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spans="1:26">
      <c r="A758" s="39"/>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spans="1:26">
      <c r="A759" s="39"/>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spans="1:26">
      <c r="A760" s="39"/>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spans="1:26">
      <c r="A761" s="39"/>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spans="1:26">
      <c r="A762" s="39"/>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spans="1:26">
      <c r="A763" s="39"/>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spans="1:26">
      <c r="A764" s="39"/>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spans="1:26">
      <c r="A765" s="39"/>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spans="1:26">
      <c r="A766" s="39"/>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spans="1:26">
      <c r="A767" s="39"/>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spans="1:26">
      <c r="A768" s="39"/>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spans="1:26">
      <c r="A769" s="39"/>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spans="1:26">
      <c r="A770" s="39"/>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spans="1:26">
      <c r="A771" s="39"/>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spans="1:26">
      <c r="A772" s="39"/>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spans="1:26">
      <c r="A773" s="39"/>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spans="1:26">
      <c r="A774" s="39"/>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spans="1:26">
      <c r="A775" s="39"/>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spans="1:26">
      <c r="A776" s="39"/>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spans="1:26">
      <c r="A777" s="39"/>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spans="1:26">
      <c r="A778" s="39"/>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spans="1:26">
      <c r="A779" s="39"/>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spans="1:26">
      <c r="A780" s="39"/>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spans="1:26">
      <c r="A781" s="39"/>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spans="1:26">
      <c r="A782" s="39"/>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spans="1:26">
      <c r="A783" s="39"/>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spans="1:26">
      <c r="A784" s="39"/>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spans="1:26">
      <c r="A785" s="39"/>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spans="1:26">
      <c r="A786" s="39"/>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spans="1:26">
      <c r="A787" s="39"/>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spans="1:26">
      <c r="A788" s="39"/>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spans="1:26">
      <c r="A789" s="39"/>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spans="1:26">
      <c r="A790" s="39"/>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spans="1:26">
      <c r="A791" s="39"/>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spans="1:26">
      <c r="A792" s="39"/>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spans="1:26">
      <c r="A793" s="39"/>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spans="1:26">
      <c r="A794" s="39"/>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spans="1:26">
      <c r="A795" s="39"/>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spans="1:26">
      <c r="A796" s="39"/>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spans="1:26">
      <c r="A797" s="39"/>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spans="1:26">
      <c r="A798" s="39"/>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spans="1:26">
      <c r="A799" s="39"/>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spans="1:26">
      <c r="A800" s="39"/>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spans="1:26">
      <c r="A801" s="39"/>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spans="1:26">
      <c r="A802" s="39"/>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spans="1:26">
      <c r="A803" s="39"/>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spans="1:26">
      <c r="A804" s="39"/>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spans="1:26">
      <c r="A805" s="39"/>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spans="1:26">
      <c r="A806" s="39"/>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spans="1:26">
      <c r="A807" s="39"/>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spans="1:26">
      <c r="A808" s="39"/>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spans="1:26">
      <c r="A809" s="39"/>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spans="1:26">
      <c r="A810" s="39"/>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spans="1:26">
      <c r="A811" s="39"/>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spans="1:26">
      <c r="A812" s="39"/>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spans="1:26">
      <c r="A813" s="39"/>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spans="1:26">
      <c r="A814" s="39"/>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spans="1:26">
      <c r="A815" s="39"/>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spans="1:26">
      <c r="A816" s="39"/>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spans="1:26">
      <c r="A817" s="39"/>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spans="1:26">
      <c r="A818" s="39"/>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spans="1:26">
      <c r="A819" s="39"/>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spans="1:26">
      <c r="A820" s="39"/>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spans="1:26">
      <c r="A821" s="39"/>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spans="1:26">
      <c r="A822" s="39"/>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spans="1:26">
      <c r="A823" s="39"/>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spans="1:26">
      <c r="A824" s="39"/>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spans="1:26">
      <c r="A825" s="39"/>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spans="1:26">
      <c r="A826" s="39"/>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spans="1:26">
      <c r="A827" s="39"/>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spans="1:26">
      <c r="A828" s="39"/>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spans="1:26">
      <c r="A829" s="39"/>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spans="1:26">
      <c r="A830" s="39"/>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spans="1:26">
      <c r="A831" s="39"/>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spans="1:26">
      <c r="A832" s="39"/>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spans="1:26">
      <c r="A833" s="39"/>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spans="1:26">
      <c r="A834" s="39"/>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spans="1:26">
      <c r="A835" s="39"/>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spans="1:26">
      <c r="A836" s="39"/>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spans="1:26">
      <c r="A837" s="39"/>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spans="1:26">
      <c r="A838" s="39"/>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spans="1:26">
      <c r="A839" s="39"/>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spans="1:26">
      <c r="A840" s="39"/>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spans="1:26">
      <c r="A841" s="39"/>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spans="1:26">
      <c r="A842" s="39"/>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spans="1:26">
      <c r="A843" s="39"/>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spans="1:26">
      <c r="A844" s="39"/>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spans="1:26">
      <c r="A845" s="39"/>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spans="1:26">
      <c r="A846" s="39"/>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spans="1:26">
      <c r="A847" s="39"/>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spans="1:26">
      <c r="A848" s="39"/>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spans="1:26">
      <c r="A849" s="39"/>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spans="1:26">
      <c r="A850" s="39"/>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spans="1:26">
      <c r="A851" s="39"/>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spans="1:26">
      <c r="A852" s="39"/>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spans="1:26">
      <c r="A853" s="39"/>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spans="1:26">
      <c r="A854" s="39"/>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spans="1:26">
      <c r="A855" s="39"/>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spans="1:26">
      <c r="A856" s="39"/>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spans="1:26">
      <c r="A857" s="39"/>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spans="1:26">
      <c r="A858" s="39"/>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spans="1:26">
      <c r="A859" s="39"/>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spans="1:26">
      <c r="A860" s="39"/>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spans="1:26">
      <c r="A861" s="39"/>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spans="1:26">
      <c r="A862" s="39"/>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spans="1:26">
      <c r="A863" s="39"/>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spans="1:26">
      <c r="A864" s="39"/>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spans="1:26">
      <c r="A865" s="39"/>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spans="1:26">
      <c r="A866" s="39"/>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spans="1:26">
      <c r="A867" s="39"/>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spans="1:26">
      <c r="A868" s="39"/>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spans="1:26">
      <c r="A869" s="39"/>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spans="1:26">
      <c r="A870" s="39"/>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spans="1:26">
      <c r="A871" s="39"/>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spans="1:26">
      <c r="A872" s="39"/>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spans="1:26">
      <c r="A873" s="39"/>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spans="1:26">
      <c r="A874" s="39"/>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spans="1:26">
      <c r="A875" s="39"/>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spans="1:26">
      <c r="A876" s="39"/>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spans="1:26">
      <c r="A877" s="39"/>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spans="1:26">
      <c r="A878" s="39"/>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spans="1:26">
      <c r="A879" s="39"/>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spans="1:26">
      <c r="A880" s="39"/>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spans="1:26">
      <c r="A881" s="39"/>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spans="1:26">
      <c r="A882" s="39"/>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spans="1:26">
      <c r="A883" s="39"/>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spans="1:26">
      <c r="A884" s="39"/>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spans="1:26">
      <c r="A885" s="39"/>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spans="1:26">
      <c r="A886" s="39"/>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spans="1:26">
      <c r="A887" s="39"/>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spans="1:26">
      <c r="A888" s="39"/>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spans="1:26">
      <c r="A889" s="39"/>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spans="1:26">
      <c r="A890" s="39"/>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spans="1:26">
      <c r="A891" s="39"/>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spans="1:26">
      <c r="A892" s="39"/>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spans="1:26">
      <c r="A893" s="39"/>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spans="1:26">
      <c r="A894" s="39"/>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spans="1:26">
      <c r="A895" s="39"/>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spans="1:26">
      <c r="A896" s="39"/>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spans="1:26">
      <c r="A897" s="39"/>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spans="1:26">
      <c r="A898" s="39"/>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spans="1:26">
      <c r="A899" s="39"/>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spans="1:26">
      <c r="A900" s="39"/>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spans="1:26">
      <c r="A901" s="39"/>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spans="1:26">
      <c r="A902" s="39"/>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spans="1:26">
      <c r="A903" s="39"/>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spans="1:26">
      <c r="A904" s="39"/>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spans="1:26">
      <c r="A905" s="39"/>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spans="1:26">
      <c r="A906" s="39"/>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spans="1:26">
      <c r="A907" s="39"/>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spans="1:26">
      <c r="A908" s="39"/>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spans="1:26">
      <c r="A909" s="39"/>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spans="1:26">
      <c r="A910" s="39"/>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spans="1:26">
      <c r="A911" s="39"/>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spans="1:26">
      <c r="A912" s="39"/>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spans="1:26">
      <c r="A913" s="39"/>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spans="1:26">
      <c r="A914" s="39"/>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spans="1:26">
      <c r="A915" s="39"/>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spans="1:26">
      <c r="A916" s="39"/>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spans="1:26">
      <c r="A917" s="39"/>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spans="1:26">
      <c r="A918" s="39"/>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spans="1:26">
      <c r="A919" s="39"/>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spans="1:26">
      <c r="A920" s="39"/>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spans="1:26">
      <c r="A921" s="39"/>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spans="1:26">
      <c r="A922" s="39"/>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spans="1:26">
      <c r="A923" s="39"/>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spans="1:26">
      <c r="A924" s="39"/>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spans="1:26">
      <c r="A925" s="39"/>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spans="1:26">
      <c r="A926" s="39"/>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spans="1:26">
      <c r="A927" s="39"/>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spans="1:26">
      <c r="A928" s="39"/>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spans="1:26">
      <c r="A929" s="39"/>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spans="1:26">
      <c r="A930" s="39"/>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spans="1:26">
      <c r="A931" s="39"/>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spans="1:26">
      <c r="A932" s="39"/>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spans="1:26">
      <c r="A933" s="39"/>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spans="1:26">
      <c r="A934" s="39"/>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spans="1:26">
      <c r="A935" s="39"/>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spans="1:26">
      <c r="A936" s="39"/>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spans="1:26">
      <c r="A937" s="39"/>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spans="1:26">
      <c r="A938" s="39"/>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spans="1:26">
      <c r="A939" s="39"/>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spans="1:26">
      <c r="A940" s="39"/>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spans="1:26">
      <c r="A941" s="39"/>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spans="1:26">
      <c r="A942" s="39"/>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spans="1:26">
      <c r="A943" s="39"/>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spans="1:26">
      <c r="A944" s="39"/>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spans="1:26">
      <c r="A945" s="39"/>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spans="1:26">
      <c r="A946" s="39"/>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spans="1:26">
      <c r="A947" s="39"/>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spans="1:26">
      <c r="A948" s="39"/>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spans="1:26">
      <c r="A949" s="39"/>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spans="1:26">
      <c r="A950" s="39"/>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spans="1:26">
      <c r="A951" s="39"/>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spans="1:26">
      <c r="A952" s="39"/>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spans="1:26">
      <c r="A953" s="39"/>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spans="1:26">
      <c r="A954" s="39"/>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spans="1:26">
      <c r="A955" s="39"/>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spans="1:26">
      <c r="A956" s="39"/>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spans="1:26">
      <c r="A957" s="39"/>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spans="1:26">
      <c r="A958" s="39"/>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spans="1:26">
      <c r="A959" s="39"/>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spans="1:26">
      <c r="A960" s="39"/>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spans="1:26">
      <c r="A961" s="39"/>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spans="1:26">
      <c r="A962" s="39"/>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spans="1:26">
      <c r="A963" s="39"/>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spans="1:26">
      <c r="A964" s="39"/>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spans="1:26">
      <c r="A965" s="39"/>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spans="1:26">
      <c r="A966" s="39"/>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spans="1:26">
      <c r="A967" s="39"/>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spans="1:26">
      <c r="A968" s="39"/>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spans="1:26">
      <c r="A969" s="39"/>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spans="1:26">
      <c r="A970" s="39"/>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spans="1:26">
      <c r="A971" s="39"/>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spans="1:26">
      <c r="A972" s="39"/>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spans="1:26">
      <c r="A973" s="39"/>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spans="1:26">
      <c r="A974" s="39"/>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spans="1:26">
      <c r="A975" s="39"/>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spans="1:26">
      <c r="A976" s="39"/>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spans="1:26">
      <c r="A977" s="39"/>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spans="1:26">
      <c r="A978" s="39"/>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spans="1:26">
      <c r="A979" s="39"/>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spans="1:26">
      <c r="A980" s="39"/>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spans="1:26">
      <c r="A981" s="39"/>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spans="1:26">
      <c r="A982" s="39"/>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spans="1:26">
      <c r="A983" s="39"/>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spans="1:26">
      <c r="A984" s="39"/>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spans="1:26">
      <c r="A985" s="39"/>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spans="1:26">
      <c r="A986" s="39"/>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spans="1:26">
      <c r="A987" s="39"/>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spans="1:26">
      <c r="A988" s="39"/>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spans="1:26">
      <c r="A989" s="39"/>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spans="1:26">
      <c r="A990" s="39"/>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spans="1:26">
      <c r="A991" s="39"/>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spans="1:26">
      <c r="A992" s="39"/>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spans="1:26">
      <c r="A993" s="39"/>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spans="1:26">
      <c r="A994" s="39"/>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spans="1:26">
      <c r="A995" s="39"/>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spans="1:26">
      <c r="A996" s="39"/>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spans="1:26">
      <c r="A997" s="39"/>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spans="1:26">
      <c r="A998" s="39"/>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spans="1:26">
      <c r="A999" s="39"/>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spans="1:26">
      <c r="A1000" s="39"/>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row r="1001" spans="1:26">
      <c r="A1001" s="39"/>
      <c r="B1001" s="37"/>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row>
    <row r="1002" spans="1:26">
      <c r="A1002" s="39"/>
      <c r="B1002" s="37"/>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row>
    <row r="1003" spans="1:26">
      <c r="A1003" s="39"/>
      <c r="B1003" s="37"/>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row>
    <row r="1004" spans="1:26">
      <c r="A1004" s="39"/>
      <c r="B1004" s="37"/>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row>
    <row r="1005" spans="1:26">
      <c r="A1005" s="39"/>
      <c r="B1005" s="37"/>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c r="Z1005" s="37"/>
    </row>
    <row r="1006" spans="1:26">
      <c r="A1006" s="39"/>
      <c r="B1006" s="37"/>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row>
    <row r="1007" spans="1:26">
      <c r="A1007" s="39"/>
      <c r="B1007" s="37"/>
      <c r="C1007" s="37"/>
      <c r="D1007" s="37"/>
      <c r="E1007" s="37"/>
      <c r="F1007" s="37"/>
      <c r="G1007" s="37"/>
      <c r="H1007" s="37"/>
      <c r="I1007" s="37"/>
      <c r="J1007" s="37"/>
      <c r="K1007" s="37"/>
      <c r="L1007" s="37"/>
      <c r="M1007" s="37"/>
      <c r="N1007" s="37"/>
      <c r="O1007" s="37"/>
      <c r="P1007" s="37"/>
      <c r="Q1007" s="37"/>
      <c r="R1007" s="37"/>
      <c r="S1007" s="37"/>
      <c r="T1007" s="37"/>
      <c r="U1007" s="37"/>
      <c r="V1007" s="37"/>
      <c r="W1007" s="37"/>
      <c r="X1007" s="37"/>
      <c r="Y1007" s="37"/>
      <c r="Z1007" s="37"/>
    </row>
    <row r="1008" spans="1:26">
      <c r="A1008" s="39"/>
      <c r="B1008" s="37"/>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row>
    <row r="1009" spans="1:26">
      <c r="A1009" s="39"/>
      <c r="B1009" s="37"/>
      <c r="C1009" s="37"/>
      <c r="D1009" s="37"/>
      <c r="E1009" s="37"/>
      <c r="F1009" s="37"/>
      <c r="G1009" s="37"/>
      <c r="H1009" s="37"/>
      <c r="I1009" s="37"/>
      <c r="J1009" s="37"/>
      <c r="K1009" s="37"/>
      <c r="L1009" s="37"/>
      <c r="M1009" s="37"/>
      <c r="N1009" s="37"/>
      <c r="O1009" s="37"/>
      <c r="P1009" s="37"/>
      <c r="Q1009" s="37"/>
      <c r="R1009" s="37"/>
      <c r="S1009" s="37"/>
      <c r="T1009" s="37"/>
      <c r="U1009" s="37"/>
      <c r="V1009" s="37"/>
      <c r="W1009" s="37"/>
      <c r="X1009" s="37"/>
      <c r="Y1009" s="37"/>
      <c r="Z1009" s="37"/>
    </row>
    <row r="1010" spans="1:26">
      <c r="A1010" s="39"/>
      <c r="B1010" s="37"/>
      <c r="C1010" s="37"/>
      <c r="D1010" s="37"/>
      <c r="E1010" s="37"/>
      <c r="F1010" s="37"/>
      <c r="G1010" s="37"/>
      <c r="H1010" s="37"/>
      <c r="I1010" s="37"/>
      <c r="J1010" s="37"/>
      <c r="K1010" s="37"/>
      <c r="L1010" s="37"/>
      <c r="M1010" s="37"/>
      <c r="N1010" s="37"/>
      <c r="O1010" s="37"/>
      <c r="P1010" s="37"/>
      <c r="Q1010" s="37"/>
      <c r="R1010" s="37"/>
      <c r="S1010" s="37"/>
      <c r="T1010" s="37"/>
      <c r="U1010" s="37"/>
      <c r="V1010" s="37"/>
      <c r="W1010" s="37"/>
      <c r="X1010" s="37"/>
      <c r="Y1010" s="37"/>
      <c r="Z1010" s="37"/>
    </row>
    <row r="1011" spans="1:26">
      <c r="A1011" s="39"/>
      <c r="B1011" s="37"/>
      <c r="C1011" s="37"/>
      <c r="D1011" s="37"/>
      <c r="E1011" s="37"/>
      <c r="F1011" s="37"/>
      <c r="G1011" s="37"/>
      <c r="H1011" s="37"/>
      <c r="I1011" s="37"/>
      <c r="J1011" s="37"/>
      <c r="K1011" s="37"/>
      <c r="L1011" s="37"/>
      <c r="M1011" s="37"/>
      <c r="N1011" s="37"/>
      <c r="O1011" s="37"/>
      <c r="P1011" s="37"/>
      <c r="Q1011" s="37"/>
      <c r="R1011" s="37"/>
      <c r="S1011" s="37"/>
      <c r="T1011" s="37"/>
      <c r="U1011" s="37"/>
      <c r="V1011" s="37"/>
      <c r="W1011" s="37"/>
      <c r="X1011" s="37"/>
      <c r="Y1011" s="37"/>
      <c r="Z1011" s="37"/>
    </row>
    <row r="1012" spans="1:26">
      <c r="A1012" s="39"/>
      <c r="B1012" s="37"/>
      <c r="C1012" s="37"/>
      <c r="D1012" s="37"/>
      <c r="E1012" s="37"/>
      <c r="F1012" s="37"/>
      <c r="G1012" s="37"/>
      <c r="H1012" s="37"/>
      <c r="I1012" s="37"/>
      <c r="J1012" s="37"/>
      <c r="K1012" s="37"/>
      <c r="L1012" s="37"/>
      <c r="M1012" s="37"/>
      <c r="N1012" s="37"/>
      <c r="O1012" s="37"/>
      <c r="P1012" s="37"/>
      <c r="Q1012" s="37"/>
      <c r="R1012" s="37"/>
      <c r="S1012" s="37"/>
      <c r="T1012" s="37"/>
      <c r="U1012" s="37"/>
      <c r="V1012" s="37"/>
      <c r="W1012" s="37"/>
      <c r="X1012" s="37"/>
      <c r="Y1012" s="37"/>
      <c r="Z1012" s="37"/>
    </row>
    <row r="1013" spans="1:26">
      <c r="A1013" s="39"/>
      <c r="B1013" s="37"/>
      <c r="C1013" s="37"/>
      <c r="D1013" s="37"/>
      <c r="E1013" s="37"/>
      <c r="F1013" s="37"/>
      <c r="G1013" s="37"/>
      <c r="H1013" s="37"/>
      <c r="I1013" s="37"/>
      <c r="J1013" s="37"/>
      <c r="K1013" s="37"/>
      <c r="L1013" s="37"/>
      <c r="M1013" s="37"/>
      <c r="N1013" s="37"/>
      <c r="O1013" s="37"/>
      <c r="P1013" s="37"/>
      <c r="Q1013" s="37"/>
      <c r="R1013" s="37"/>
      <c r="S1013" s="37"/>
      <c r="T1013" s="37"/>
      <c r="U1013" s="37"/>
      <c r="V1013" s="37"/>
      <c r="W1013" s="37"/>
      <c r="X1013" s="37"/>
      <c r="Y1013" s="37"/>
      <c r="Z1013" s="37"/>
    </row>
    <row r="1014" spans="1:26">
      <c r="A1014" s="39"/>
      <c r="B1014" s="37"/>
      <c r="C1014" s="37"/>
      <c r="D1014" s="37"/>
      <c r="E1014" s="37"/>
      <c r="F1014" s="37"/>
      <c r="G1014" s="37"/>
      <c r="H1014" s="37"/>
      <c r="I1014" s="37"/>
      <c r="J1014" s="37"/>
      <c r="K1014" s="37"/>
      <c r="L1014" s="37"/>
      <c r="M1014" s="37"/>
      <c r="N1014" s="37"/>
      <c r="O1014" s="37"/>
      <c r="P1014" s="37"/>
      <c r="Q1014" s="37"/>
      <c r="R1014" s="37"/>
      <c r="S1014" s="37"/>
      <c r="T1014" s="37"/>
      <c r="U1014" s="37"/>
      <c r="V1014" s="37"/>
      <c r="W1014" s="37"/>
      <c r="X1014" s="37"/>
      <c r="Y1014" s="37"/>
      <c r="Z1014" s="37"/>
    </row>
    <row r="1015" spans="1:26">
      <c r="A1015" s="39"/>
      <c r="B1015" s="37"/>
      <c r="C1015" s="37"/>
      <c r="D1015" s="37"/>
      <c r="E1015" s="37"/>
      <c r="F1015" s="37"/>
      <c r="G1015" s="37"/>
      <c r="H1015" s="37"/>
      <c r="I1015" s="37"/>
      <c r="J1015" s="37"/>
      <c r="K1015" s="37"/>
      <c r="L1015" s="37"/>
      <c r="M1015" s="37"/>
      <c r="N1015" s="37"/>
      <c r="O1015" s="37"/>
      <c r="P1015" s="37"/>
      <c r="Q1015" s="37"/>
      <c r="R1015" s="37"/>
      <c r="S1015" s="37"/>
      <c r="T1015" s="37"/>
      <c r="U1015" s="37"/>
      <c r="V1015" s="37"/>
      <c r="W1015" s="37"/>
      <c r="X1015" s="37"/>
      <c r="Y1015" s="37"/>
      <c r="Z1015" s="37"/>
    </row>
    <row r="1016" spans="1:26">
      <c r="A1016" s="39"/>
      <c r="B1016" s="37"/>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row>
    <row r="1017" spans="1:26">
      <c r="A1017" s="39"/>
      <c r="B1017" s="37"/>
      <c r="C1017" s="37"/>
      <c r="D1017" s="37"/>
      <c r="E1017" s="37"/>
      <c r="F1017" s="37"/>
      <c r="G1017" s="37"/>
      <c r="H1017" s="37"/>
      <c r="I1017" s="37"/>
      <c r="J1017" s="37"/>
      <c r="K1017" s="37"/>
      <c r="L1017" s="37"/>
      <c r="M1017" s="37"/>
      <c r="N1017" s="37"/>
      <c r="O1017" s="37"/>
      <c r="P1017" s="37"/>
      <c r="Q1017" s="37"/>
      <c r="R1017" s="37"/>
      <c r="S1017" s="37"/>
      <c r="T1017" s="37"/>
      <c r="U1017" s="37"/>
      <c r="V1017" s="37"/>
      <c r="W1017" s="37"/>
      <c r="X1017" s="37"/>
      <c r="Y1017" s="37"/>
      <c r="Z1017" s="37"/>
    </row>
    <row r="1018" spans="1:26">
      <c r="A1018" s="39"/>
      <c r="B1018" s="37"/>
      <c r="C1018" s="37"/>
      <c r="D1018" s="37"/>
      <c r="E1018" s="37"/>
      <c r="F1018" s="37"/>
      <c r="G1018" s="37"/>
      <c r="H1018" s="37"/>
      <c r="I1018" s="37"/>
      <c r="J1018" s="37"/>
      <c r="K1018" s="37"/>
      <c r="L1018" s="37"/>
      <c r="M1018" s="37"/>
      <c r="N1018" s="37"/>
      <c r="O1018" s="37"/>
      <c r="P1018" s="37"/>
      <c r="Q1018" s="37"/>
      <c r="R1018" s="37"/>
      <c r="S1018" s="37"/>
      <c r="T1018" s="37"/>
      <c r="U1018" s="37"/>
      <c r="V1018" s="37"/>
      <c r="W1018" s="37"/>
      <c r="X1018" s="37"/>
      <c r="Y1018" s="37"/>
      <c r="Z1018" s="37"/>
    </row>
    <row r="1019" spans="1:26">
      <c r="A1019" s="39"/>
      <c r="B1019" s="37"/>
      <c r="C1019" s="37"/>
      <c r="D1019" s="37"/>
      <c r="E1019" s="37"/>
      <c r="F1019" s="37"/>
      <c r="G1019" s="37"/>
      <c r="H1019" s="37"/>
      <c r="I1019" s="37"/>
      <c r="J1019" s="37"/>
      <c r="K1019" s="37"/>
      <c r="L1019" s="37"/>
      <c r="M1019" s="37"/>
      <c r="N1019" s="37"/>
      <c r="O1019" s="37"/>
      <c r="P1019" s="37"/>
      <c r="Q1019" s="37"/>
      <c r="R1019" s="37"/>
      <c r="S1019" s="37"/>
      <c r="T1019" s="37"/>
      <c r="U1019" s="37"/>
      <c r="V1019" s="37"/>
      <c r="W1019" s="37"/>
      <c r="X1019" s="37"/>
      <c r="Y1019" s="37"/>
      <c r="Z1019" s="37"/>
    </row>
    <row r="1020" spans="1:26">
      <c r="A1020" s="39"/>
      <c r="B1020" s="37"/>
      <c r="C1020" s="37"/>
      <c r="D1020" s="37"/>
      <c r="E1020" s="37"/>
      <c r="F1020" s="37"/>
      <c r="G1020" s="37"/>
      <c r="H1020" s="37"/>
      <c r="I1020" s="37"/>
      <c r="J1020" s="37"/>
      <c r="K1020" s="37"/>
      <c r="L1020" s="37"/>
      <c r="M1020" s="37"/>
      <c r="N1020" s="37"/>
      <c r="O1020" s="37"/>
      <c r="P1020" s="37"/>
      <c r="Q1020" s="37"/>
      <c r="R1020" s="37"/>
      <c r="S1020" s="37"/>
      <c r="T1020" s="37"/>
      <c r="U1020" s="37"/>
      <c r="V1020" s="37"/>
      <c r="W1020" s="37"/>
      <c r="X1020" s="37"/>
      <c r="Y1020" s="37"/>
      <c r="Z1020" s="37"/>
    </row>
    <row r="1021" spans="1:26">
      <c r="A1021" s="39"/>
      <c r="B1021" s="37"/>
      <c r="C1021" s="37"/>
      <c r="D1021" s="37"/>
      <c r="E1021" s="37"/>
      <c r="F1021" s="37"/>
      <c r="G1021" s="37"/>
      <c r="H1021" s="37"/>
      <c r="I1021" s="37"/>
      <c r="J1021" s="37"/>
      <c r="K1021" s="37"/>
      <c r="L1021" s="37"/>
      <c r="M1021" s="37"/>
      <c r="N1021" s="37"/>
      <c r="O1021" s="37"/>
      <c r="P1021" s="37"/>
      <c r="Q1021" s="37"/>
      <c r="R1021" s="37"/>
      <c r="S1021" s="37"/>
      <c r="T1021" s="37"/>
      <c r="U1021" s="37"/>
      <c r="V1021" s="37"/>
      <c r="W1021" s="37"/>
      <c r="X1021" s="37"/>
      <c r="Y1021" s="37"/>
      <c r="Z1021" s="37"/>
    </row>
    <row r="1022" spans="1:26">
      <c r="A1022" s="39"/>
      <c r="B1022" s="37"/>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row>
    <row r="1023" spans="1:26">
      <c r="A1023" s="39"/>
      <c r="B1023" s="37"/>
      <c r="C1023" s="37"/>
      <c r="D1023" s="37"/>
      <c r="E1023" s="37"/>
      <c r="F1023" s="37"/>
      <c r="G1023" s="37"/>
      <c r="H1023" s="37"/>
      <c r="I1023" s="37"/>
      <c r="J1023" s="37"/>
      <c r="K1023" s="37"/>
      <c r="L1023" s="37"/>
      <c r="M1023" s="37"/>
      <c r="N1023" s="37"/>
      <c r="O1023" s="37"/>
      <c r="P1023" s="37"/>
      <c r="Q1023" s="37"/>
      <c r="R1023" s="37"/>
      <c r="S1023" s="37"/>
      <c r="T1023" s="37"/>
      <c r="U1023" s="37"/>
      <c r="V1023" s="37"/>
      <c r="W1023" s="37"/>
      <c r="X1023" s="37"/>
      <c r="Y1023" s="37"/>
      <c r="Z1023" s="37"/>
    </row>
    <row r="1024" spans="1:26">
      <c r="A1024" s="39"/>
      <c r="B1024" s="37"/>
      <c r="C1024" s="37"/>
      <c r="D1024" s="37"/>
      <c r="E1024" s="37"/>
      <c r="F1024" s="37"/>
      <c r="G1024" s="37"/>
      <c r="H1024" s="37"/>
      <c r="I1024" s="37"/>
      <c r="J1024" s="37"/>
      <c r="K1024" s="37"/>
      <c r="L1024" s="37"/>
      <c r="M1024" s="37"/>
      <c r="N1024" s="37"/>
      <c r="O1024" s="37"/>
      <c r="P1024" s="37"/>
      <c r="Q1024" s="37"/>
      <c r="R1024" s="37"/>
      <c r="S1024" s="37"/>
      <c r="T1024" s="37"/>
      <c r="U1024" s="37"/>
      <c r="V1024" s="37"/>
      <c r="W1024" s="37"/>
      <c r="X1024" s="37"/>
      <c r="Y1024" s="37"/>
      <c r="Z1024" s="37"/>
    </row>
    <row r="1025" spans="1:26">
      <c r="A1025" s="39"/>
      <c r="B1025" s="37"/>
      <c r="C1025" s="37"/>
      <c r="D1025" s="37"/>
      <c r="E1025" s="37"/>
      <c r="F1025" s="37"/>
      <c r="G1025" s="37"/>
      <c r="H1025" s="37"/>
      <c r="I1025" s="37"/>
      <c r="J1025" s="37"/>
      <c r="K1025" s="37"/>
      <c r="L1025" s="37"/>
      <c r="M1025" s="37"/>
      <c r="N1025" s="37"/>
      <c r="O1025" s="37"/>
      <c r="P1025" s="37"/>
      <c r="Q1025" s="37"/>
      <c r="R1025" s="37"/>
      <c r="S1025" s="37"/>
      <c r="T1025" s="37"/>
      <c r="U1025" s="37"/>
      <c r="V1025" s="37"/>
      <c r="W1025" s="37"/>
      <c r="X1025" s="37"/>
      <c r="Y1025" s="37"/>
      <c r="Z1025" s="37"/>
    </row>
    <row r="1026" spans="1:26">
      <c r="A1026" s="39"/>
      <c r="B1026" s="37"/>
      <c r="C1026" s="37"/>
      <c r="D1026" s="37"/>
      <c r="E1026" s="37"/>
      <c r="F1026" s="37"/>
      <c r="G1026" s="37"/>
      <c r="H1026" s="37"/>
      <c r="I1026" s="37"/>
      <c r="J1026" s="37"/>
      <c r="K1026" s="37"/>
      <c r="L1026" s="37"/>
      <c r="M1026" s="37"/>
      <c r="N1026" s="37"/>
      <c r="O1026" s="37"/>
      <c r="P1026" s="37"/>
      <c r="Q1026" s="37"/>
      <c r="R1026" s="37"/>
      <c r="S1026" s="37"/>
      <c r="T1026" s="37"/>
      <c r="U1026" s="37"/>
      <c r="V1026" s="37"/>
      <c r="W1026" s="37"/>
      <c r="X1026" s="37"/>
      <c r="Y1026" s="37"/>
      <c r="Z1026" s="37"/>
    </row>
    <row r="1027" spans="1:26">
      <c r="A1027" s="39"/>
      <c r="B1027" s="37"/>
      <c r="C1027" s="37"/>
      <c r="D1027" s="37"/>
      <c r="E1027" s="37"/>
      <c r="F1027" s="37"/>
      <c r="G1027" s="37"/>
      <c r="H1027" s="37"/>
      <c r="I1027" s="37"/>
      <c r="J1027" s="37"/>
      <c r="K1027" s="37"/>
      <c r="L1027" s="37"/>
      <c r="M1027" s="37"/>
      <c r="N1027" s="37"/>
      <c r="O1027" s="37"/>
      <c r="P1027" s="37"/>
      <c r="Q1027" s="37"/>
      <c r="R1027" s="37"/>
      <c r="S1027" s="37"/>
      <c r="T1027" s="37"/>
      <c r="U1027" s="37"/>
      <c r="V1027" s="37"/>
      <c r="W1027" s="37"/>
      <c r="X1027" s="37"/>
      <c r="Y1027" s="37"/>
      <c r="Z1027" s="37"/>
    </row>
    <row r="1028" spans="1:26">
      <c r="A1028" s="39"/>
      <c r="B1028" s="37"/>
      <c r="C1028" s="37"/>
      <c r="D1028" s="37"/>
      <c r="E1028" s="37"/>
      <c r="F1028" s="37"/>
      <c r="G1028" s="37"/>
      <c r="H1028" s="37"/>
      <c r="I1028" s="37"/>
      <c r="J1028" s="37"/>
      <c r="K1028" s="37"/>
      <c r="L1028" s="37"/>
      <c r="M1028" s="37"/>
      <c r="N1028" s="37"/>
      <c r="O1028" s="37"/>
      <c r="P1028" s="37"/>
      <c r="Q1028" s="37"/>
      <c r="R1028" s="37"/>
      <c r="S1028" s="37"/>
      <c r="T1028" s="37"/>
      <c r="U1028" s="37"/>
      <c r="V1028" s="37"/>
      <c r="W1028" s="37"/>
      <c r="X1028" s="37"/>
      <c r="Y1028" s="37"/>
      <c r="Z1028" s="37"/>
    </row>
    <row r="1029" spans="1:26">
      <c r="A1029" s="39"/>
      <c r="B1029" s="37"/>
      <c r="C1029" s="37"/>
      <c r="D1029" s="37"/>
      <c r="E1029" s="37"/>
      <c r="F1029" s="37"/>
      <c r="G1029" s="37"/>
      <c r="H1029" s="37"/>
      <c r="I1029" s="37"/>
      <c r="J1029" s="37"/>
      <c r="K1029" s="37"/>
      <c r="L1029" s="37"/>
      <c r="M1029" s="37"/>
      <c r="N1029" s="37"/>
      <c r="O1029" s="37"/>
      <c r="P1029" s="37"/>
      <c r="Q1029" s="37"/>
      <c r="R1029" s="37"/>
      <c r="S1029" s="37"/>
      <c r="T1029" s="37"/>
      <c r="U1029" s="37"/>
      <c r="V1029" s="37"/>
      <c r="W1029" s="37"/>
      <c r="X1029" s="37"/>
      <c r="Y1029" s="37"/>
      <c r="Z1029" s="37"/>
    </row>
    <row r="1030" spans="1:26">
      <c r="A1030" s="39"/>
      <c r="B1030" s="37"/>
      <c r="C1030" s="37"/>
      <c r="D1030" s="37"/>
      <c r="E1030" s="37"/>
      <c r="F1030" s="37"/>
      <c r="G1030" s="37"/>
      <c r="H1030" s="37"/>
      <c r="I1030" s="37"/>
      <c r="J1030" s="37"/>
      <c r="K1030" s="37"/>
      <c r="L1030" s="37"/>
      <c r="M1030" s="37"/>
      <c r="N1030" s="37"/>
      <c r="O1030" s="37"/>
      <c r="P1030" s="37"/>
      <c r="Q1030" s="37"/>
      <c r="R1030" s="37"/>
      <c r="S1030" s="37"/>
      <c r="T1030" s="37"/>
      <c r="U1030" s="37"/>
      <c r="V1030" s="37"/>
      <c r="W1030" s="37"/>
      <c r="X1030" s="37"/>
      <c r="Y1030" s="37"/>
      <c r="Z1030" s="37"/>
    </row>
    <row r="1031" spans="1:26">
      <c r="A1031" s="39"/>
      <c r="B1031" s="37"/>
      <c r="C1031" s="37"/>
      <c r="D1031" s="37"/>
      <c r="E1031" s="37"/>
      <c r="F1031" s="37"/>
      <c r="G1031" s="37"/>
      <c r="H1031" s="37"/>
      <c r="I1031" s="37"/>
      <c r="J1031" s="37"/>
      <c r="K1031" s="37"/>
      <c r="L1031" s="37"/>
      <c r="M1031" s="37"/>
      <c r="N1031" s="37"/>
      <c r="O1031" s="37"/>
      <c r="P1031" s="37"/>
      <c r="Q1031" s="37"/>
      <c r="R1031" s="37"/>
      <c r="S1031" s="37"/>
      <c r="T1031" s="37"/>
      <c r="U1031" s="37"/>
      <c r="V1031" s="37"/>
      <c r="W1031" s="37"/>
      <c r="X1031" s="37"/>
      <c r="Y1031" s="37"/>
      <c r="Z1031" s="37"/>
    </row>
    <row r="1032" spans="1:26">
      <c r="A1032" s="39"/>
      <c r="B1032" s="37"/>
      <c r="C1032" s="37"/>
      <c r="D1032" s="37"/>
      <c r="E1032" s="37"/>
      <c r="F1032" s="37"/>
      <c r="G1032" s="37"/>
      <c r="H1032" s="37"/>
      <c r="I1032" s="37"/>
      <c r="J1032" s="37"/>
      <c r="K1032" s="37"/>
      <c r="L1032" s="37"/>
      <c r="M1032" s="37"/>
      <c r="N1032" s="37"/>
      <c r="O1032" s="37"/>
      <c r="P1032" s="37"/>
      <c r="Q1032" s="37"/>
      <c r="R1032" s="37"/>
      <c r="S1032" s="37"/>
      <c r="T1032" s="37"/>
      <c r="U1032" s="37"/>
      <c r="V1032" s="37"/>
      <c r="W1032" s="37"/>
      <c r="X1032" s="37"/>
      <c r="Y1032" s="37"/>
      <c r="Z1032" s="37"/>
    </row>
    <row r="1033" spans="1:26">
      <c r="A1033" s="39"/>
      <c r="B1033" s="37"/>
      <c r="C1033" s="37"/>
      <c r="D1033" s="37"/>
      <c r="E1033" s="37"/>
      <c r="F1033" s="37"/>
      <c r="G1033" s="37"/>
      <c r="H1033" s="37"/>
      <c r="I1033" s="37"/>
      <c r="J1033" s="37"/>
      <c r="K1033" s="37"/>
      <c r="L1033" s="37"/>
      <c r="M1033" s="37"/>
      <c r="N1033" s="37"/>
      <c r="O1033" s="37"/>
      <c r="P1033" s="37"/>
      <c r="Q1033" s="37"/>
      <c r="R1033" s="37"/>
      <c r="S1033" s="37"/>
      <c r="T1033" s="37"/>
      <c r="U1033" s="37"/>
      <c r="V1033" s="37"/>
      <c r="W1033" s="37"/>
      <c r="X1033" s="37"/>
      <c r="Y1033" s="37"/>
      <c r="Z1033" s="37"/>
    </row>
    <row r="1034" spans="1:26">
      <c r="A1034" s="39"/>
      <c r="B1034" s="37"/>
      <c r="C1034" s="37"/>
      <c r="D1034" s="37"/>
      <c r="E1034" s="37"/>
      <c r="F1034" s="37"/>
      <c r="G1034" s="37"/>
      <c r="H1034" s="37"/>
      <c r="I1034" s="37"/>
      <c r="J1034" s="37"/>
      <c r="K1034" s="37"/>
      <c r="L1034" s="37"/>
      <c r="M1034" s="37"/>
      <c r="N1034" s="37"/>
      <c r="O1034" s="37"/>
      <c r="P1034" s="37"/>
      <c r="Q1034" s="37"/>
      <c r="R1034" s="37"/>
      <c r="S1034" s="37"/>
      <c r="T1034" s="37"/>
      <c r="U1034" s="37"/>
      <c r="V1034" s="37"/>
      <c r="W1034" s="37"/>
      <c r="X1034" s="37"/>
      <c r="Y1034" s="37"/>
      <c r="Z1034" s="37"/>
    </row>
    <row r="1035" spans="1:26">
      <c r="A1035" s="39"/>
      <c r="B1035" s="37"/>
      <c r="C1035" s="37"/>
      <c r="D1035" s="37"/>
      <c r="E1035" s="37"/>
      <c r="F1035" s="37"/>
      <c r="G1035" s="37"/>
      <c r="H1035" s="37"/>
      <c r="I1035" s="37"/>
      <c r="J1035" s="37"/>
      <c r="K1035" s="37"/>
      <c r="L1035" s="37"/>
      <c r="M1035" s="37"/>
      <c r="N1035" s="37"/>
      <c r="O1035" s="37"/>
      <c r="P1035" s="37"/>
      <c r="Q1035" s="37"/>
      <c r="R1035" s="37"/>
      <c r="S1035" s="37"/>
      <c r="T1035" s="37"/>
      <c r="U1035" s="37"/>
      <c r="V1035" s="37"/>
      <c r="W1035" s="37"/>
      <c r="X1035" s="37"/>
      <c r="Y1035" s="37"/>
      <c r="Z1035" s="37"/>
    </row>
    <row r="1036" spans="1:26">
      <c r="A1036" s="39"/>
      <c r="B1036" s="37"/>
      <c r="C1036" s="37"/>
      <c r="D1036" s="37"/>
      <c r="E1036" s="37"/>
      <c r="F1036" s="37"/>
      <c r="G1036" s="37"/>
      <c r="H1036" s="37"/>
      <c r="I1036" s="37"/>
      <c r="J1036" s="37"/>
      <c r="K1036" s="37"/>
      <c r="L1036" s="37"/>
      <c r="M1036" s="37"/>
      <c r="N1036" s="37"/>
      <c r="O1036" s="37"/>
      <c r="P1036" s="37"/>
      <c r="Q1036" s="37"/>
      <c r="R1036" s="37"/>
      <c r="S1036" s="37"/>
      <c r="T1036" s="37"/>
      <c r="U1036" s="37"/>
      <c r="V1036" s="37"/>
      <c r="W1036" s="37"/>
      <c r="X1036" s="37"/>
      <c r="Y1036" s="37"/>
      <c r="Z1036" s="37"/>
    </row>
    <row r="1037" spans="1:26">
      <c r="A1037" s="39"/>
      <c r="B1037" s="37"/>
      <c r="C1037" s="37"/>
      <c r="D1037" s="37"/>
      <c r="E1037" s="37"/>
      <c r="F1037" s="37"/>
      <c r="G1037" s="37"/>
      <c r="H1037" s="37"/>
      <c r="I1037" s="37"/>
      <c r="J1037" s="37"/>
      <c r="K1037" s="37"/>
      <c r="L1037" s="37"/>
      <c r="M1037" s="37"/>
      <c r="N1037" s="37"/>
      <c r="O1037" s="37"/>
      <c r="P1037" s="37"/>
      <c r="Q1037" s="37"/>
      <c r="R1037" s="37"/>
      <c r="S1037" s="37"/>
      <c r="T1037" s="37"/>
      <c r="U1037" s="37"/>
      <c r="V1037" s="37"/>
      <c r="W1037" s="37"/>
      <c r="X1037" s="37"/>
      <c r="Y1037" s="37"/>
      <c r="Z1037" s="37"/>
    </row>
    <row r="1038" spans="1:26">
      <c r="A1038" s="39"/>
      <c r="B1038" s="37"/>
      <c r="C1038" s="37"/>
      <c r="D1038" s="37"/>
      <c r="E1038" s="37"/>
      <c r="F1038" s="37"/>
      <c r="G1038" s="37"/>
      <c r="H1038" s="37"/>
      <c r="I1038" s="37"/>
      <c r="J1038" s="37"/>
      <c r="K1038" s="37"/>
      <c r="L1038" s="37"/>
      <c r="M1038" s="37"/>
      <c r="N1038" s="37"/>
      <c r="O1038" s="37"/>
      <c r="P1038" s="37"/>
      <c r="Q1038" s="37"/>
      <c r="R1038" s="37"/>
      <c r="S1038" s="37"/>
      <c r="T1038" s="37"/>
      <c r="U1038" s="37"/>
      <c r="V1038" s="37"/>
      <c r="W1038" s="37"/>
      <c r="X1038" s="37"/>
      <c r="Y1038" s="37"/>
      <c r="Z1038" s="37"/>
    </row>
    <row r="1039" spans="1:26">
      <c r="A1039" s="39"/>
      <c r="B1039" s="37"/>
      <c r="C1039" s="37"/>
      <c r="D1039" s="37"/>
      <c r="E1039" s="37"/>
      <c r="F1039" s="37"/>
      <c r="G1039" s="37"/>
      <c r="H1039" s="37"/>
      <c r="I1039" s="37"/>
      <c r="J1039" s="37"/>
      <c r="K1039" s="37"/>
      <c r="L1039" s="37"/>
      <c r="M1039" s="37"/>
      <c r="N1039" s="37"/>
      <c r="O1039" s="37"/>
      <c r="P1039" s="37"/>
      <c r="Q1039" s="37"/>
      <c r="R1039" s="37"/>
      <c r="S1039" s="37"/>
      <c r="T1039" s="37"/>
      <c r="U1039" s="37"/>
      <c r="V1039" s="37"/>
      <c r="W1039" s="37"/>
      <c r="X1039" s="37"/>
      <c r="Y1039" s="37"/>
      <c r="Z1039" s="37"/>
    </row>
    <row r="1040" spans="1:26">
      <c r="A1040" s="39"/>
      <c r="B1040" s="37"/>
      <c r="C1040" s="37"/>
      <c r="D1040" s="37"/>
      <c r="E1040" s="37"/>
      <c r="F1040" s="37"/>
      <c r="G1040" s="37"/>
      <c r="H1040" s="37"/>
      <c r="I1040" s="37"/>
      <c r="J1040" s="37"/>
      <c r="K1040" s="37"/>
      <c r="L1040" s="37"/>
      <c r="M1040" s="37"/>
      <c r="N1040" s="37"/>
      <c r="O1040" s="37"/>
      <c r="P1040" s="37"/>
      <c r="Q1040" s="37"/>
      <c r="R1040" s="37"/>
      <c r="S1040" s="37"/>
      <c r="T1040" s="37"/>
      <c r="U1040" s="37"/>
      <c r="V1040" s="37"/>
      <c r="W1040" s="37"/>
      <c r="X1040" s="37"/>
      <c r="Y1040" s="37"/>
      <c r="Z1040" s="37"/>
    </row>
    <row r="1041" spans="1:26">
      <c r="A1041" s="39"/>
      <c r="B1041" s="37"/>
      <c r="C1041" s="37"/>
      <c r="D1041" s="37"/>
      <c r="E1041" s="37"/>
      <c r="F1041" s="37"/>
      <c r="G1041" s="37"/>
      <c r="H1041" s="37"/>
      <c r="I1041" s="37"/>
      <c r="J1041" s="37"/>
      <c r="K1041" s="37"/>
      <c r="L1041" s="37"/>
      <c r="M1041" s="37"/>
      <c r="N1041" s="37"/>
      <c r="O1041" s="37"/>
      <c r="P1041" s="37"/>
      <c r="Q1041" s="37"/>
      <c r="R1041" s="37"/>
      <c r="S1041" s="37"/>
      <c r="T1041" s="37"/>
      <c r="U1041" s="37"/>
      <c r="V1041" s="37"/>
      <c r="W1041" s="37"/>
      <c r="X1041" s="37"/>
      <c r="Y1041" s="37"/>
      <c r="Z1041" s="37"/>
    </row>
    <row r="1042" spans="1:26">
      <c r="A1042" s="39"/>
      <c r="B1042" s="37"/>
      <c r="C1042" s="37"/>
      <c r="D1042" s="37"/>
      <c r="E1042" s="37"/>
      <c r="F1042" s="37"/>
      <c r="G1042" s="37"/>
      <c r="H1042" s="37"/>
      <c r="I1042" s="37"/>
      <c r="J1042" s="37"/>
      <c r="K1042" s="37"/>
      <c r="L1042" s="37"/>
      <c r="M1042" s="37"/>
      <c r="N1042" s="37"/>
      <c r="O1042" s="37"/>
      <c r="P1042" s="37"/>
      <c r="Q1042" s="37"/>
      <c r="R1042" s="37"/>
      <c r="S1042" s="37"/>
      <c r="T1042" s="37"/>
      <c r="U1042" s="37"/>
      <c r="V1042" s="37"/>
      <c r="W1042" s="37"/>
      <c r="X1042" s="37"/>
      <c r="Y1042" s="37"/>
      <c r="Z1042" s="37"/>
    </row>
    <row r="1043" spans="1:26">
      <c r="A1043" s="39"/>
      <c r="B1043" s="37"/>
      <c r="C1043" s="37"/>
      <c r="D1043" s="37"/>
      <c r="E1043" s="37"/>
      <c r="F1043" s="37"/>
      <c r="G1043" s="37"/>
      <c r="H1043" s="37"/>
      <c r="I1043" s="37"/>
      <c r="J1043" s="37"/>
      <c r="K1043" s="37"/>
      <c r="L1043" s="37"/>
      <c r="M1043" s="37"/>
      <c r="N1043" s="37"/>
      <c r="O1043" s="37"/>
      <c r="P1043" s="37"/>
      <c r="Q1043" s="37"/>
      <c r="R1043" s="37"/>
      <c r="S1043" s="37"/>
      <c r="T1043" s="37"/>
      <c r="U1043" s="37"/>
      <c r="V1043" s="37"/>
      <c r="W1043" s="37"/>
      <c r="X1043" s="37"/>
      <c r="Y1043" s="37"/>
      <c r="Z1043" s="37"/>
    </row>
    <row r="1044" spans="1:26">
      <c r="A1044" s="39"/>
      <c r="B1044" s="37"/>
      <c r="C1044" s="37"/>
      <c r="D1044" s="37"/>
      <c r="E1044" s="37"/>
      <c r="F1044" s="37"/>
      <c r="G1044" s="37"/>
      <c r="H1044" s="37"/>
      <c r="I1044" s="37"/>
      <c r="J1044" s="37"/>
      <c r="K1044" s="37"/>
      <c r="L1044" s="37"/>
      <c r="M1044" s="37"/>
      <c r="N1044" s="37"/>
      <c r="O1044" s="37"/>
      <c r="P1044" s="37"/>
      <c r="Q1044" s="37"/>
      <c r="R1044" s="37"/>
      <c r="S1044" s="37"/>
      <c r="T1044" s="37"/>
      <c r="U1044" s="37"/>
      <c r="V1044" s="37"/>
      <c r="W1044" s="37"/>
      <c r="X1044" s="37"/>
      <c r="Y1044" s="37"/>
      <c r="Z1044" s="37"/>
    </row>
    <row r="1045" spans="1:26">
      <c r="A1045" s="39"/>
      <c r="B1045" s="37"/>
      <c r="C1045" s="37"/>
      <c r="D1045" s="37"/>
      <c r="E1045" s="37"/>
      <c r="F1045" s="37"/>
      <c r="G1045" s="37"/>
      <c r="H1045" s="37"/>
      <c r="I1045" s="37"/>
      <c r="J1045" s="37"/>
      <c r="K1045" s="37"/>
      <c r="L1045" s="37"/>
      <c r="M1045" s="37"/>
      <c r="N1045" s="37"/>
      <c r="O1045" s="37"/>
      <c r="P1045" s="37"/>
      <c r="Q1045" s="37"/>
      <c r="R1045" s="37"/>
      <c r="S1045" s="37"/>
      <c r="T1045" s="37"/>
      <c r="U1045" s="37"/>
      <c r="V1045" s="37"/>
      <c r="W1045" s="37"/>
      <c r="X1045" s="37"/>
      <c r="Y1045" s="37"/>
      <c r="Z1045" s="37"/>
    </row>
    <row r="1046" spans="1:26">
      <c r="A1046" s="39"/>
      <c r="B1046" s="37"/>
      <c r="C1046" s="37"/>
      <c r="D1046" s="37"/>
      <c r="E1046" s="37"/>
      <c r="F1046" s="37"/>
      <c r="G1046" s="37"/>
      <c r="H1046" s="37"/>
      <c r="I1046" s="37"/>
      <c r="J1046" s="37"/>
      <c r="K1046" s="37"/>
      <c r="L1046" s="37"/>
      <c r="M1046" s="37"/>
      <c r="N1046" s="37"/>
      <c r="O1046" s="37"/>
      <c r="P1046" s="37"/>
      <c r="Q1046" s="37"/>
      <c r="R1046" s="37"/>
      <c r="S1046" s="37"/>
      <c r="T1046" s="37"/>
      <c r="U1046" s="37"/>
      <c r="V1046" s="37"/>
      <c r="W1046" s="37"/>
      <c r="X1046" s="37"/>
      <c r="Y1046" s="37"/>
      <c r="Z1046" s="37"/>
    </row>
    <row r="1047" spans="1:26">
      <c r="A1047" s="39"/>
      <c r="B1047" s="37"/>
      <c r="C1047" s="37"/>
      <c r="D1047" s="37"/>
      <c r="E1047" s="37"/>
      <c r="F1047" s="37"/>
      <c r="G1047" s="37"/>
      <c r="H1047" s="37"/>
      <c r="I1047" s="37"/>
      <c r="J1047" s="37"/>
      <c r="K1047" s="37"/>
      <c r="L1047" s="37"/>
      <c r="M1047" s="37"/>
      <c r="N1047" s="37"/>
      <c r="O1047" s="37"/>
      <c r="P1047" s="37"/>
      <c r="Q1047" s="37"/>
      <c r="R1047" s="37"/>
      <c r="S1047" s="37"/>
      <c r="T1047" s="37"/>
      <c r="U1047" s="37"/>
      <c r="V1047" s="37"/>
      <c r="W1047" s="37"/>
      <c r="X1047" s="37"/>
      <c r="Y1047" s="37"/>
      <c r="Z1047" s="37"/>
    </row>
    <row r="1048" spans="1:26">
      <c r="A1048" s="39"/>
      <c r="B1048" s="37"/>
      <c r="C1048" s="37"/>
      <c r="D1048" s="37"/>
      <c r="E1048" s="37"/>
      <c r="F1048" s="37"/>
      <c r="G1048" s="37"/>
      <c r="H1048" s="37"/>
      <c r="I1048" s="37"/>
      <c r="J1048" s="37"/>
      <c r="K1048" s="37"/>
      <c r="L1048" s="37"/>
      <c r="M1048" s="37"/>
      <c r="N1048" s="37"/>
      <c r="O1048" s="37"/>
      <c r="P1048" s="37"/>
      <c r="Q1048" s="37"/>
      <c r="R1048" s="37"/>
      <c r="S1048" s="37"/>
      <c r="T1048" s="37"/>
      <c r="U1048" s="37"/>
      <c r="V1048" s="37"/>
      <c r="W1048" s="37"/>
      <c r="X1048" s="37"/>
      <c r="Y1048" s="37"/>
      <c r="Z1048" s="37"/>
    </row>
    <row r="1049" spans="1:26">
      <c r="A1049" s="39"/>
      <c r="B1049" s="37"/>
      <c r="C1049" s="37"/>
      <c r="D1049" s="37"/>
      <c r="E1049" s="37"/>
      <c r="F1049" s="37"/>
      <c r="G1049" s="37"/>
      <c r="H1049" s="37"/>
      <c r="I1049" s="37"/>
      <c r="J1049" s="37"/>
      <c r="K1049" s="37"/>
      <c r="L1049" s="37"/>
      <c r="M1049" s="37"/>
      <c r="N1049" s="37"/>
      <c r="O1049" s="37"/>
      <c r="P1049" s="37"/>
      <c r="Q1049" s="37"/>
      <c r="R1049" s="37"/>
      <c r="S1049" s="37"/>
      <c r="T1049" s="37"/>
      <c r="U1049" s="37"/>
      <c r="V1049" s="37"/>
      <c r="W1049" s="37"/>
      <c r="X1049" s="37"/>
      <c r="Y1049" s="37"/>
      <c r="Z1049" s="37"/>
    </row>
    <row r="1050" spans="1:26">
      <c r="A1050" s="39"/>
      <c r="B1050" s="37"/>
      <c r="C1050" s="37"/>
      <c r="D1050" s="37"/>
      <c r="E1050" s="37"/>
      <c r="F1050" s="37"/>
      <c r="G1050" s="37"/>
      <c r="H1050" s="37"/>
      <c r="I1050" s="37"/>
      <c r="J1050" s="37"/>
      <c r="K1050" s="37"/>
      <c r="L1050" s="37"/>
      <c r="M1050" s="37"/>
      <c r="N1050" s="37"/>
      <c r="O1050" s="37"/>
      <c r="P1050" s="37"/>
      <c r="Q1050" s="37"/>
      <c r="R1050" s="37"/>
      <c r="S1050" s="37"/>
      <c r="T1050" s="37"/>
      <c r="U1050" s="37"/>
      <c r="V1050" s="37"/>
      <c r="W1050" s="37"/>
      <c r="X1050" s="37"/>
      <c r="Y1050" s="37"/>
      <c r="Z1050" s="37"/>
    </row>
    <row r="1051" spans="1:26">
      <c r="A1051" s="39"/>
      <c r="B1051" s="37"/>
      <c r="C1051" s="37"/>
      <c r="D1051" s="37"/>
      <c r="E1051" s="37"/>
      <c r="F1051" s="37"/>
      <c r="G1051" s="37"/>
      <c r="H1051" s="37"/>
      <c r="I1051" s="37"/>
      <c r="J1051" s="37"/>
      <c r="K1051" s="37"/>
      <c r="L1051" s="37"/>
      <c r="M1051" s="37"/>
      <c r="N1051" s="37"/>
      <c r="O1051" s="37"/>
      <c r="P1051" s="37"/>
      <c r="Q1051" s="37"/>
      <c r="R1051" s="37"/>
      <c r="S1051" s="37"/>
      <c r="T1051" s="37"/>
      <c r="U1051" s="37"/>
      <c r="V1051" s="37"/>
      <c r="W1051" s="37"/>
      <c r="X1051" s="37"/>
      <c r="Y1051" s="37"/>
      <c r="Z1051" s="37"/>
    </row>
    <row r="1052" spans="1:26">
      <c r="A1052" s="39"/>
      <c r="B1052" s="37"/>
      <c r="C1052" s="37"/>
      <c r="D1052" s="37"/>
      <c r="E1052" s="37"/>
      <c r="F1052" s="37"/>
      <c r="G1052" s="37"/>
      <c r="H1052" s="37"/>
      <c r="I1052" s="37"/>
      <c r="J1052" s="37"/>
      <c r="K1052" s="37"/>
      <c r="L1052" s="37"/>
      <c r="M1052" s="37"/>
      <c r="N1052" s="37"/>
      <c r="O1052" s="37"/>
      <c r="P1052" s="37"/>
      <c r="Q1052" s="37"/>
      <c r="R1052" s="37"/>
      <c r="S1052" s="37"/>
      <c r="T1052" s="37"/>
      <c r="U1052" s="37"/>
      <c r="V1052" s="37"/>
      <c r="W1052" s="37"/>
      <c r="X1052" s="37"/>
      <c r="Y1052" s="37"/>
      <c r="Z1052" s="37"/>
    </row>
    <row r="1053" spans="1:26">
      <c r="A1053" s="39"/>
      <c r="B1053" s="37"/>
      <c r="C1053" s="37"/>
      <c r="D1053" s="37"/>
      <c r="E1053" s="37"/>
      <c r="F1053" s="37"/>
      <c r="G1053" s="37"/>
      <c r="H1053" s="37"/>
      <c r="I1053" s="37"/>
      <c r="J1053" s="37"/>
      <c r="K1053" s="37"/>
      <c r="L1053" s="37"/>
      <c r="M1053" s="37"/>
      <c r="N1053" s="37"/>
      <c r="O1053" s="37"/>
      <c r="P1053" s="37"/>
      <c r="Q1053" s="37"/>
      <c r="R1053" s="37"/>
      <c r="S1053" s="37"/>
      <c r="T1053" s="37"/>
      <c r="U1053" s="37"/>
      <c r="V1053" s="37"/>
      <c r="W1053" s="37"/>
      <c r="X1053" s="37"/>
      <c r="Y1053" s="37"/>
      <c r="Z1053" s="37"/>
    </row>
    <row r="1054" spans="1:26">
      <c r="A1054" s="39"/>
      <c r="B1054" s="37"/>
      <c r="C1054" s="37"/>
      <c r="D1054" s="37"/>
      <c r="E1054" s="37"/>
      <c r="F1054" s="37"/>
      <c r="G1054" s="37"/>
      <c r="H1054" s="37"/>
      <c r="I1054" s="37"/>
      <c r="J1054" s="37"/>
      <c r="K1054" s="37"/>
      <c r="L1054" s="37"/>
      <c r="M1054" s="37"/>
      <c r="N1054" s="37"/>
      <c r="O1054" s="37"/>
      <c r="P1054" s="37"/>
      <c r="Q1054" s="37"/>
      <c r="R1054" s="37"/>
      <c r="S1054" s="37"/>
      <c r="T1054" s="37"/>
      <c r="U1054" s="37"/>
      <c r="V1054" s="37"/>
      <c r="W1054" s="37"/>
      <c r="X1054" s="37"/>
      <c r="Y1054" s="37"/>
      <c r="Z1054" s="37"/>
    </row>
    <row r="1055" spans="1:26">
      <c r="A1055" s="39"/>
      <c r="B1055" s="37"/>
      <c r="C1055" s="37"/>
      <c r="D1055" s="37"/>
      <c r="E1055" s="37"/>
      <c r="F1055" s="37"/>
      <c r="G1055" s="37"/>
      <c r="H1055" s="37"/>
      <c r="I1055" s="37"/>
      <c r="J1055" s="37"/>
      <c r="K1055" s="37"/>
      <c r="L1055" s="37"/>
      <c r="M1055" s="37"/>
      <c r="N1055" s="37"/>
      <c r="O1055" s="37"/>
      <c r="P1055" s="37"/>
      <c r="Q1055" s="37"/>
      <c r="R1055" s="37"/>
      <c r="S1055" s="37"/>
      <c r="T1055" s="37"/>
      <c r="U1055" s="37"/>
      <c r="V1055" s="37"/>
      <c r="W1055" s="37"/>
      <c r="X1055" s="37"/>
      <c r="Y1055" s="37"/>
      <c r="Z1055" s="37"/>
    </row>
    <row r="1056" spans="1:26">
      <c r="A1056" s="39"/>
      <c r="B1056" s="37"/>
      <c r="C1056" s="37"/>
      <c r="D1056" s="37"/>
      <c r="E1056" s="37"/>
      <c r="F1056" s="37"/>
      <c r="G1056" s="37"/>
      <c r="H1056" s="37"/>
      <c r="I1056" s="37"/>
      <c r="J1056" s="37"/>
      <c r="K1056" s="37"/>
      <c r="L1056" s="37"/>
      <c r="M1056" s="37"/>
      <c r="N1056" s="37"/>
      <c r="O1056" s="37"/>
      <c r="P1056" s="37"/>
      <c r="Q1056" s="37"/>
      <c r="R1056" s="37"/>
      <c r="S1056" s="37"/>
      <c r="T1056" s="37"/>
      <c r="U1056" s="37"/>
      <c r="V1056" s="37"/>
      <c r="W1056" s="37"/>
      <c r="X1056" s="37"/>
      <c r="Y1056" s="37"/>
      <c r="Z1056" s="37"/>
    </row>
    <row r="1057" spans="1:26">
      <c r="A1057" s="39"/>
      <c r="B1057" s="37"/>
      <c r="C1057" s="37"/>
      <c r="D1057" s="37"/>
      <c r="E1057" s="37"/>
      <c r="F1057" s="37"/>
      <c r="G1057" s="37"/>
      <c r="H1057" s="37"/>
      <c r="I1057" s="37"/>
      <c r="J1057" s="37"/>
      <c r="K1057" s="37"/>
      <c r="L1057" s="37"/>
      <c r="M1057" s="37"/>
      <c r="N1057" s="37"/>
      <c r="O1057" s="37"/>
      <c r="P1057" s="37"/>
      <c r="Q1057" s="37"/>
      <c r="R1057" s="37"/>
      <c r="S1057" s="37"/>
      <c r="T1057" s="37"/>
      <c r="U1057" s="37"/>
      <c r="V1057" s="37"/>
      <c r="W1057" s="37"/>
      <c r="X1057" s="37"/>
      <c r="Y1057" s="37"/>
      <c r="Z1057" s="37"/>
    </row>
    <row r="1058" spans="1:26">
      <c r="A1058" s="39"/>
      <c r="B1058" s="37"/>
      <c r="C1058" s="37"/>
      <c r="D1058" s="37"/>
      <c r="E1058" s="37"/>
      <c r="F1058" s="37"/>
      <c r="G1058" s="37"/>
      <c r="H1058" s="37"/>
      <c r="I1058" s="37"/>
      <c r="J1058" s="37"/>
      <c r="K1058" s="37"/>
      <c r="L1058" s="37"/>
      <c r="M1058" s="37"/>
      <c r="N1058" s="37"/>
      <c r="O1058" s="37"/>
      <c r="P1058" s="37"/>
      <c r="Q1058" s="37"/>
      <c r="R1058" s="37"/>
      <c r="S1058" s="37"/>
      <c r="T1058" s="37"/>
      <c r="U1058" s="37"/>
      <c r="V1058" s="37"/>
      <c r="W1058" s="37"/>
      <c r="X1058" s="37"/>
      <c r="Y1058" s="37"/>
      <c r="Z1058" s="37"/>
    </row>
    <row r="1059" spans="1:26">
      <c r="A1059" s="39"/>
      <c r="B1059" s="37"/>
      <c r="C1059" s="37"/>
      <c r="D1059" s="37"/>
      <c r="E1059" s="37"/>
      <c r="F1059" s="37"/>
      <c r="G1059" s="37"/>
      <c r="H1059" s="37"/>
      <c r="I1059" s="37"/>
      <c r="J1059" s="37"/>
      <c r="K1059" s="37"/>
      <c r="L1059" s="37"/>
      <c r="M1059" s="37"/>
      <c r="N1059" s="37"/>
      <c r="O1059" s="37"/>
      <c r="P1059" s="37"/>
      <c r="Q1059" s="37"/>
      <c r="R1059" s="37"/>
      <c r="S1059" s="37"/>
      <c r="T1059" s="37"/>
      <c r="U1059" s="37"/>
      <c r="V1059" s="37"/>
      <c r="W1059" s="37"/>
      <c r="X1059" s="37"/>
      <c r="Y1059" s="37"/>
      <c r="Z1059" s="37"/>
    </row>
    <row r="1060" spans="1:26">
      <c r="A1060" s="39"/>
      <c r="B1060" s="37"/>
      <c r="C1060" s="37"/>
      <c r="D1060" s="37"/>
      <c r="E1060" s="37"/>
      <c r="F1060" s="37"/>
      <c r="G1060" s="37"/>
      <c r="H1060" s="37"/>
      <c r="I1060" s="37"/>
      <c r="J1060" s="37"/>
      <c r="K1060" s="37"/>
      <c r="L1060" s="37"/>
      <c r="M1060" s="37"/>
      <c r="N1060" s="37"/>
      <c r="O1060" s="37"/>
      <c r="P1060" s="37"/>
      <c r="Q1060" s="37"/>
      <c r="R1060" s="37"/>
      <c r="S1060" s="37"/>
      <c r="T1060" s="37"/>
      <c r="U1060" s="37"/>
      <c r="V1060" s="37"/>
      <c r="W1060" s="37"/>
      <c r="X1060" s="37"/>
      <c r="Y1060" s="37"/>
      <c r="Z1060" s="37"/>
    </row>
    <row r="1061" spans="1:26">
      <c r="A1061" s="39"/>
      <c r="B1061" s="37"/>
      <c r="C1061" s="37"/>
      <c r="D1061" s="37"/>
      <c r="E1061" s="37"/>
      <c r="F1061" s="37"/>
      <c r="G1061" s="37"/>
      <c r="H1061" s="37"/>
      <c r="I1061" s="37"/>
      <c r="J1061" s="37"/>
      <c r="K1061" s="37"/>
      <c r="L1061" s="37"/>
      <c r="M1061" s="37"/>
      <c r="N1061" s="37"/>
      <c r="O1061" s="37"/>
      <c r="P1061" s="37"/>
      <c r="Q1061" s="37"/>
      <c r="R1061" s="37"/>
      <c r="S1061" s="37"/>
      <c r="T1061" s="37"/>
      <c r="U1061" s="37"/>
      <c r="V1061" s="37"/>
      <c r="W1061" s="37"/>
      <c r="X1061" s="37"/>
      <c r="Y1061" s="37"/>
      <c r="Z1061" s="37"/>
    </row>
    <row r="1062" spans="1:26">
      <c r="A1062" s="39"/>
      <c r="B1062" s="37"/>
      <c r="C1062" s="37"/>
      <c r="D1062" s="37"/>
      <c r="E1062" s="37"/>
      <c r="F1062" s="37"/>
      <c r="G1062" s="37"/>
      <c r="H1062" s="37"/>
      <c r="I1062" s="37"/>
      <c r="J1062" s="37"/>
      <c r="K1062" s="37"/>
      <c r="L1062" s="37"/>
      <c r="M1062" s="37"/>
      <c r="N1062" s="37"/>
      <c r="O1062" s="37"/>
      <c r="P1062" s="37"/>
      <c r="Q1062" s="37"/>
      <c r="R1062" s="37"/>
      <c r="S1062" s="37"/>
      <c r="T1062" s="37"/>
      <c r="U1062" s="37"/>
      <c r="V1062" s="37"/>
      <c r="W1062" s="37"/>
      <c r="X1062" s="37"/>
      <c r="Y1062" s="37"/>
      <c r="Z1062" s="37"/>
    </row>
    <row r="1063" spans="1:26">
      <c r="A1063" s="39"/>
      <c r="B1063" s="37"/>
      <c r="C1063" s="37"/>
      <c r="D1063" s="37"/>
      <c r="E1063" s="37"/>
      <c r="F1063" s="37"/>
      <c r="G1063" s="37"/>
      <c r="H1063" s="37"/>
      <c r="I1063" s="37"/>
      <c r="J1063" s="37"/>
      <c r="K1063" s="37"/>
      <c r="L1063" s="37"/>
      <c r="M1063" s="37"/>
      <c r="N1063" s="37"/>
      <c r="O1063" s="37"/>
      <c r="P1063" s="37"/>
      <c r="Q1063" s="37"/>
      <c r="R1063" s="37"/>
      <c r="S1063" s="37"/>
      <c r="T1063" s="37"/>
      <c r="U1063" s="37"/>
      <c r="V1063" s="37"/>
      <c r="W1063" s="37"/>
      <c r="X1063" s="37"/>
      <c r="Y1063" s="37"/>
      <c r="Z1063" s="37"/>
    </row>
    <row r="1064" spans="1:26">
      <c r="A1064" s="39"/>
      <c r="B1064" s="37"/>
      <c r="C1064" s="37"/>
      <c r="D1064" s="37"/>
      <c r="E1064" s="37"/>
      <c r="F1064" s="37"/>
      <c r="G1064" s="37"/>
      <c r="H1064" s="37"/>
      <c r="I1064" s="37"/>
      <c r="J1064" s="37"/>
      <c r="K1064" s="37"/>
      <c r="L1064" s="37"/>
      <c r="M1064" s="37"/>
      <c r="N1064" s="37"/>
      <c r="O1064" s="37"/>
      <c r="P1064" s="37"/>
      <c r="Q1064" s="37"/>
      <c r="R1064" s="37"/>
      <c r="S1064" s="37"/>
      <c r="T1064" s="37"/>
      <c r="U1064" s="37"/>
      <c r="V1064" s="37"/>
      <c r="W1064" s="37"/>
      <c r="X1064" s="37"/>
      <c r="Y1064" s="37"/>
      <c r="Z1064" s="37"/>
    </row>
    <row r="1065" spans="1:26">
      <c r="A1065" s="39"/>
      <c r="B1065" s="37"/>
      <c r="C1065" s="37"/>
      <c r="D1065" s="37"/>
      <c r="E1065" s="37"/>
      <c r="F1065" s="37"/>
      <c r="G1065" s="37"/>
      <c r="H1065" s="37"/>
      <c r="I1065" s="37"/>
      <c r="J1065" s="37"/>
      <c r="K1065" s="37"/>
      <c r="L1065" s="37"/>
      <c r="M1065" s="37"/>
      <c r="N1065" s="37"/>
      <c r="O1065" s="37"/>
      <c r="P1065" s="37"/>
      <c r="Q1065" s="37"/>
      <c r="R1065" s="37"/>
      <c r="S1065" s="37"/>
      <c r="T1065" s="37"/>
      <c r="U1065" s="37"/>
      <c r="V1065" s="37"/>
      <c r="W1065" s="37"/>
      <c r="X1065" s="37"/>
      <c r="Y1065" s="37"/>
      <c r="Z1065" s="37"/>
    </row>
    <row r="1066" spans="1:26">
      <c r="A1066" s="39"/>
      <c r="B1066" s="37"/>
      <c r="C1066" s="37"/>
      <c r="D1066" s="37"/>
      <c r="E1066" s="37"/>
      <c r="F1066" s="37"/>
      <c r="G1066" s="37"/>
      <c r="H1066" s="37"/>
      <c r="I1066" s="37"/>
      <c r="J1066" s="37"/>
      <c r="K1066" s="37"/>
      <c r="L1066" s="37"/>
      <c r="M1066" s="37"/>
      <c r="N1066" s="37"/>
      <c r="O1066" s="37"/>
      <c r="P1066" s="37"/>
      <c r="Q1066" s="37"/>
      <c r="R1066" s="37"/>
      <c r="S1066" s="37"/>
      <c r="T1066" s="37"/>
      <c r="U1066" s="37"/>
      <c r="V1066" s="37"/>
      <c r="W1066" s="37"/>
      <c r="X1066" s="37"/>
      <c r="Y1066" s="37"/>
      <c r="Z1066" s="37"/>
    </row>
    <row r="1067" spans="1:26">
      <c r="A1067" s="39"/>
      <c r="B1067" s="37"/>
      <c r="C1067" s="37"/>
      <c r="D1067" s="37"/>
      <c r="E1067" s="37"/>
      <c r="F1067" s="37"/>
      <c r="G1067" s="37"/>
      <c r="H1067" s="37"/>
      <c r="I1067" s="37"/>
      <c r="J1067" s="37"/>
      <c r="K1067" s="37"/>
      <c r="L1067" s="37"/>
      <c r="M1067" s="37"/>
      <c r="N1067" s="37"/>
      <c r="O1067" s="37"/>
      <c r="P1067" s="37"/>
      <c r="Q1067" s="37"/>
      <c r="R1067" s="37"/>
      <c r="S1067" s="37"/>
      <c r="T1067" s="37"/>
      <c r="U1067" s="37"/>
      <c r="V1067" s="37"/>
      <c r="W1067" s="37"/>
      <c r="X1067" s="37"/>
      <c r="Y1067" s="37"/>
      <c r="Z1067" s="37"/>
    </row>
    <row r="1068" spans="1:26">
      <c r="A1068" s="39"/>
      <c r="B1068" s="37"/>
      <c r="C1068" s="37"/>
      <c r="D1068" s="37"/>
      <c r="E1068" s="37"/>
      <c r="F1068" s="37"/>
      <c r="G1068" s="37"/>
      <c r="H1068" s="37"/>
      <c r="I1068" s="37"/>
      <c r="J1068" s="37"/>
      <c r="K1068" s="37"/>
      <c r="L1068" s="37"/>
      <c r="M1068" s="37"/>
      <c r="N1068" s="37"/>
      <c r="O1068" s="37"/>
      <c r="P1068" s="37"/>
      <c r="Q1068" s="37"/>
      <c r="R1068" s="37"/>
      <c r="S1068" s="37"/>
      <c r="T1068" s="37"/>
      <c r="U1068" s="37"/>
      <c r="V1068" s="37"/>
      <c r="W1068" s="37"/>
      <c r="X1068" s="37"/>
      <c r="Y1068" s="37"/>
      <c r="Z1068" s="37"/>
    </row>
    <row r="1069" spans="1:26">
      <c r="A1069" s="39"/>
      <c r="B1069" s="37"/>
      <c r="C1069" s="37"/>
      <c r="D1069" s="37"/>
      <c r="E1069" s="37"/>
      <c r="F1069" s="37"/>
      <c r="G1069" s="37"/>
      <c r="H1069" s="37"/>
      <c r="I1069" s="37"/>
      <c r="J1069" s="37"/>
      <c r="K1069" s="37"/>
      <c r="L1069" s="37"/>
      <c r="M1069" s="37"/>
      <c r="N1069" s="37"/>
      <c r="O1069" s="37"/>
      <c r="P1069" s="37"/>
      <c r="Q1069" s="37"/>
      <c r="R1069" s="37"/>
      <c r="S1069" s="37"/>
      <c r="T1069" s="37"/>
      <c r="U1069" s="37"/>
      <c r="V1069" s="37"/>
      <c r="W1069" s="37"/>
      <c r="X1069" s="37"/>
      <c r="Y1069" s="37"/>
      <c r="Z1069" s="37"/>
    </row>
    <row r="1070" spans="1:26">
      <c r="A1070" s="39"/>
      <c r="B1070" s="37"/>
      <c r="C1070" s="37"/>
      <c r="D1070" s="37"/>
      <c r="E1070" s="37"/>
      <c r="F1070" s="37"/>
      <c r="G1070" s="37"/>
      <c r="H1070" s="37"/>
      <c r="I1070" s="37"/>
      <c r="J1070" s="37"/>
      <c r="K1070" s="37"/>
      <c r="L1070" s="37"/>
      <c r="M1070" s="37"/>
      <c r="N1070" s="37"/>
      <c r="O1070" s="37"/>
      <c r="P1070" s="37"/>
      <c r="Q1070" s="37"/>
      <c r="R1070" s="37"/>
      <c r="S1070" s="37"/>
      <c r="T1070" s="37"/>
      <c r="U1070" s="37"/>
      <c r="V1070" s="37"/>
      <c r="W1070" s="37"/>
      <c r="X1070" s="37"/>
      <c r="Y1070" s="37"/>
      <c r="Z1070" s="37"/>
    </row>
    <row r="1071" spans="1:26">
      <c r="A1071" s="39"/>
      <c r="B1071" s="37"/>
      <c r="C1071" s="37"/>
      <c r="D1071" s="37"/>
      <c r="E1071" s="37"/>
      <c r="F1071" s="37"/>
      <c r="G1071" s="37"/>
      <c r="H1071" s="37"/>
      <c r="I1071" s="37"/>
      <c r="J1071" s="37"/>
      <c r="K1071" s="37"/>
      <c r="L1071" s="37"/>
      <c r="M1071" s="37"/>
      <c r="N1071" s="37"/>
      <c r="O1071" s="37"/>
      <c r="P1071" s="37"/>
      <c r="Q1071" s="37"/>
      <c r="R1071" s="37"/>
      <c r="S1071" s="37"/>
      <c r="T1071" s="37"/>
      <c r="U1071" s="37"/>
      <c r="V1071" s="37"/>
      <c r="W1071" s="37"/>
      <c r="X1071" s="37"/>
      <c r="Y1071" s="37"/>
      <c r="Z1071" s="37"/>
    </row>
    <row r="1072" spans="1:26">
      <c r="A1072" s="39"/>
      <c r="B1072" s="37"/>
      <c r="C1072" s="37"/>
      <c r="D1072" s="37"/>
      <c r="E1072" s="37"/>
      <c r="F1072" s="37"/>
      <c r="G1072" s="37"/>
      <c r="H1072" s="37"/>
      <c r="I1072" s="37"/>
      <c r="J1072" s="37"/>
      <c r="K1072" s="37"/>
      <c r="L1072" s="37"/>
      <c r="M1072" s="37"/>
      <c r="N1072" s="37"/>
      <c r="O1072" s="37"/>
      <c r="P1072" s="37"/>
      <c r="Q1072" s="37"/>
      <c r="R1072" s="37"/>
      <c r="S1072" s="37"/>
      <c r="T1072" s="37"/>
      <c r="U1072" s="37"/>
      <c r="V1072" s="37"/>
      <c r="W1072" s="37"/>
      <c r="X1072" s="37"/>
      <c r="Y1072" s="37"/>
      <c r="Z1072" s="37"/>
    </row>
    <row r="1073" spans="1:26">
      <c r="A1073" s="39"/>
      <c r="B1073" s="37"/>
      <c r="C1073" s="37"/>
      <c r="D1073" s="37"/>
      <c r="E1073" s="37"/>
      <c r="F1073" s="37"/>
      <c r="G1073" s="37"/>
      <c r="H1073" s="37"/>
      <c r="I1073" s="37"/>
      <c r="J1073" s="37"/>
      <c r="K1073" s="37"/>
      <c r="L1073" s="37"/>
      <c r="M1073" s="37"/>
      <c r="N1073" s="37"/>
      <c r="O1073" s="37"/>
      <c r="P1073" s="37"/>
      <c r="Q1073" s="37"/>
      <c r="R1073" s="37"/>
      <c r="S1073" s="37"/>
      <c r="T1073" s="37"/>
      <c r="U1073" s="37"/>
      <c r="V1073" s="37"/>
      <c r="W1073" s="37"/>
      <c r="X1073" s="37"/>
      <c r="Y1073" s="37"/>
      <c r="Z1073" s="37"/>
    </row>
    <row r="1074" spans="1:26">
      <c r="A1074" s="39"/>
      <c r="B1074" s="37"/>
      <c r="C1074" s="37"/>
      <c r="D1074" s="37"/>
      <c r="E1074" s="37"/>
      <c r="F1074" s="37"/>
      <c r="G1074" s="37"/>
      <c r="H1074" s="37"/>
      <c r="I1074" s="37"/>
      <c r="J1074" s="37"/>
      <c r="K1074" s="37"/>
      <c r="L1074" s="37"/>
      <c r="M1074" s="37"/>
      <c r="N1074" s="37"/>
      <c r="O1074" s="37"/>
      <c r="P1074" s="37"/>
      <c r="Q1074" s="37"/>
      <c r="R1074" s="37"/>
      <c r="S1074" s="37"/>
      <c r="T1074" s="37"/>
      <c r="U1074" s="37"/>
      <c r="V1074" s="37"/>
      <c r="W1074" s="37"/>
      <c r="X1074" s="37"/>
      <c r="Y1074" s="37"/>
      <c r="Z1074" s="37"/>
    </row>
    <row r="1075" spans="1:26">
      <c r="A1075" s="39"/>
      <c r="B1075" s="37"/>
      <c r="C1075" s="37"/>
      <c r="D1075" s="37"/>
      <c r="E1075" s="37"/>
      <c r="F1075" s="37"/>
      <c r="G1075" s="37"/>
      <c r="H1075" s="37"/>
      <c r="I1075" s="37"/>
      <c r="J1075" s="37"/>
      <c r="K1075" s="37"/>
      <c r="L1075" s="37"/>
      <c r="M1075" s="37"/>
      <c r="N1075" s="37"/>
      <c r="O1075" s="37"/>
      <c r="P1075" s="37"/>
      <c r="Q1075" s="37"/>
      <c r="R1075" s="37"/>
      <c r="S1075" s="37"/>
      <c r="T1075" s="37"/>
      <c r="U1075" s="37"/>
      <c r="V1075" s="37"/>
      <c r="W1075" s="37"/>
      <c r="X1075" s="37"/>
      <c r="Y1075" s="37"/>
      <c r="Z1075" s="37"/>
    </row>
    <row r="1076" spans="1:26">
      <c r="A1076" s="39"/>
      <c r="B1076" s="37"/>
      <c r="C1076" s="37"/>
      <c r="D1076" s="37"/>
      <c r="E1076" s="37"/>
      <c r="F1076" s="37"/>
      <c r="G1076" s="37"/>
      <c r="H1076" s="37"/>
      <c r="I1076" s="37"/>
      <c r="J1076" s="37"/>
      <c r="K1076" s="37"/>
      <c r="L1076" s="37"/>
      <c r="M1076" s="37"/>
      <c r="N1076" s="37"/>
      <c r="O1076" s="37"/>
      <c r="P1076" s="37"/>
      <c r="Q1076" s="37"/>
      <c r="R1076" s="37"/>
      <c r="S1076" s="37"/>
      <c r="T1076" s="37"/>
      <c r="U1076" s="37"/>
      <c r="V1076" s="37"/>
      <c r="W1076" s="37"/>
      <c r="X1076" s="37"/>
      <c r="Y1076" s="37"/>
      <c r="Z1076" s="37"/>
    </row>
    <row r="1077" spans="1:26">
      <c r="A1077" s="39"/>
      <c r="B1077" s="37"/>
      <c r="C1077" s="37"/>
      <c r="D1077" s="37"/>
      <c r="E1077" s="37"/>
      <c r="F1077" s="37"/>
      <c r="G1077" s="37"/>
      <c r="H1077" s="37"/>
      <c r="I1077" s="37"/>
      <c r="J1077" s="37"/>
      <c r="K1077" s="37"/>
      <c r="L1077" s="37"/>
      <c r="M1077" s="37"/>
      <c r="N1077" s="37"/>
      <c r="O1077" s="37"/>
      <c r="P1077" s="37"/>
      <c r="Q1077" s="37"/>
      <c r="R1077" s="37"/>
      <c r="S1077" s="37"/>
      <c r="T1077" s="37"/>
      <c r="U1077" s="37"/>
      <c r="V1077" s="37"/>
      <c r="W1077" s="37"/>
      <c r="X1077" s="37"/>
      <c r="Y1077" s="37"/>
      <c r="Z1077" s="37"/>
    </row>
    <row r="1078" spans="1:26">
      <c r="A1078" s="39"/>
      <c r="B1078" s="37"/>
      <c r="C1078" s="37"/>
      <c r="D1078" s="37"/>
      <c r="E1078" s="37"/>
      <c r="F1078" s="37"/>
      <c r="G1078" s="37"/>
      <c r="H1078" s="37"/>
      <c r="I1078" s="37"/>
      <c r="J1078" s="37"/>
      <c r="K1078" s="37"/>
      <c r="L1078" s="37"/>
      <c r="M1078" s="37"/>
      <c r="N1078" s="37"/>
      <c r="O1078" s="37"/>
      <c r="P1078" s="37"/>
      <c r="Q1078" s="37"/>
      <c r="R1078" s="37"/>
      <c r="S1078" s="37"/>
      <c r="T1078" s="37"/>
      <c r="U1078" s="37"/>
      <c r="V1078" s="37"/>
      <c r="W1078" s="37"/>
      <c r="X1078" s="37"/>
      <c r="Y1078" s="37"/>
      <c r="Z1078" s="37"/>
    </row>
    <row r="1079" spans="1:26">
      <c r="A1079" s="39"/>
      <c r="B1079" s="37"/>
      <c r="C1079" s="37"/>
      <c r="D1079" s="37"/>
      <c r="E1079" s="37"/>
      <c r="F1079" s="37"/>
      <c r="G1079" s="37"/>
      <c r="H1079" s="37"/>
      <c r="I1079" s="37"/>
      <c r="J1079" s="37"/>
      <c r="K1079" s="37"/>
      <c r="L1079" s="37"/>
      <c r="M1079" s="37"/>
      <c r="N1079" s="37"/>
      <c r="O1079" s="37"/>
      <c r="P1079" s="37"/>
      <c r="Q1079" s="37"/>
      <c r="R1079" s="37"/>
      <c r="S1079" s="37"/>
      <c r="T1079" s="37"/>
      <c r="U1079" s="37"/>
      <c r="V1079" s="37"/>
      <c r="W1079" s="37"/>
      <c r="X1079" s="37"/>
      <c r="Y1079" s="37"/>
      <c r="Z1079" s="37"/>
    </row>
    <row r="1080" spans="1:26">
      <c r="A1080" s="39"/>
      <c r="B1080" s="37"/>
      <c r="C1080" s="37"/>
      <c r="D1080" s="37"/>
      <c r="E1080" s="37"/>
      <c r="F1080" s="37"/>
      <c r="G1080" s="37"/>
      <c r="H1080" s="37"/>
      <c r="I1080" s="37"/>
      <c r="J1080" s="37"/>
      <c r="K1080" s="37"/>
      <c r="L1080" s="37"/>
      <c r="M1080" s="37"/>
      <c r="N1080" s="37"/>
      <c r="O1080" s="37"/>
      <c r="P1080" s="37"/>
      <c r="Q1080" s="37"/>
      <c r="R1080" s="37"/>
      <c r="S1080" s="37"/>
      <c r="T1080" s="37"/>
      <c r="U1080" s="37"/>
      <c r="V1080" s="37"/>
      <c r="W1080" s="37"/>
      <c r="X1080" s="37"/>
      <c r="Y1080" s="37"/>
      <c r="Z1080" s="37"/>
    </row>
    <row r="1081" spans="1:26">
      <c r="A1081" s="39"/>
      <c r="B1081" s="37"/>
      <c r="C1081" s="37"/>
      <c r="D1081" s="37"/>
      <c r="E1081" s="37"/>
      <c r="F1081" s="37"/>
      <c r="G1081" s="37"/>
      <c r="H1081" s="37"/>
      <c r="I1081" s="37"/>
      <c r="J1081" s="37"/>
      <c r="K1081" s="37"/>
      <c r="L1081" s="37"/>
      <c r="M1081" s="37"/>
      <c r="N1081" s="37"/>
      <c r="O1081" s="37"/>
      <c r="P1081" s="37"/>
      <c r="Q1081" s="37"/>
      <c r="R1081" s="37"/>
      <c r="S1081" s="37"/>
      <c r="T1081" s="37"/>
      <c r="U1081" s="37"/>
      <c r="V1081" s="37"/>
      <c r="W1081" s="37"/>
      <c r="X1081" s="37"/>
      <c r="Y1081" s="37"/>
      <c r="Z1081" s="37"/>
    </row>
    <row r="1082" spans="1:26">
      <c r="A1082" s="39"/>
      <c r="B1082" s="37"/>
      <c r="C1082" s="37"/>
      <c r="D1082" s="37"/>
      <c r="E1082" s="37"/>
      <c r="F1082" s="37"/>
      <c r="G1082" s="37"/>
      <c r="H1082" s="37"/>
      <c r="I1082" s="37"/>
      <c r="J1082" s="37"/>
      <c r="K1082" s="37"/>
      <c r="L1082" s="37"/>
      <c r="M1082" s="37"/>
      <c r="N1082" s="37"/>
      <c r="O1082" s="37"/>
      <c r="P1082" s="37"/>
      <c r="Q1082" s="37"/>
      <c r="R1082" s="37"/>
      <c r="S1082" s="37"/>
      <c r="T1082" s="37"/>
      <c r="U1082" s="37"/>
      <c r="V1082" s="37"/>
      <c r="W1082" s="37"/>
      <c r="X1082" s="37"/>
      <c r="Y1082" s="37"/>
      <c r="Z1082" s="37"/>
    </row>
    <row r="1083" spans="1:26">
      <c r="A1083" s="39"/>
      <c r="B1083" s="37"/>
      <c r="C1083" s="37"/>
      <c r="D1083" s="37"/>
      <c r="E1083" s="37"/>
      <c r="F1083" s="37"/>
      <c r="G1083" s="37"/>
      <c r="H1083" s="37"/>
      <c r="I1083" s="37"/>
      <c r="J1083" s="37"/>
      <c r="K1083" s="37"/>
      <c r="L1083" s="37"/>
      <c r="M1083" s="37"/>
      <c r="N1083" s="37"/>
      <c r="O1083" s="37"/>
      <c r="P1083" s="37"/>
      <c r="Q1083" s="37"/>
      <c r="R1083" s="37"/>
      <c r="S1083" s="37"/>
      <c r="T1083" s="37"/>
      <c r="U1083" s="37"/>
      <c r="V1083" s="37"/>
      <c r="W1083" s="37"/>
      <c r="X1083" s="37"/>
      <c r="Y1083" s="37"/>
      <c r="Z1083" s="37"/>
    </row>
    <row r="1084" spans="1:26">
      <c r="A1084" s="39"/>
      <c r="B1084" s="37"/>
      <c r="C1084" s="37"/>
      <c r="D1084" s="37"/>
      <c r="E1084" s="37"/>
      <c r="F1084" s="37"/>
      <c r="G1084" s="37"/>
      <c r="H1084" s="37"/>
      <c r="I1084" s="37"/>
      <c r="J1084" s="37"/>
      <c r="K1084" s="37"/>
      <c r="L1084" s="37"/>
      <c r="M1084" s="37"/>
      <c r="N1084" s="37"/>
      <c r="O1084" s="37"/>
      <c r="P1084" s="37"/>
      <c r="Q1084" s="37"/>
      <c r="R1084" s="37"/>
      <c r="S1084" s="37"/>
      <c r="T1084" s="37"/>
      <c r="U1084" s="37"/>
      <c r="V1084" s="37"/>
      <c r="W1084" s="37"/>
      <c r="X1084" s="37"/>
      <c r="Y1084" s="37"/>
      <c r="Z1084" s="37"/>
    </row>
    <row r="1085" spans="1:26">
      <c r="A1085" s="39"/>
      <c r="B1085" s="37"/>
      <c r="C1085" s="37"/>
      <c r="D1085" s="37"/>
      <c r="E1085" s="37"/>
      <c r="F1085" s="37"/>
      <c r="G1085" s="37"/>
      <c r="H1085" s="37"/>
      <c r="I1085" s="37"/>
      <c r="J1085" s="37"/>
      <c r="K1085" s="37"/>
      <c r="L1085" s="37"/>
      <c r="M1085" s="37"/>
      <c r="N1085" s="37"/>
      <c r="O1085" s="37"/>
      <c r="P1085" s="37"/>
      <c r="Q1085" s="37"/>
      <c r="R1085" s="37"/>
      <c r="S1085" s="37"/>
      <c r="T1085" s="37"/>
      <c r="U1085" s="37"/>
      <c r="V1085" s="37"/>
      <c r="W1085" s="37"/>
      <c r="X1085" s="37"/>
      <c r="Y1085" s="37"/>
      <c r="Z1085" s="37"/>
    </row>
    <row r="1086" spans="1:26">
      <c r="A1086" s="39"/>
      <c r="B1086" s="37"/>
      <c r="C1086" s="37"/>
      <c r="D1086" s="37"/>
      <c r="E1086" s="37"/>
      <c r="F1086" s="37"/>
      <c r="G1086" s="37"/>
      <c r="H1086" s="37"/>
      <c r="I1086" s="37"/>
      <c r="J1086" s="37"/>
      <c r="K1086" s="37"/>
      <c r="L1086" s="37"/>
      <c r="M1086" s="37"/>
      <c r="N1086" s="37"/>
      <c r="O1086" s="37"/>
      <c r="P1086" s="37"/>
      <c r="Q1086" s="37"/>
      <c r="R1086" s="37"/>
      <c r="S1086" s="37"/>
      <c r="T1086" s="37"/>
      <c r="U1086" s="37"/>
      <c r="V1086" s="37"/>
      <c r="W1086" s="37"/>
      <c r="X1086" s="37"/>
      <c r="Y1086" s="37"/>
      <c r="Z1086" s="37"/>
    </row>
    <row r="1087" spans="1:26">
      <c r="A1087" s="39"/>
      <c r="B1087" s="37"/>
      <c r="C1087" s="37"/>
      <c r="D1087" s="37"/>
      <c r="E1087" s="37"/>
      <c r="F1087" s="37"/>
      <c r="G1087" s="37"/>
      <c r="H1087" s="37"/>
      <c r="I1087" s="37"/>
      <c r="J1087" s="37"/>
      <c r="K1087" s="37"/>
      <c r="L1087" s="37"/>
      <c r="M1087" s="37"/>
      <c r="N1087" s="37"/>
      <c r="O1087" s="37"/>
      <c r="P1087" s="37"/>
      <c r="Q1087" s="37"/>
      <c r="R1087" s="37"/>
      <c r="S1087" s="37"/>
      <c r="T1087" s="37"/>
      <c r="U1087" s="37"/>
      <c r="V1087" s="37"/>
      <c r="W1087" s="37"/>
      <c r="X1087" s="37"/>
      <c r="Y1087" s="37"/>
      <c r="Z1087" s="37"/>
    </row>
    <row r="1088" spans="1:26">
      <c r="A1088" s="39"/>
      <c r="B1088" s="37"/>
      <c r="C1088" s="37"/>
      <c r="D1088" s="37"/>
      <c r="E1088" s="37"/>
      <c r="F1088" s="37"/>
      <c r="G1088" s="37"/>
      <c r="H1088" s="37"/>
      <c r="I1088" s="37"/>
      <c r="J1088" s="37"/>
      <c r="K1088" s="37"/>
      <c r="L1088" s="37"/>
      <c r="M1088" s="37"/>
      <c r="N1088" s="37"/>
      <c r="O1088" s="37"/>
      <c r="P1088" s="37"/>
      <c r="Q1088" s="37"/>
      <c r="R1088" s="37"/>
      <c r="S1088" s="37"/>
      <c r="T1088" s="37"/>
      <c r="U1088" s="37"/>
      <c r="V1088" s="37"/>
      <c r="W1088" s="37"/>
      <c r="X1088" s="37"/>
      <c r="Y1088" s="37"/>
      <c r="Z1088" s="37"/>
    </row>
    <row r="1089" spans="1:26">
      <c r="A1089" s="39"/>
      <c r="B1089" s="37"/>
      <c r="C1089" s="37"/>
      <c r="D1089" s="37"/>
      <c r="E1089" s="37"/>
      <c r="F1089" s="37"/>
      <c r="G1089" s="37"/>
      <c r="H1089" s="37"/>
      <c r="I1089" s="37"/>
      <c r="J1089" s="37"/>
      <c r="K1089" s="37"/>
      <c r="L1089" s="37"/>
      <c r="M1089" s="37"/>
      <c r="N1089" s="37"/>
      <c r="O1089" s="37"/>
      <c r="P1089" s="37"/>
      <c r="Q1089" s="37"/>
      <c r="R1089" s="37"/>
      <c r="S1089" s="37"/>
      <c r="T1089" s="37"/>
      <c r="U1089" s="37"/>
      <c r="V1089" s="37"/>
      <c r="W1089" s="37"/>
      <c r="X1089" s="37"/>
      <c r="Y1089" s="37"/>
      <c r="Z1089" s="37"/>
    </row>
    <row r="1090" spans="1:26">
      <c r="A1090" s="39"/>
      <c r="B1090" s="37"/>
      <c r="C1090" s="37"/>
      <c r="D1090" s="37"/>
      <c r="E1090" s="37"/>
      <c r="F1090" s="37"/>
      <c r="G1090" s="37"/>
      <c r="H1090" s="37"/>
      <c r="I1090" s="37"/>
      <c r="J1090" s="37"/>
      <c r="K1090" s="37"/>
      <c r="L1090" s="37"/>
      <c r="M1090" s="37"/>
      <c r="N1090" s="37"/>
      <c r="O1090" s="37"/>
      <c r="P1090" s="37"/>
      <c r="Q1090" s="37"/>
      <c r="R1090" s="37"/>
      <c r="S1090" s="37"/>
      <c r="T1090" s="37"/>
      <c r="U1090" s="37"/>
      <c r="V1090" s="37"/>
      <c r="W1090" s="37"/>
      <c r="X1090" s="37"/>
      <c r="Y1090" s="37"/>
      <c r="Z1090" s="37"/>
    </row>
    <row r="1091" spans="1:26">
      <c r="A1091" s="39"/>
      <c r="B1091" s="37"/>
      <c r="C1091" s="37"/>
      <c r="D1091" s="37"/>
      <c r="E1091" s="37"/>
      <c r="F1091" s="37"/>
      <c r="G1091" s="37"/>
      <c r="H1091" s="37"/>
      <c r="I1091" s="37"/>
      <c r="J1091" s="37"/>
      <c r="K1091" s="37"/>
      <c r="L1091" s="37"/>
      <c r="M1091" s="37"/>
      <c r="N1091" s="37"/>
      <c r="O1091" s="37"/>
      <c r="P1091" s="37"/>
      <c r="Q1091" s="37"/>
      <c r="R1091" s="37"/>
      <c r="S1091" s="37"/>
      <c r="T1091" s="37"/>
      <c r="U1091" s="37"/>
      <c r="V1091" s="37"/>
      <c r="W1091" s="37"/>
      <c r="X1091" s="37"/>
      <c r="Y1091" s="37"/>
      <c r="Z1091" s="37"/>
    </row>
    <row r="1092" spans="1:26">
      <c r="A1092" s="39"/>
      <c r="B1092" s="37"/>
      <c r="C1092" s="37"/>
      <c r="D1092" s="37"/>
      <c r="E1092" s="37"/>
      <c r="F1092" s="37"/>
      <c r="G1092" s="37"/>
      <c r="H1092" s="37"/>
      <c r="I1092" s="37"/>
      <c r="J1092" s="37"/>
      <c r="K1092" s="37"/>
      <c r="L1092" s="37"/>
      <c r="M1092" s="37"/>
      <c r="N1092" s="37"/>
      <c r="O1092" s="37"/>
      <c r="P1092" s="37"/>
      <c r="Q1092" s="37"/>
      <c r="R1092" s="37"/>
      <c r="S1092" s="37"/>
      <c r="T1092" s="37"/>
      <c r="U1092" s="37"/>
      <c r="V1092" s="37"/>
      <c r="W1092" s="37"/>
      <c r="X1092" s="37"/>
      <c r="Y1092" s="37"/>
      <c r="Z1092" s="37"/>
    </row>
    <row r="1093" spans="1:26">
      <c r="A1093" s="39"/>
      <c r="B1093" s="37"/>
      <c r="C1093" s="37"/>
      <c r="D1093" s="37"/>
      <c r="E1093" s="37"/>
      <c r="F1093" s="37"/>
      <c r="G1093" s="37"/>
      <c r="H1093" s="37"/>
      <c r="I1093" s="37"/>
      <c r="J1093" s="37"/>
      <c r="K1093" s="37"/>
      <c r="L1093" s="37"/>
      <c r="M1093" s="37"/>
      <c r="N1093" s="37"/>
      <c r="O1093" s="37"/>
      <c r="P1093" s="37"/>
      <c r="Q1093" s="37"/>
      <c r="R1093" s="37"/>
      <c r="S1093" s="37"/>
      <c r="T1093" s="37"/>
      <c r="U1093" s="37"/>
      <c r="V1093" s="37"/>
      <c r="W1093" s="37"/>
      <c r="X1093" s="37"/>
      <c r="Y1093" s="37"/>
      <c r="Z1093" s="37"/>
    </row>
    <row r="1094" spans="1:26">
      <c r="A1094" s="39"/>
      <c r="B1094" s="37"/>
      <c r="C1094" s="37"/>
      <c r="D1094" s="37"/>
      <c r="E1094" s="37"/>
      <c r="F1094" s="37"/>
      <c r="G1094" s="37"/>
      <c r="H1094" s="37"/>
      <c r="I1094" s="37"/>
      <c r="J1094" s="37"/>
      <c r="K1094" s="37"/>
      <c r="L1094" s="37"/>
      <c r="M1094" s="37"/>
      <c r="N1094" s="37"/>
      <c r="O1094" s="37"/>
      <c r="P1094" s="37"/>
      <c r="Q1094" s="37"/>
      <c r="R1094" s="37"/>
      <c r="S1094" s="37"/>
      <c r="T1094" s="37"/>
      <c r="U1094" s="37"/>
      <c r="V1094" s="37"/>
      <c r="W1094" s="37"/>
      <c r="X1094" s="37"/>
      <c r="Y1094" s="37"/>
      <c r="Z1094" s="37"/>
    </row>
    <row r="1095" spans="1:26">
      <c r="A1095" s="39"/>
      <c r="B1095" s="37"/>
      <c r="C1095" s="37"/>
      <c r="D1095" s="37"/>
      <c r="E1095" s="37"/>
      <c r="F1095" s="37"/>
      <c r="G1095" s="37"/>
      <c r="H1095" s="37"/>
      <c r="I1095" s="37"/>
      <c r="J1095" s="37"/>
      <c r="K1095" s="37"/>
      <c r="L1095" s="37"/>
      <c r="M1095" s="37"/>
      <c r="N1095" s="37"/>
      <c r="O1095" s="37"/>
      <c r="P1095" s="37"/>
      <c r="Q1095" s="37"/>
      <c r="R1095" s="37"/>
      <c r="S1095" s="37"/>
      <c r="T1095" s="37"/>
      <c r="U1095" s="37"/>
      <c r="V1095" s="37"/>
      <c r="W1095" s="37"/>
      <c r="X1095" s="37"/>
      <c r="Y1095" s="37"/>
      <c r="Z1095" s="37"/>
    </row>
    <row r="1096" spans="1:26">
      <c r="A1096" s="39"/>
      <c r="B1096" s="37"/>
      <c r="C1096" s="37"/>
      <c r="D1096" s="37"/>
      <c r="E1096" s="37"/>
      <c r="F1096" s="37"/>
      <c r="G1096" s="37"/>
      <c r="H1096" s="37"/>
      <c r="I1096" s="37"/>
      <c r="J1096" s="37"/>
      <c r="K1096" s="37"/>
      <c r="L1096" s="37"/>
      <c r="M1096" s="37"/>
      <c r="N1096" s="37"/>
      <c r="O1096" s="37"/>
      <c r="P1096" s="37"/>
      <c r="Q1096" s="37"/>
      <c r="R1096" s="37"/>
      <c r="S1096" s="37"/>
      <c r="T1096" s="37"/>
      <c r="U1096" s="37"/>
      <c r="V1096" s="37"/>
      <c r="W1096" s="37"/>
      <c r="X1096" s="37"/>
      <c r="Y1096" s="37"/>
      <c r="Z1096" s="37"/>
    </row>
    <row r="1097" spans="1:26">
      <c r="A1097" s="39"/>
      <c r="B1097" s="37"/>
      <c r="C1097" s="37"/>
      <c r="D1097" s="37"/>
      <c r="E1097" s="37"/>
      <c r="F1097" s="37"/>
      <c r="G1097" s="37"/>
      <c r="H1097" s="37"/>
      <c r="I1097" s="37"/>
      <c r="J1097" s="37"/>
      <c r="K1097" s="37"/>
      <c r="L1097" s="37"/>
      <c r="M1097" s="37"/>
      <c r="N1097" s="37"/>
      <c r="O1097" s="37"/>
      <c r="P1097" s="37"/>
      <c r="Q1097" s="37"/>
      <c r="R1097" s="37"/>
      <c r="S1097" s="37"/>
      <c r="T1097" s="37"/>
      <c r="U1097" s="37"/>
      <c r="V1097" s="37"/>
      <c r="W1097" s="37"/>
      <c r="X1097" s="37"/>
      <c r="Y1097" s="37"/>
      <c r="Z1097" s="37"/>
    </row>
    <row r="1098" spans="1:26">
      <c r="A1098" s="39"/>
      <c r="B1098" s="37"/>
      <c r="C1098" s="37"/>
      <c r="D1098" s="37"/>
      <c r="E1098" s="37"/>
      <c r="F1098" s="37"/>
      <c r="G1098" s="37"/>
      <c r="H1098" s="37"/>
      <c r="I1098" s="37"/>
      <c r="J1098" s="37"/>
      <c r="K1098" s="37"/>
      <c r="L1098" s="37"/>
      <c r="M1098" s="37"/>
      <c r="N1098" s="37"/>
      <c r="O1098" s="37"/>
      <c r="P1098" s="37"/>
      <c r="Q1098" s="37"/>
      <c r="R1098" s="37"/>
      <c r="S1098" s="37"/>
      <c r="T1098" s="37"/>
      <c r="U1098" s="37"/>
      <c r="V1098" s="37"/>
      <c r="W1098" s="37"/>
      <c r="X1098" s="37"/>
      <c r="Y1098" s="37"/>
      <c r="Z1098" s="37"/>
    </row>
    <row r="1099" spans="1:26">
      <c r="A1099" s="39"/>
      <c r="B1099" s="37"/>
      <c r="C1099" s="37"/>
      <c r="D1099" s="37"/>
      <c r="E1099" s="37"/>
      <c r="F1099" s="37"/>
      <c r="G1099" s="37"/>
      <c r="H1099" s="37"/>
      <c r="I1099" s="37"/>
      <c r="J1099" s="37"/>
      <c r="K1099" s="37"/>
      <c r="L1099" s="37"/>
      <c r="M1099" s="37"/>
      <c r="N1099" s="37"/>
      <c r="O1099" s="37"/>
      <c r="P1099" s="37"/>
      <c r="Q1099" s="37"/>
      <c r="R1099" s="37"/>
      <c r="S1099" s="37"/>
      <c r="T1099" s="37"/>
      <c r="U1099" s="37"/>
      <c r="V1099" s="37"/>
      <c r="W1099" s="37"/>
      <c r="X1099" s="37"/>
      <c r="Y1099" s="37"/>
      <c r="Z1099" s="37"/>
    </row>
    <row r="1100" spans="1:26">
      <c r="A1100" s="39"/>
      <c r="B1100" s="37"/>
      <c r="C1100" s="37"/>
      <c r="D1100" s="37"/>
      <c r="E1100" s="37"/>
      <c r="F1100" s="37"/>
      <c r="G1100" s="37"/>
      <c r="H1100" s="37"/>
      <c r="I1100" s="37"/>
      <c r="J1100" s="37"/>
      <c r="K1100" s="37"/>
      <c r="L1100" s="37"/>
      <c r="M1100" s="37"/>
      <c r="N1100" s="37"/>
      <c r="O1100" s="37"/>
      <c r="P1100" s="37"/>
      <c r="Q1100" s="37"/>
      <c r="R1100" s="37"/>
      <c r="S1100" s="37"/>
      <c r="T1100" s="37"/>
      <c r="U1100" s="37"/>
      <c r="V1100" s="37"/>
      <c r="W1100" s="37"/>
      <c r="X1100" s="37"/>
      <c r="Y1100" s="37"/>
      <c r="Z1100" s="37"/>
    </row>
    <row r="1101" spans="1:26">
      <c r="A1101" s="39"/>
      <c r="B1101" s="37"/>
      <c r="C1101" s="37"/>
      <c r="D1101" s="37"/>
      <c r="E1101" s="37"/>
      <c r="F1101" s="37"/>
      <c r="G1101" s="37"/>
      <c r="H1101" s="37"/>
      <c r="I1101" s="37"/>
      <c r="J1101" s="37"/>
      <c r="K1101" s="37"/>
      <c r="L1101" s="37"/>
      <c r="M1101" s="37"/>
      <c r="N1101" s="37"/>
      <c r="O1101" s="37"/>
      <c r="P1101" s="37"/>
      <c r="Q1101" s="37"/>
      <c r="R1101" s="37"/>
      <c r="S1101" s="37"/>
      <c r="T1101" s="37"/>
      <c r="U1101" s="37"/>
      <c r="V1101" s="37"/>
      <c r="W1101" s="37"/>
      <c r="X1101" s="37"/>
      <c r="Y1101" s="37"/>
      <c r="Z1101" s="37"/>
    </row>
    <row r="1102" spans="1:26">
      <c r="A1102" s="39"/>
      <c r="B1102" s="37"/>
      <c r="C1102" s="37"/>
      <c r="D1102" s="37"/>
      <c r="E1102" s="37"/>
      <c r="F1102" s="37"/>
      <c r="G1102" s="37"/>
      <c r="H1102" s="37"/>
      <c r="I1102" s="37"/>
      <c r="J1102" s="37"/>
      <c r="K1102" s="37"/>
      <c r="L1102" s="37"/>
      <c r="M1102" s="37"/>
      <c r="N1102" s="37"/>
      <c r="O1102" s="37"/>
      <c r="P1102" s="37"/>
      <c r="Q1102" s="37"/>
      <c r="R1102" s="37"/>
      <c r="S1102" s="37"/>
      <c r="T1102" s="37"/>
      <c r="U1102" s="37"/>
      <c r="V1102" s="37"/>
      <c r="W1102" s="37"/>
      <c r="X1102" s="37"/>
      <c r="Y1102" s="37"/>
      <c r="Z1102" s="37"/>
    </row>
    <row r="1103" spans="1:26">
      <c r="A1103" s="39"/>
      <c r="B1103" s="37"/>
      <c r="C1103" s="37"/>
      <c r="D1103" s="37"/>
      <c r="E1103" s="37"/>
      <c r="F1103" s="37"/>
      <c r="G1103" s="37"/>
      <c r="H1103" s="37"/>
      <c r="I1103" s="37"/>
      <c r="J1103" s="37"/>
      <c r="K1103" s="37"/>
      <c r="L1103" s="37"/>
      <c r="M1103" s="37"/>
      <c r="N1103" s="37"/>
      <c r="O1103" s="37"/>
      <c r="P1103" s="37"/>
      <c r="Q1103" s="37"/>
      <c r="R1103" s="37"/>
      <c r="S1103" s="37"/>
      <c r="T1103" s="37"/>
      <c r="U1103" s="37"/>
      <c r="V1103" s="37"/>
      <c r="W1103" s="37"/>
      <c r="X1103" s="37"/>
      <c r="Y1103" s="37"/>
      <c r="Z1103" s="37"/>
    </row>
    <row r="1104" spans="1:26">
      <c r="A1104" s="39"/>
      <c r="B1104" s="37"/>
      <c r="C1104" s="37"/>
      <c r="D1104" s="37"/>
      <c r="E1104" s="37"/>
      <c r="F1104" s="37"/>
      <c r="G1104" s="37"/>
      <c r="H1104" s="37"/>
      <c r="I1104" s="37"/>
      <c r="J1104" s="37"/>
      <c r="K1104" s="37"/>
      <c r="L1104" s="37"/>
      <c r="M1104" s="37"/>
      <c r="N1104" s="37"/>
      <c r="O1104" s="37"/>
      <c r="P1104" s="37"/>
      <c r="Q1104" s="37"/>
      <c r="R1104" s="37"/>
      <c r="S1104" s="37"/>
      <c r="T1104" s="37"/>
      <c r="U1104" s="37"/>
      <c r="V1104" s="37"/>
      <c r="W1104" s="37"/>
      <c r="X1104" s="37"/>
      <c r="Y1104" s="37"/>
      <c r="Z1104" s="37"/>
    </row>
    <row r="1105" spans="1:26">
      <c r="A1105" s="39"/>
      <c r="B1105" s="37"/>
      <c r="C1105" s="37"/>
      <c r="D1105" s="37"/>
      <c r="E1105" s="37"/>
      <c r="F1105" s="37"/>
      <c r="G1105" s="37"/>
      <c r="H1105" s="37"/>
      <c r="I1105" s="37"/>
      <c r="J1105" s="37"/>
      <c r="K1105" s="37"/>
      <c r="L1105" s="37"/>
      <c r="M1105" s="37"/>
      <c r="N1105" s="37"/>
      <c r="O1105" s="37"/>
      <c r="P1105" s="37"/>
      <c r="Q1105" s="37"/>
      <c r="R1105" s="37"/>
      <c r="S1105" s="37"/>
      <c r="T1105" s="37"/>
      <c r="U1105" s="37"/>
      <c r="V1105" s="37"/>
      <c r="W1105" s="37"/>
      <c r="X1105" s="37"/>
      <c r="Y1105" s="37"/>
      <c r="Z1105" s="37"/>
    </row>
    <row r="1106" spans="1:26">
      <c r="A1106" s="39"/>
      <c r="B1106" s="37"/>
      <c r="C1106" s="37"/>
      <c r="D1106" s="37"/>
      <c r="E1106" s="37"/>
      <c r="F1106" s="37"/>
      <c r="G1106" s="37"/>
      <c r="H1106" s="37"/>
      <c r="I1106" s="37"/>
      <c r="J1106" s="37"/>
      <c r="K1106" s="37"/>
      <c r="L1106" s="37"/>
      <c r="M1106" s="37"/>
      <c r="N1106" s="37"/>
      <c r="O1106" s="37"/>
      <c r="P1106" s="37"/>
      <c r="Q1106" s="37"/>
      <c r="R1106" s="37"/>
      <c r="S1106" s="37"/>
      <c r="T1106" s="37"/>
      <c r="U1106" s="37"/>
      <c r="V1106" s="37"/>
      <c r="W1106" s="37"/>
      <c r="X1106" s="37"/>
      <c r="Y1106" s="37"/>
      <c r="Z1106" s="37"/>
    </row>
    <row r="1107" spans="1:26">
      <c r="A1107" s="39"/>
      <c r="B1107" s="37"/>
      <c r="C1107" s="37"/>
      <c r="D1107" s="37"/>
      <c r="E1107" s="37"/>
      <c r="F1107" s="37"/>
      <c r="G1107" s="37"/>
      <c r="H1107" s="37"/>
      <c r="I1107" s="37"/>
      <c r="J1107" s="37"/>
      <c r="K1107" s="37"/>
      <c r="L1107" s="37"/>
      <c r="M1107" s="37"/>
      <c r="N1107" s="37"/>
      <c r="O1107" s="37"/>
      <c r="P1107" s="37"/>
      <c r="Q1107" s="37"/>
      <c r="R1107" s="37"/>
      <c r="S1107" s="37"/>
      <c r="T1107" s="37"/>
      <c r="U1107" s="37"/>
      <c r="V1107" s="37"/>
      <c r="W1107" s="37"/>
      <c r="X1107" s="37"/>
      <c r="Y1107" s="37"/>
      <c r="Z1107" s="37"/>
    </row>
    <row r="1108" spans="1:26">
      <c r="A1108" s="39"/>
      <c r="B1108" s="37"/>
      <c r="C1108" s="37"/>
      <c r="D1108" s="37"/>
      <c r="E1108" s="37"/>
      <c r="F1108" s="37"/>
      <c r="G1108" s="37"/>
      <c r="H1108" s="37"/>
      <c r="I1108" s="37"/>
      <c r="J1108" s="37"/>
      <c r="K1108" s="37"/>
      <c r="L1108" s="37"/>
      <c r="M1108" s="37"/>
      <c r="N1108" s="37"/>
      <c r="O1108" s="37"/>
      <c r="P1108" s="37"/>
      <c r="Q1108" s="37"/>
      <c r="R1108" s="37"/>
      <c r="S1108" s="37"/>
      <c r="T1108" s="37"/>
      <c r="U1108" s="37"/>
      <c r="V1108" s="37"/>
      <c r="W1108" s="37"/>
      <c r="X1108" s="37"/>
      <c r="Y1108" s="37"/>
      <c r="Z1108" s="37"/>
    </row>
    <row r="1109" spans="1:26">
      <c r="A1109" s="39"/>
      <c r="B1109" s="37"/>
      <c r="C1109" s="37"/>
      <c r="D1109" s="37"/>
      <c r="E1109" s="37"/>
      <c r="F1109" s="37"/>
      <c r="G1109" s="37"/>
      <c r="H1109" s="37"/>
      <c r="I1109" s="37"/>
      <c r="J1109" s="37"/>
      <c r="K1109" s="37"/>
      <c r="L1109" s="37"/>
      <c r="M1109" s="37"/>
      <c r="N1109" s="37"/>
      <c r="O1109" s="37"/>
      <c r="P1109" s="37"/>
      <c r="Q1109" s="37"/>
      <c r="R1109" s="37"/>
      <c r="S1109" s="37"/>
      <c r="T1109" s="37"/>
      <c r="U1109" s="37"/>
      <c r="V1109" s="37"/>
      <c r="W1109" s="37"/>
      <c r="X1109" s="37"/>
      <c r="Y1109" s="37"/>
      <c r="Z1109" s="37"/>
    </row>
    <row r="1110" spans="1:26">
      <c r="A1110" s="39"/>
      <c r="B1110" s="37"/>
      <c r="C1110" s="37"/>
      <c r="D1110" s="37"/>
      <c r="E1110" s="37"/>
      <c r="F1110" s="37"/>
      <c r="G1110" s="37"/>
      <c r="H1110" s="37"/>
      <c r="I1110" s="37"/>
      <c r="J1110" s="37"/>
      <c r="K1110" s="37"/>
      <c r="L1110" s="37"/>
      <c r="M1110" s="37"/>
      <c r="N1110" s="37"/>
      <c r="O1110" s="37"/>
      <c r="P1110" s="37"/>
      <c r="Q1110" s="37"/>
      <c r="R1110" s="37"/>
      <c r="S1110" s="37"/>
      <c r="T1110" s="37"/>
      <c r="U1110" s="37"/>
      <c r="V1110" s="37"/>
      <c r="W1110" s="37"/>
      <c r="X1110" s="37"/>
      <c r="Y1110" s="37"/>
      <c r="Z1110" s="37"/>
    </row>
    <row r="1111" spans="1:26">
      <c r="A1111" s="39"/>
      <c r="B1111" s="37"/>
      <c r="C1111" s="37"/>
      <c r="D1111" s="37"/>
      <c r="E1111" s="37"/>
      <c r="F1111" s="37"/>
      <c r="G1111" s="37"/>
      <c r="H1111" s="37"/>
      <c r="I1111" s="37"/>
      <c r="J1111" s="37"/>
      <c r="K1111" s="37"/>
      <c r="L1111" s="37"/>
      <c r="M1111" s="37"/>
      <c r="N1111" s="37"/>
      <c r="O1111" s="37"/>
      <c r="P1111" s="37"/>
      <c r="Q1111" s="37"/>
      <c r="R1111" s="37"/>
      <c r="S1111" s="37"/>
      <c r="T1111" s="37"/>
      <c r="U1111" s="37"/>
      <c r="V1111" s="37"/>
      <c r="W1111" s="37"/>
      <c r="X1111" s="37"/>
      <c r="Y1111" s="37"/>
      <c r="Z1111" s="37"/>
    </row>
    <row r="1112" spans="1:26">
      <c r="A1112" s="39"/>
      <c r="B1112" s="37"/>
      <c r="C1112" s="37"/>
      <c r="D1112" s="37"/>
      <c r="E1112" s="37"/>
      <c r="F1112" s="37"/>
      <c r="G1112" s="37"/>
      <c r="H1112" s="37"/>
      <c r="I1112" s="37"/>
      <c r="J1112" s="37"/>
      <c r="K1112" s="37"/>
      <c r="L1112" s="37"/>
      <c r="M1112" s="37"/>
      <c r="N1112" s="37"/>
      <c r="O1112" s="37"/>
      <c r="P1112" s="37"/>
      <c r="Q1112" s="37"/>
      <c r="R1112" s="37"/>
      <c r="S1112" s="37"/>
      <c r="T1112" s="37"/>
      <c r="U1112" s="37"/>
      <c r="V1112" s="37"/>
      <c r="W1112" s="37"/>
      <c r="X1112" s="37"/>
      <c r="Y1112" s="37"/>
      <c r="Z1112" s="37"/>
    </row>
    <row r="1113" spans="1:26">
      <c r="A1113" s="39"/>
      <c r="B1113" s="37"/>
      <c r="C1113" s="37"/>
      <c r="D1113" s="37"/>
      <c r="E1113" s="37"/>
      <c r="F1113" s="37"/>
      <c r="G1113" s="37"/>
      <c r="H1113" s="37"/>
      <c r="I1113" s="37"/>
      <c r="J1113" s="37"/>
      <c r="K1113" s="37"/>
      <c r="L1113" s="37"/>
      <c r="M1113" s="37"/>
      <c r="N1113" s="37"/>
      <c r="O1113" s="37"/>
      <c r="P1113" s="37"/>
      <c r="Q1113" s="37"/>
      <c r="R1113" s="37"/>
      <c r="S1113" s="37"/>
      <c r="T1113" s="37"/>
      <c r="U1113" s="37"/>
      <c r="V1113" s="37"/>
      <c r="W1113" s="37"/>
      <c r="X1113" s="37"/>
      <c r="Y1113" s="37"/>
      <c r="Z1113" s="37"/>
    </row>
    <row r="1114" spans="1:26">
      <c r="A1114" s="39"/>
      <c r="B1114" s="37"/>
      <c r="C1114" s="37"/>
      <c r="D1114" s="37"/>
      <c r="E1114" s="37"/>
      <c r="F1114" s="37"/>
      <c r="G1114" s="37"/>
      <c r="H1114" s="37"/>
      <c r="I1114" s="37"/>
      <c r="J1114" s="37"/>
      <c r="K1114" s="37"/>
      <c r="L1114" s="37"/>
      <c r="M1114" s="37"/>
      <c r="N1114" s="37"/>
      <c r="O1114" s="37"/>
      <c r="P1114" s="37"/>
      <c r="Q1114" s="37"/>
      <c r="R1114" s="37"/>
      <c r="S1114" s="37"/>
      <c r="T1114" s="37"/>
      <c r="U1114" s="37"/>
      <c r="V1114" s="37"/>
      <c r="W1114" s="37"/>
      <c r="X1114" s="37"/>
      <c r="Y1114" s="37"/>
      <c r="Z1114" s="37"/>
    </row>
    <row r="1115" spans="1:26">
      <c r="A1115" s="39"/>
      <c r="B1115" s="37"/>
      <c r="C1115" s="37"/>
      <c r="D1115" s="37"/>
      <c r="E1115" s="37"/>
      <c r="F1115" s="37"/>
      <c r="G1115" s="37"/>
      <c r="H1115" s="37"/>
      <c r="I1115" s="37"/>
      <c r="J1115" s="37"/>
      <c r="K1115" s="37"/>
      <c r="L1115" s="37"/>
      <c r="M1115" s="37"/>
      <c r="N1115" s="37"/>
      <c r="O1115" s="37"/>
      <c r="P1115" s="37"/>
      <c r="Q1115" s="37"/>
      <c r="R1115" s="37"/>
      <c r="S1115" s="37"/>
      <c r="T1115" s="37"/>
      <c r="U1115" s="37"/>
      <c r="V1115" s="37"/>
      <c r="W1115" s="37"/>
      <c r="X1115" s="37"/>
      <c r="Y1115" s="37"/>
      <c r="Z1115" s="37"/>
    </row>
    <row r="1116" spans="1:26">
      <c r="A1116" s="39"/>
      <c r="B1116" s="37"/>
      <c r="C1116" s="37"/>
      <c r="D1116" s="37"/>
      <c r="E1116" s="37"/>
      <c r="F1116" s="37"/>
      <c r="G1116" s="37"/>
      <c r="H1116" s="37"/>
      <c r="I1116" s="37"/>
      <c r="J1116" s="37"/>
      <c r="K1116" s="37"/>
      <c r="L1116" s="37"/>
      <c r="M1116" s="37"/>
      <c r="N1116" s="37"/>
      <c r="O1116" s="37"/>
      <c r="P1116" s="37"/>
      <c r="Q1116" s="37"/>
      <c r="R1116" s="37"/>
      <c r="S1116" s="37"/>
      <c r="T1116" s="37"/>
      <c r="U1116" s="37"/>
      <c r="V1116" s="37"/>
      <c r="W1116" s="37"/>
      <c r="X1116" s="37"/>
      <c r="Y1116" s="37"/>
      <c r="Z1116" s="37"/>
    </row>
    <row r="1117" spans="1:26">
      <c r="A1117" s="39"/>
      <c r="B1117" s="37"/>
      <c r="C1117" s="37"/>
      <c r="D1117" s="37"/>
      <c r="E1117" s="37"/>
      <c r="F1117" s="37"/>
      <c r="G1117" s="37"/>
      <c r="H1117" s="37"/>
      <c r="I1117" s="37"/>
      <c r="J1117" s="37"/>
      <c r="K1117" s="37"/>
      <c r="L1117" s="37"/>
      <c r="M1117" s="37"/>
      <c r="N1117" s="37"/>
      <c r="O1117" s="37"/>
      <c r="P1117" s="37"/>
      <c r="Q1117" s="37"/>
      <c r="R1117" s="37"/>
      <c r="S1117" s="37"/>
      <c r="T1117" s="37"/>
      <c r="U1117" s="37"/>
      <c r="V1117" s="37"/>
      <c r="W1117" s="37"/>
      <c r="X1117" s="37"/>
      <c r="Y1117" s="37"/>
      <c r="Z1117" s="37"/>
    </row>
    <row r="1118" spans="1:26">
      <c r="A1118" s="39"/>
      <c r="B1118" s="37"/>
      <c r="C1118" s="37"/>
      <c r="D1118" s="37"/>
      <c r="E1118" s="37"/>
      <c r="F1118" s="37"/>
      <c r="G1118" s="37"/>
      <c r="H1118" s="37"/>
      <c r="I1118" s="37"/>
      <c r="J1118" s="37"/>
      <c r="K1118" s="37"/>
      <c r="L1118" s="37"/>
      <c r="M1118" s="37"/>
      <c r="N1118" s="37"/>
      <c r="O1118" s="37"/>
      <c r="P1118" s="37"/>
      <c r="Q1118" s="37"/>
      <c r="R1118" s="37"/>
      <c r="S1118" s="37"/>
      <c r="T1118" s="37"/>
      <c r="U1118" s="37"/>
      <c r="V1118" s="37"/>
      <c r="W1118" s="37"/>
      <c r="X1118" s="37"/>
      <c r="Y1118" s="37"/>
      <c r="Z1118" s="37"/>
    </row>
    <row r="1119" spans="1:26">
      <c r="A1119" s="39"/>
      <c r="B1119" s="37"/>
      <c r="C1119" s="37"/>
      <c r="D1119" s="37"/>
      <c r="E1119" s="37"/>
      <c r="F1119" s="37"/>
      <c r="G1119" s="37"/>
      <c r="H1119" s="37"/>
      <c r="I1119" s="37"/>
      <c r="J1119" s="37"/>
      <c r="K1119" s="37"/>
      <c r="L1119" s="37"/>
      <c r="M1119" s="37"/>
      <c r="N1119" s="37"/>
      <c r="O1119" s="37"/>
      <c r="P1119" s="37"/>
      <c r="Q1119" s="37"/>
      <c r="R1119" s="37"/>
      <c r="S1119" s="37"/>
      <c r="T1119" s="37"/>
      <c r="U1119" s="37"/>
      <c r="V1119" s="37"/>
      <c r="W1119" s="37"/>
      <c r="X1119" s="37"/>
      <c r="Y1119" s="37"/>
      <c r="Z1119" s="37"/>
    </row>
    <row r="1120" spans="1:26">
      <c r="A1120" s="39"/>
      <c r="B1120" s="37"/>
      <c r="C1120" s="37"/>
      <c r="D1120" s="37"/>
      <c r="E1120" s="37"/>
      <c r="F1120" s="37"/>
      <c r="G1120" s="37"/>
      <c r="H1120" s="37"/>
      <c r="I1120" s="37"/>
      <c r="J1120" s="37"/>
      <c r="K1120" s="37"/>
      <c r="L1120" s="37"/>
      <c r="M1120" s="37"/>
      <c r="N1120" s="37"/>
      <c r="O1120" s="37"/>
      <c r="P1120" s="37"/>
      <c r="Q1120" s="37"/>
      <c r="R1120" s="37"/>
      <c r="S1120" s="37"/>
      <c r="T1120" s="37"/>
      <c r="U1120" s="37"/>
      <c r="V1120" s="37"/>
      <c r="W1120" s="37"/>
      <c r="X1120" s="37"/>
      <c r="Y1120" s="37"/>
      <c r="Z1120" s="37"/>
    </row>
    <row r="1121" spans="1:26">
      <c r="A1121" s="39"/>
      <c r="B1121" s="37"/>
      <c r="C1121" s="37"/>
      <c r="D1121" s="37"/>
      <c r="E1121" s="37"/>
      <c r="F1121" s="37"/>
      <c r="G1121" s="37"/>
      <c r="H1121" s="37"/>
      <c r="I1121" s="37"/>
      <c r="J1121" s="37"/>
      <c r="K1121" s="37"/>
      <c r="L1121" s="37"/>
      <c r="M1121" s="37"/>
      <c r="N1121" s="37"/>
      <c r="O1121" s="37"/>
      <c r="P1121" s="37"/>
      <c r="Q1121" s="37"/>
      <c r="R1121" s="37"/>
      <c r="S1121" s="37"/>
      <c r="T1121" s="37"/>
      <c r="U1121" s="37"/>
      <c r="V1121" s="37"/>
      <c r="W1121" s="37"/>
      <c r="X1121" s="37"/>
      <c r="Y1121" s="37"/>
      <c r="Z1121" s="37"/>
    </row>
    <row r="1122" spans="1:26">
      <c r="A1122" s="39"/>
      <c r="B1122" s="37"/>
      <c r="C1122" s="37"/>
      <c r="D1122" s="37"/>
      <c r="E1122" s="37"/>
      <c r="F1122" s="37"/>
      <c r="G1122" s="37"/>
      <c r="H1122" s="37"/>
      <c r="I1122" s="37"/>
      <c r="J1122" s="37"/>
      <c r="K1122" s="37"/>
      <c r="L1122" s="37"/>
      <c r="M1122" s="37"/>
      <c r="N1122" s="37"/>
      <c r="O1122" s="37"/>
      <c r="P1122" s="37"/>
      <c r="Q1122" s="37"/>
      <c r="R1122" s="37"/>
      <c r="S1122" s="37"/>
      <c r="T1122" s="37"/>
      <c r="U1122" s="37"/>
      <c r="V1122" s="37"/>
      <c r="W1122" s="37"/>
      <c r="X1122" s="37"/>
      <c r="Y1122" s="37"/>
      <c r="Z1122" s="37"/>
    </row>
    <row r="1123" spans="1:26">
      <c r="A1123" s="39"/>
      <c r="B1123" s="37"/>
      <c r="C1123" s="37"/>
      <c r="D1123" s="37"/>
      <c r="E1123" s="37"/>
      <c r="F1123" s="37"/>
      <c r="G1123" s="37"/>
      <c r="H1123" s="37"/>
      <c r="I1123" s="37"/>
      <c r="J1123" s="37"/>
      <c r="K1123" s="37"/>
      <c r="L1123" s="37"/>
      <c r="M1123" s="37"/>
      <c r="N1123" s="37"/>
      <c r="O1123" s="37"/>
      <c r="P1123" s="37"/>
      <c r="Q1123" s="37"/>
      <c r="R1123" s="37"/>
      <c r="S1123" s="37"/>
      <c r="T1123" s="37"/>
      <c r="U1123" s="37"/>
      <c r="V1123" s="37"/>
      <c r="W1123" s="37"/>
      <c r="X1123" s="37"/>
      <c r="Y1123" s="37"/>
      <c r="Z1123" s="37"/>
    </row>
    <row r="1124" spans="1:26">
      <c r="A1124" s="39"/>
      <c r="B1124" s="37"/>
      <c r="C1124" s="37"/>
      <c r="D1124" s="37"/>
      <c r="E1124" s="37"/>
      <c r="F1124" s="37"/>
      <c r="G1124" s="37"/>
      <c r="H1124" s="37"/>
      <c r="I1124" s="37"/>
      <c r="J1124" s="37"/>
      <c r="K1124" s="37"/>
      <c r="L1124" s="37"/>
      <c r="M1124" s="37"/>
      <c r="N1124" s="37"/>
      <c r="O1124" s="37"/>
      <c r="P1124" s="37"/>
      <c r="Q1124" s="37"/>
      <c r="R1124" s="37"/>
      <c r="S1124" s="37"/>
      <c r="T1124" s="37"/>
      <c r="U1124" s="37"/>
      <c r="V1124" s="37"/>
      <c r="W1124" s="37"/>
      <c r="X1124" s="37"/>
      <c r="Y1124" s="37"/>
      <c r="Z1124" s="37"/>
    </row>
    <row r="1125" spans="1:26">
      <c r="A1125" s="39"/>
      <c r="B1125" s="37"/>
      <c r="C1125" s="37"/>
      <c r="D1125" s="37"/>
      <c r="E1125" s="37"/>
      <c r="F1125" s="37"/>
      <c r="G1125" s="37"/>
      <c r="H1125" s="37"/>
      <c r="I1125" s="37"/>
      <c r="J1125" s="37"/>
      <c r="K1125" s="37"/>
      <c r="L1125" s="37"/>
      <c r="M1125" s="37"/>
      <c r="N1125" s="37"/>
      <c r="O1125" s="37"/>
      <c r="P1125" s="37"/>
      <c r="Q1125" s="37"/>
      <c r="R1125" s="37"/>
      <c r="S1125" s="37"/>
      <c r="T1125" s="37"/>
      <c r="U1125" s="37"/>
      <c r="V1125" s="37"/>
      <c r="W1125" s="37"/>
      <c r="X1125" s="37"/>
      <c r="Y1125" s="37"/>
      <c r="Z1125" s="37"/>
    </row>
    <row r="1126" spans="1:26">
      <c r="A1126" s="39"/>
      <c r="B1126" s="37"/>
      <c r="C1126" s="37"/>
      <c r="D1126" s="37"/>
      <c r="E1126" s="37"/>
      <c r="F1126" s="37"/>
      <c r="G1126" s="37"/>
      <c r="H1126" s="37"/>
      <c r="I1126" s="37"/>
      <c r="J1126" s="37"/>
      <c r="K1126" s="37"/>
      <c r="L1126" s="37"/>
      <c r="M1126" s="37"/>
      <c r="N1126" s="37"/>
      <c r="O1126" s="37"/>
      <c r="P1126" s="37"/>
      <c r="Q1126" s="37"/>
      <c r="R1126" s="37"/>
      <c r="S1126" s="37"/>
      <c r="T1126" s="37"/>
      <c r="U1126" s="37"/>
      <c r="V1126" s="37"/>
      <c r="W1126" s="37"/>
      <c r="X1126" s="37"/>
      <c r="Y1126" s="37"/>
      <c r="Z1126" s="37"/>
    </row>
    <row r="1127" spans="1:26">
      <c r="A1127" s="39"/>
      <c r="B1127" s="37"/>
      <c r="C1127" s="37"/>
      <c r="D1127" s="37"/>
      <c r="E1127" s="37"/>
      <c r="F1127" s="37"/>
      <c r="G1127" s="37"/>
      <c r="H1127" s="37"/>
      <c r="I1127" s="37"/>
      <c r="J1127" s="37"/>
      <c r="K1127" s="37"/>
      <c r="L1127" s="37"/>
      <c r="M1127" s="37"/>
      <c r="N1127" s="37"/>
      <c r="O1127" s="37"/>
      <c r="P1127" s="37"/>
      <c r="Q1127" s="37"/>
      <c r="R1127" s="37"/>
      <c r="S1127" s="37"/>
      <c r="T1127" s="37"/>
      <c r="U1127" s="37"/>
      <c r="V1127" s="37"/>
      <c r="W1127" s="37"/>
      <c r="X1127" s="37"/>
      <c r="Y1127" s="37"/>
      <c r="Z1127" s="37"/>
    </row>
    <row r="1128" spans="1:26">
      <c r="A1128" s="39"/>
      <c r="B1128" s="37"/>
      <c r="C1128" s="37"/>
      <c r="D1128" s="37"/>
      <c r="E1128" s="37"/>
      <c r="F1128" s="37"/>
      <c r="G1128" s="37"/>
      <c r="H1128" s="37"/>
      <c r="I1128" s="37"/>
      <c r="J1128" s="37"/>
      <c r="K1128" s="37"/>
      <c r="L1128" s="37"/>
      <c r="M1128" s="37"/>
      <c r="N1128" s="37"/>
      <c r="O1128" s="37"/>
      <c r="P1128" s="37"/>
      <c r="Q1128" s="37"/>
      <c r="R1128" s="37"/>
      <c r="S1128" s="37"/>
      <c r="T1128" s="37"/>
      <c r="U1128" s="37"/>
      <c r="V1128" s="37"/>
      <c r="W1128" s="37"/>
      <c r="X1128" s="37"/>
      <c r="Y1128" s="37"/>
      <c r="Z1128" s="37"/>
    </row>
    <row r="1129" spans="1:26">
      <c r="A1129" s="39"/>
      <c r="B1129" s="37"/>
      <c r="C1129" s="37"/>
      <c r="D1129" s="37"/>
      <c r="E1129" s="37"/>
      <c r="F1129" s="37"/>
      <c r="G1129" s="37"/>
      <c r="H1129" s="37"/>
      <c r="I1129" s="37"/>
      <c r="J1129" s="37"/>
      <c r="K1129" s="37"/>
      <c r="L1129" s="37"/>
      <c r="M1129" s="37"/>
      <c r="N1129" s="37"/>
      <c r="O1129" s="37"/>
      <c r="P1129" s="37"/>
      <c r="Q1129" s="37"/>
      <c r="R1129" s="37"/>
      <c r="S1129" s="37"/>
      <c r="T1129" s="37"/>
      <c r="U1129" s="37"/>
      <c r="V1129" s="37"/>
      <c r="W1129" s="37"/>
      <c r="X1129" s="37"/>
      <c r="Y1129" s="37"/>
      <c r="Z1129" s="37"/>
    </row>
    <row r="1130" spans="1:26">
      <c r="A1130" s="39"/>
      <c r="B1130" s="37"/>
      <c r="C1130" s="37"/>
      <c r="D1130" s="37"/>
      <c r="E1130" s="37"/>
      <c r="F1130" s="37"/>
      <c r="G1130" s="37"/>
      <c r="H1130" s="37"/>
      <c r="I1130" s="37"/>
      <c r="J1130" s="37"/>
      <c r="K1130" s="37"/>
      <c r="L1130" s="37"/>
      <c r="M1130" s="37"/>
      <c r="N1130" s="37"/>
      <c r="O1130" s="37"/>
      <c r="P1130" s="37"/>
      <c r="Q1130" s="37"/>
      <c r="R1130" s="37"/>
      <c r="S1130" s="37"/>
      <c r="T1130" s="37"/>
      <c r="U1130" s="37"/>
      <c r="V1130" s="37"/>
      <c r="W1130" s="37"/>
      <c r="X1130" s="37"/>
      <c r="Y1130" s="37"/>
      <c r="Z1130" s="37"/>
    </row>
    <row r="1131" spans="1:26">
      <c r="A1131" s="39"/>
      <c r="B1131" s="37"/>
      <c r="C1131" s="37"/>
      <c r="D1131" s="37"/>
      <c r="E1131" s="37"/>
      <c r="F1131" s="37"/>
      <c r="G1131" s="37"/>
      <c r="H1131" s="37"/>
      <c r="I1131" s="37"/>
      <c r="J1131" s="37"/>
      <c r="K1131" s="37"/>
      <c r="L1131" s="37"/>
      <c r="M1131" s="37"/>
      <c r="N1131" s="37"/>
      <c r="O1131" s="37"/>
      <c r="P1131" s="37"/>
      <c r="Q1131" s="37"/>
      <c r="R1131" s="37"/>
      <c r="S1131" s="37"/>
      <c r="T1131" s="37"/>
      <c r="U1131" s="37"/>
      <c r="V1131" s="37"/>
      <c r="W1131" s="37"/>
      <c r="X1131" s="37"/>
      <c r="Y1131" s="37"/>
      <c r="Z1131" s="37"/>
    </row>
    <row r="1132" spans="1:26">
      <c r="A1132" s="39"/>
      <c r="B1132" s="37"/>
      <c r="C1132" s="37"/>
      <c r="D1132" s="37"/>
      <c r="E1132" s="37"/>
      <c r="F1132" s="37"/>
      <c r="G1132" s="37"/>
      <c r="H1132" s="37"/>
      <c r="I1132" s="37"/>
      <c r="J1132" s="37"/>
      <c r="K1132" s="37"/>
      <c r="L1132" s="37"/>
      <c r="M1132" s="37"/>
      <c r="N1132" s="37"/>
      <c r="O1132" s="37"/>
      <c r="P1132" s="37"/>
      <c r="Q1132" s="37"/>
      <c r="R1132" s="37"/>
      <c r="S1132" s="37"/>
      <c r="T1132" s="37"/>
      <c r="U1132" s="37"/>
      <c r="V1132" s="37"/>
      <c r="W1132" s="37"/>
      <c r="X1132" s="37"/>
      <c r="Y1132" s="37"/>
      <c r="Z1132" s="37"/>
    </row>
    <row r="1133" spans="1:26">
      <c r="A1133" s="39"/>
      <c r="B1133" s="37"/>
      <c r="C1133" s="37"/>
      <c r="D1133" s="37"/>
      <c r="E1133" s="37"/>
      <c r="F1133" s="37"/>
      <c r="G1133" s="37"/>
      <c r="H1133" s="37"/>
      <c r="I1133" s="37"/>
      <c r="J1133" s="37"/>
      <c r="K1133" s="37"/>
      <c r="L1133" s="37"/>
      <c r="M1133" s="37"/>
      <c r="N1133" s="37"/>
      <c r="O1133" s="37"/>
      <c r="P1133" s="37"/>
      <c r="Q1133" s="37"/>
      <c r="R1133" s="37"/>
      <c r="S1133" s="37"/>
      <c r="T1133" s="37"/>
      <c r="U1133" s="37"/>
      <c r="V1133" s="37"/>
      <c r="W1133" s="37"/>
      <c r="X1133" s="37"/>
      <c r="Y1133" s="37"/>
      <c r="Z1133" s="37"/>
    </row>
    <row r="1134" spans="1:26">
      <c r="A1134" s="39"/>
      <c r="B1134" s="37"/>
      <c r="C1134" s="37"/>
      <c r="D1134" s="37"/>
      <c r="E1134" s="37"/>
      <c r="F1134" s="37"/>
      <c r="G1134" s="37"/>
      <c r="H1134" s="37"/>
      <c r="I1134" s="37"/>
      <c r="J1134" s="37"/>
      <c r="K1134" s="37"/>
      <c r="L1134" s="37"/>
      <c r="M1134" s="37"/>
      <c r="N1134" s="37"/>
      <c r="O1134" s="37"/>
      <c r="P1134" s="37"/>
      <c r="Q1134" s="37"/>
      <c r="R1134" s="37"/>
      <c r="S1134" s="37"/>
      <c r="T1134" s="37"/>
      <c r="U1134" s="37"/>
      <c r="V1134" s="37"/>
      <c r="W1134" s="37"/>
      <c r="X1134" s="37"/>
      <c r="Y1134" s="37"/>
      <c r="Z1134" s="37"/>
    </row>
    <row r="1135" spans="1:26">
      <c r="A1135" s="39"/>
      <c r="B1135" s="37"/>
      <c r="C1135" s="37"/>
      <c r="D1135" s="37"/>
      <c r="E1135" s="37"/>
      <c r="F1135" s="37"/>
      <c r="G1135" s="37"/>
      <c r="H1135" s="37"/>
      <c r="I1135" s="37"/>
      <c r="J1135" s="37"/>
      <c r="K1135" s="37"/>
      <c r="L1135" s="37"/>
      <c r="M1135" s="37"/>
      <c r="N1135" s="37"/>
      <c r="O1135" s="37"/>
      <c r="P1135" s="37"/>
      <c r="Q1135" s="37"/>
      <c r="R1135" s="37"/>
      <c r="S1135" s="37"/>
      <c r="T1135" s="37"/>
      <c r="U1135" s="37"/>
      <c r="V1135" s="37"/>
      <c r="W1135" s="37"/>
      <c r="X1135" s="37"/>
      <c r="Y1135" s="37"/>
      <c r="Z1135" s="37"/>
    </row>
    <row r="1136" spans="1:26">
      <c r="A1136" s="39"/>
      <c r="B1136" s="37"/>
      <c r="C1136" s="37"/>
      <c r="D1136" s="37"/>
      <c r="E1136" s="37"/>
      <c r="F1136" s="37"/>
      <c r="G1136" s="37"/>
      <c r="H1136" s="37"/>
      <c r="I1136" s="37"/>
      <c r="J1136" s="37"/>
      <c r="K1136" s="37"/>
      <c r="L1136" s="37"/>
      <c r="M1136" s="37"/>
      <c r="N1136" s="37"/>
      <c r="O1136" s="37"/>
      <c r="P1136" s="37"/>
      <c r="Q1136" s="37"/>
      <c r="R1136" s="37"/>
      <c r="S1136" s="37"/>
      <c r="T1136" s="37"/>
      <c r="U1136" s="37"/>
      <c r="V1136" s="37"/>
      <c r="W1136" s="37"/>
      <c r="X1136" s="37"/>
      <c r="Y1136" s="37"/>
      <c r="Z1136" s="37"/>
    </row>
    <row r="1137" spans="1:26">
      <c r="A1137" s="39"/>
      <c r="B1137" s="37"/>
      <c r="C1137" s="37"/>
      <c r="D1137" s="37"/>
      <c r="E1137" s="37"/>
      <c r="F1137" s="37"/>
      <c r="G1137" s="37"/>
      <c r="H1137" s="37"/>
      <c r="I1137" s="37"/>
      <c r="J1137" s="37"/>
      <c r="K1137" s="37"/>
      <c r="L1137" s="37"/>
      <c r="M1137" s="37"/>
      <c r="N1137" s="37"/>
      <c r="O1137" s="37"/>
      <c r="P1137" s="37"/>
      <c r="Q1137" s="37"/>
      <c r="R1137" s="37"/>
      <c r="S1137" s="37"/>
      <c r="T1137" s="37"/>
      <c r="U1137" s="37"/>
      <c r="V1137" s="37"/>
      <c r="W1137" s="37"/>
      <c r="X1137" s="37"/>
      <c r="Y1137" s="37"/>
      <c r="Z1137" s="37"/>
    </row>
    <row r="1138" spans="1:26">
      <c r="A1138" s="39"/>
      <c r="B1138" s="37"/>
      <c r="C1138" s="37"/>
      <c r="D1138" s="37"/>
      <c r="E1138" s="37"/>
      <c r="F1138" s="37"/>
      <c r="G1138" s="37"/>
      <c r="H1138" s="37"/>
      <c r="I1138" s="37"/>
      <c r="J1138" s="37"/>
      <c r="K1138" s="37"/>
      <c r="L1138" s="37"/>
      <c r="M1138" s="37"/>
      <c r="N1138" s="37"/>
      <c r="O1138" s="37"/>
      <c r="P1138" s="37"/>
      <c r="Q1138" s="37"/>
      <c r="R1138" s="37"/>
      <c r="S1138" s="37"/>
      <c r="T1138" s="37"/>
      <c r="U1138" s="37"/>
      <c r="V1138" s="37"/>
      <c r="W1138" s="37"/>
      <c r="X1138" s="37"/>
      <c r="Y1138" s="37"/>
      <c r="Z1138" s="37"/>
    </row>
    <row r="1139" spans="1:26">
      <c r="A1139" s="39"/>
      <c r="B1139" s="37"/>
      <c r="C1139" s="37"/>
      <c r="D1139" s="37"/>
      <c r="E1139" s="37"/>
      <c r="F1139" s="37"/>
      <c r="G1139" s="37"/>
      <c r="H1139" s="37"/>
      <c r="I1139" s="37"/>
      <c r="J1139" s="37"/>
      <c r="K1139" s="37"/>
      <c r="L1139" s="37"/>
      <c r="M1139" s="37"/>
      <c r="N1139" s="37"/>
      <c r="O1139" s="37"/>
      <c r="P1139" s="37"/>
      <c r="Q1139" s="37"/>
      <c r="R1139" s="37"/>
      <c r="S1139" s="37"/>
      <c r="T1139" s="37"/>
      <c r="U1139" s="37"/>
      <c r="V1139" s="37"/>
      <c r="W1139" s="37"/>
      <c r="X1139" s="37"/>
      <c r="Y1139" s="37"/>
      <c r="Z1139" s="37"/>
    </row>
    <row r="1140" spans="1:26">
      <c r="A1140" s="39"/>
      <c r="B1140" s="37"/>
      <c r="C1140" s="37"/>
      <c r="D1140" s="37"/>
      <c r="E1140" s="37"/>
      <c r="F1140" s="37"/>
      <c r="G1140" s="37"/>
      <c r="H1140" s="37"/>
      <c r="I1140" s="37"/>
      <c r="J1140" s="37"/>
      <c r="K1140" s="37"/>
      <c r="L1140" s="37"/>
      <c r="M1140" s="37"/>
      <c r="N1140" s="37"/>
      <c r="O1140" s="37"/>
      <c r="P1140" s="37"/>
      <c r="Q1140" s="37"/>
      <c r="R1140" s="37"/>
      <c r="S1140" s="37"/>
      <c r="T1140" s="37"/>
      <c r="U1140" s="37"/>
      <c r="V1140" s="37"/>
      <c r="W1140" s="37"/>
      <c r="X1140" s="37"/>
      <c r="Y1140" s="37"/>
      <c r="Z1140" s="37"/>
    </row>
    <row r="1141" spans="1:26">
      <c r="A1141" s="39"/>
      <c r="B1141" s="37"/>
      <c r="C1141" s="37"/>
      <c r="D1141" s="37"/>
      <c r="E1141" s="37"/>
      <c r="F1141" s="37"/>
      <c r="G1141" s="37"/>
      <c r="H1141" s="37"/>
      <c r="I1141" s="37"/>
      <c r="J1141" s="37"/>
      <c r="K1141" s="37"/>
      <c r="L1141" s="37"/>
      <c r="M1141" s="37"/>
      <c r="N1141" s="37"/>
      <c r="O1141" s="37"/>
      <c r="P1141" s="37"/>
      <c r="Q1141" s="37"/>
      <c r="R1141" s="37"/>
      <c r="S1141" s="37"/>
      <c r="T1141" s="37"/>
      <c r="U1141" s="37"/>
      <c r="V1141" s="37"/>
      <c r="W1141" s="37"/>
      <c r="X1141" s="37"/>
      <c r="Y1141" s="37"/>
      <c r="Z1141" s="37"/>
    </row>
    <row r="1142" spans="1:26">
      <c r="A1142" s="39"/>
      <c r="B1142" s="37"/>
      <c r="C1142" s="37"/>
      <c r="D1142" s="37"/>
      <c r="E1142" s="37"/>
      <c r="F1142" s="37"/>
      <c r="G1142" s="37"/>
      <c r="H1142" s="37"/>
      <c r="I1142" s="37"/>
      <c r="J1142" s="37"/>
      <c r="K1142" s="37"/>
      <c r="L1142" s="37"/>
      <c r="M1142" s="37"/>
      <c r="N1142" s="37"/>
      <c r="O1142" s="37"/>
      <c r="P1142" s="37"/>
      <c r="Q1142" s="37"/>
      <c r="R1142" s="37"/>
      <c r="S1142" s="37"/>
      <c r="T1142" s="37"/>
      <c r="U1142" s="37"/>
      <c r="V1142" s="37"/>
      <c r="W1142" s="37"/>
      <c r="X1142" s="37"/>
      <c r="Y1142" s="37"/>
      <c r="Z1142" s="37"/>
    </row>
    <row r="1143" spans="1:26">
      <c r="A1143" s="39"/>
      <c r="B1143" s="37"/>
      <c r="C1143" s="37"/>
      <c r="D1143" s="37"/>
      <c r="E1143" s="37"/>
      <c r="F1143" s="37"/>
      <c r="G1143" s="37"/>
      <c r="H1143" s="37"/>
      <c r="I1143" s="37"/>
      <c r="J1143" s="37"/>
      <c r="K1143" s="37"/>
      <c r="L1143" s="37"/>
      <c r="M1143" s="37"/>
      <c r="N1143" s="37"/>
      <c r="O1143" s="37"/>
      <c r="P1143" s="37"/>
      <c r="Q1143" s="37"/>
      <c r="R1143" s="37"/>
      <c r="S1143" s="37"/>
      <c r="T1143" s="37"/>
      <c r="U1143" s="37"/>
      <c r="V1143" s="37"/>
      <c r="W1143" s="37"/>
      <c r="X1143" s="37"/>
      <c r="Y1143" s="37"/>
      <c r="Z1143" s="37"/>
    </row>
    <row r="1144" spans="1:26">
      <c r="A1144" s="39"/>
      <c r="B1144" s="37"/>
      <c r="C1144" s="37"/>
      <c r="D1144" s="37"/>
      <c r="E1144" s="37"/>
      <c r="F1144" s="37"/>
      <c r="G1144" s="37"/>
      <c r="H1144" s="37"/>
      <c r="I1144" s="37"/>
      <c r="J1144" s="37"/>
      <c r="K1144" s="37"/>
      <c r="L1144" s="37"/>
      <c r="M1144" s="37"/>
      <c r="N1144" s="37"/>
      <c r="O1144" s="37"/>
      <c r="P1144" s="37"/>
      <c r="Q1144" s="37"/>
      <c r="R1144" s="37"/>
      <c r="S1144" s="37"/>
      <c r="T1144" s="37"/>
      <c r="U1144" s="37"/>
      <c r="V1144" s="37"/>
      <c r="W1144" s="37"/>
      <c r="X1144" s="37"/>
      <c r="Y1144" s="37"/>
      <c r="Z1144" s="37"/>
    </row>
    <row r="1145" spans="1:26">
      <c r="A1145" s="39"/>
      <c r="B1145" s="37"/>
      <c r="C1145" s="37"/>
      <c r="D1145" s="37"/>
      <c r="E1145" s="37"/>
      <c r="F1145" s="37"/>
      <c r="G1145" s="37"/>
      <c r="H1145" s="37"/>
      <c r="I1145" s="37"/>
      <c r="J1145" s="37"/>
      <c r="K1145" s="37"/>
      <c r="L1145" s="37"/>
      <c r="M1145" s="37"/>
      <c r="N1145" s="37"/>
      <c r="O1145" s="37"/>
      <c r="P1145" s="37"/>
      <c r="Q1145" s="37"/>
      <c r="R1145" s="37"/>
      <c r="S1145" s="37"/>
      <c r="T1145" s="37"/>
      <c r="U1145" s="37"/>
      <c r="V1145" s="37"/>
      <c r="W1145" s="37"/>
      <c r="X1145" s="37"/>
      <c r="Y1145" s="37"/>
      <c r="Z1145" s="37"/>
    </row>
    <row r="1146" spans="1:26">
      <c r="A1146" s="39"/>
      <c r="B1146" s="37"/>
      <c r="C1146" s="37"/>
      <c r="D1146" s="37"/>
      <c r="E1146" s="37"/>
      <c r="F1146" s="37"/>
      <c r="G1146" s="37"/>
      <c r="H1146" s="37"/>
      <c r="I1146" s="37"/>
      <c r="J1146" s="37"/>
      <c r="K1146" s="37"/>
      <c r="L1146" s="37"/>
      <c r="M1146" s="37"/>
      <c r="N1146" s="37"/>
      <c r="O1146" s="37"/>
      <c r="P1146" s="37"/>
      <c r="Q1146" s="37"/>
      <c r="R1146" s="37"/>
      <c r="S1146" s="37"/>
      <c r="T1146" s="37"/>
      <c r="U1146" s="37"/>
      <c r="V1146" s="37"/>
      <c r="W1146" s="37"/>
      <c r="X1146" s="37"/>
      <c r="Y1146" s="37"/>
      <c r="Z1146" s="37"/>
    </row>
    <row r="1147" spans="1:26">
      <c r="A1147" s="39"/>
      <c r="B1147" s="37"/>
      <c r="C1147" s="37"/>
      <c r="D1147" s="37"/>
      <c r="E1147" s="37"/>
      <c r="F1147" s="37"/>
      <c r="G1147" s="37"/>
      <c r="H1147" s="37"/>
      <c r="I1147" s="37"/>
      <c r="J1147" s="37"/>
      <c r="K1147" s="37"/>
      <c r="L1147" s="37"/>
      <c r="M1147" s="37"/>
      <c r="N1147" s="37"/>
      <c r="O1147" s="37"/>
      <c r="P1147" s="37"/>
      <c r="Q1147" s="37"/>
      <c r="R1147" s="37"/>
      <c r="S1147" s="37"/>
      <c r="T1147" s="37"/>
      <c r="U1147" s="37"/>
      <c r="V1147" s="37"/>
      <c r="W1147" s="37"/>
      <c r="X1147" s="37"/>
      <c r="Y1147" s="37"/>
      <c r="Z1147" s="37"/>
    </row>
    <row r="1148" spans="1:26">
      <c r="A1148" s="39"/>
      <c r="B1148" s="37"/>
      <c r="C1148" s="37"/>
      <c r="D1148" s="37"/>
      <c r="E1148" s="37"/>
      <c r="F1148" s="37"/>
      <c r="G1148" s="37"/>
      <c r="H1148" s="37"/>
      <c r="I1148" s="37"/>
      <c r="J1148" s="37"/>
      <c r="K1148" s="37"/>
      <c r="L1148" s="37"/>
      <c r="M1148" s="37"/>
      <c r="N1148" s="37"/>
      <c r="O1148" s="37"/>
      <c r="P1148" s="37"/>
      <c r="Q1148" s="37"/>
      <c r="R1148" s="37"/>
      <c r="S1148" s="37"/>
      <c r="T1148" s="37"/>
      <c r="U1148" s="37"/>
      <c r="V1148" s="37"/>
      <c r="W1148" s="37"/>
      <c r="X1148" s="37"/>
      <c r="Y1148" s="37"/>
      <c r="Z1148" s="37"/>
    </row>
    <row r="1149" spans="1:26">
      <c r="A1149" s="39"/>
      <c r="B1149" s="37"/>
      <c r="C1149" s="37"/>
      <c r="D1149" s="37"/>
      <c r="E1149" s="37"/>
      <c r="F1149" s="37"/>
      <c r="G1149" s="37"/>
      <c r="H1149" s="37"/>
      <c r="I1149" s="37"/>
      <c r="J1149" s="37"/>
      <c r="K1149" s="37"/>
      <c r="L1149" s="37"/>
      <c r="M1149" s="37"/>
      <c r="N1149" s="37"/>
      <c r="O1149" s="37"/>
      <c r="P1149" s="37"/>
      <c r="Q1149" s="37"/>
      <c r="R1149" s="37"/>
      <c r="S1149" s="37"/>
      <c r="T1149" s="37"/>
      <c r="U1149" s="37"/>
      <c r="V1149" s="37"/>
      <c r="W1149" s="37"/>
      <c r="X1149" s="37"/>
      <c r="Y1149" s="37"/>
      <c r="Z1149" s="37"/>
    </row>
    <row r="1150" spans="1:26">
      <c r="A1150" s="39"/>
      <c r="B1150" s="37"/>
      <c r="C1150" s="37"/>
      <c r="D1150" s="37"/>
      <c r="E1150" s="37"/>
      <c r="F1150" s="37"/>
      <c r="G1150" s="37"/>
      <c r="H1150" s="37"/>
      <c r="I1150" s="37"/>
      <c r="J1150" s="37"/>
      <c r="K1150" s="37"/>
      <c r="L1150" s="37"/>
      <c r="M1150" s="37"/>
      <c r="N1150" s="37"/>
      <c r="O1150" s="37"/>
      <c r="P1150" s="37"/>
      <c r="Q1150" s="37"/>
      <c r="R1150" s="37"/>
      <c r="S1150" s="37"/>
      <c r="T1150" s="37"/>
      <c r="U1150" s="37"/>
      <c r="V1150" s="37"/>
      <c r="W1150" s="37"/>
      <c r="X1150" s="37"/>
      <c r="Y1150" s="37"/>
      <c r="Z1150" s="37"/>
    </row>
    <row r="1151" spans="1:26">
      <c r="A1151" s="39"/>
      <c r="B1151" s="37"/>
      <c r="C1151" s="37"/>
      <c r="D1151" s="37"/>
      <c r="E1151" s="37"/>
      <c r="F1151" s="37"/>
      <c r="G1151" s="37"/>
      <c r="H1151" s="37"/>
      <c r="I1151" s="37"/>
      <c r="J1151" s="37"/>
      <c r="K1151" s="37"/>
      <c r="L1151" s="37"/>
      <c r="M1151" s="37"/>
      <c r="N1151" s="37"/>
      <c r="O1151" s="37"/>
      <c r="P1151" s="37"/>
      <c r="Q1151" s="37"/>
      <c r="R1151" s="37"/>
      <c r="S1151" s="37"/>
      <c r="T1151" s="37"/>
      <c r="U1151" s="37"/>
      <c r="V1151" s="37"/>
      <c r="W1151" s="37"/>
      <c r="X1151" s="37"/>
      <c r="Y1151" s="37"/>
      <c r="Z1151" s="37"/>
    </row>
    <row r="1152" spans="1:26">
      <c r="A1152" s="39"/>
      <c r="B1152" s="37"/>
      <c r="C1152" s="37"/>
      <c r="D1152" s="37"/>
      <c r="E1152" s="37"/>
      <c r="F1152" s="37"/>
      <c r="G1152" s="37"/>
      <c r="H1152" s="37"/>
      <c r="I1152" s="37"/>
      <c r="J1152" s="37"/>
      <c r="K1152" s="37"/>
      <c r="L1152" s="37"/>
      <c r="M1152" s="37"/>
      <c r="N1152" s="37"/>
      <c r="O1152" s="37"/>
      <c r="P1152" s="37"/>
      <c r="Q1152" s="37"/>
      <c r="R1152" s="37"/>
      <c r="S1152" s="37"/>
      <c r="T1152" s="37"/>
      <c r="U1152" s="37"/>
      <c r="V1152" s="37"/>
      <c r="W1152" s="37"/>
      <c r="X1152" s="37"/>
      <c r="Y1152" s="37"/>
      <c r="Z1152" s="37"/>
    </row>
    <row r="1153" spans="1:26">
      <c r="A1153" s="39"/>
      <c r="B1153" s="37"/>
      <c r="C1153" s="37"/>
      <c r="D1153" s="37"/>
      <c r="E1153" s="37"/>
      <c r="F1153" s="37"/>
      <c r="G1153" s="37"/>
      <c r="H1153" s="37"/>
      <c r="I1153" s="37"/>
      <c r="J1153" s="37"/>
      <c r="K1153" s="37"/>
      <c r="L1153" s="37"/>
      <c r="M1153" s="37"/>
      <c r="N1153" s="37"/>
      <c r="O1153" s="37"/>
      <c r="P1153" s="37"/>
      <c r="Q1153" s="37"/>
      <c r="R1153" s="37"/>
      <c r="S1153" s="37"/>
      <c r="T1153" s="37"/>
      <c r="U1153" s="37"/>
      <c r="V1153" s="37"/>
      <c r="W1153" s="37"/>
      <c r="X1153" s="37"/>
      <c r="Y1153" s="37"/>
      <c r="Z1153" s="37"/>
    </row>
    <row r="1154" spans="1:26">
      <c r="A1154" s="39"/>
      <c r="B1154" s="37"/>
      <c r="C1154" s="37"/>
      <c r="D1154" s="37"/>
      <c r="E1154" s="37"/>
      <c r="F1154" s="37"/>
      <c r="G1154" s="37"/>
      <c r="H1154" s="37"/>
      <c r="I1154" s="37"/>
      <c r="J1154" s="37"/>
      <c r="K1154" s="37"/>
      <c r="L1154" s="37"/>
      <c r="M1154" s="37"/>
      <c r="N1154" s="37"/>
      <c r="O1154" s="37"/>
      <c r="P1154" s="37"/>
      <c r="Q1154" s="37"/>
      <c r="R1154" s="37"/>
      <c r="S1154" s="37"/>
      <c r="T1154" s="37"/>
      <c r="U1154" s="37"/>
      <c r="V1154" s="37"/>
      <c r="W1154" s="37"/>
      <c r="X1154" s="37"/>
      <c r="Y1154" s="37"/>
      <c r="Z1154" s="37"/>
    </row>
    <row r="1155" spans="1:26">
      <c r="A1155" s="39"/>
      <c r="B1155" s="37"/>
      <c r="C1155" s="37"/>
      <c r="D1155" s="37"/>
      <c r="E1155" s="37"/>
      <c r="F1155" s="37"/>
      <c r="G1155" s="37"/>
      <c r="H1155" s="37"/>
      <c r="I1155" s="37"/>
      <c r="J1155" s="37"/>
      <c r="K1155" s="37"/>
      <c r="L1155" s="37"/>
      <c r="M1155" s="37"/>
      <c r="N1155" s="37"/>
      <c r="O1155" s="37"/>
      <c r="P1155" s="37"/>
      <c r="Q1155" s="37"/>
      <c r="R1155" s="37"/>
      <c r="S1155" s="37"/>
      <c r="T1155" s="37"/>
      <c r="U1155" s="37"/>
      <c r="V1155" s="37"/>
      <c r="W1155" s="37"/>
      <c r="X1155" s="37"/>
      <c r="Y1155" s="37"/>
      <c r="Z1155" s="37"/>
    </row>
    <row r="1156" spans="1:26">
      <c r="A1156" s="39"/>
      <c r="B1156" s="37"/>
      <c r="C1156" s="37"/>
      <c r="D1156" s="37"/>
      <c r="E1156" s="37"/>
      <c r="F1156" s="37"/>
      <c r="G1156" s="37"/>
      <c r="H1156" s="37"/>
      <c r="I1156" s="37"/>
      <c r="J1156" s="37"/>
      <c r="K1156" s="37"/>
      <c r="L1156" s="37"/>
      <c r="M1156" s="37"/>
      <c r="N1156" s="37"/>
      <c r="O1156" s="37"/>
      <c r="P1156" s="37"/>
      <c r="Q1156" s="37"/>
      <c r="R1156" s="37"/>
      <c r="S1156" s="37"/>
      <c r="T1156" s="37"/>
      <c r="U1156" s="37"/>
      <c r="V1156" s="37"/>
      <c r="W1156" s="37"/>
      <c r="X1156" s="37"/>
      <c r="Y1156" s="37"/>
      <c r="Z1156" s="37"/>
    </row>
    <row r="1157" spans="1:26">
      <c r="A1157" s="39"/>
      <c r="B1157" s="37"/>
      <c r="C1157" s="37"/>
      <c r="D1157" s="37"/>
      <c r="E1157" s="37"/>
      <c r="F1157" s="37"/>
      <c r="G1157" s="37"/>
      <c r="H1157" s="37"/>
      <c r="I1157" s="37"/>
      <c r="J1157" s="37"/>
      <c r="K1157" s="37"/>
      <c r="L1157" s="37"/>
      <c r="M1157" s="37"/>
      <c r="N1157" s="37"/>
      <c r="O1157" s="37"/>
      <c r="P1157" s="37"/>
      <c r="Q1157" s="37"/>
      <c r="R1157" s="37"/>
      <c r="S1157" s="37"/>
      <c r="T1157" s="37"/>
      <c r="U1157" s="37"/>
      <c r="V1157" s="37"/>
      <c r="W1157" s="37"/>
      <c r="X1157" s="37"/>
      <c r="Y1157" s="37"/>
      <c r="Z1157" s="37"/>
    </row>
    <row r="1158" spans="1:26">
      <c r="A1158" s="39"/>
      <c r="B1158" s="37"/>
      <c r="C1158" s="37"/>
      <c r="D1158" s="37"/>
      <c r="E1158" s="37"/>
      <c r="F1158" s="37"/>
      <c r="G1158" s="37"/>
      <c r="H1158" s="37"/>
      <c r="I1158" s="37"/>
      <c r="J1158" s="37"/>
      <c r="K1158" s="37"/>
      <c r="L1158" s="37"/>
      <c r="M1158" s="37"/>
      <c r="N1158" s="37"/>
      <c r="O1158" s="37"/>
      <c r="P1158" s="37"/>
      <c r="Q1158" s="37"/>
      <c r="R1158" s="37"/>
      <c r="S1158" s="37"/>
      <c r="T1158" s="37"/>
      <c r="U1158" s="37"/>
      <c r="V1158" s="37"/>
      <c r="W1158" s="37"/>
      <c r="X1158" s="37"/>
      <c r="Y1158" s="37"/>
      <c r="Z1158" s="37"/>
    </row>
    <row r="1159" spans="1:26">
      <c r="A1159" s="39"/>
      <c r="B1159" s="37"/>
      <c r="C1159" s="37"/>
      <c r="D1159" s="37"/>
      <c r="E1159" s="37"/>
      <c r="F1159" s="37"/>
      <c r="G1159" s="37"/>
      <c r="H1159" s="37"/>
      <c r="I1159" s="37"/>
      <c r="J1159" s="37"/>
      <c r="K1159" s="37"/>
      <c r="L1159" s="37"/>
      <c r="M1159" s="37"/>
      <c r="N1159" s="37"/>
      <c r="O1159" s="37"/>
      <c r="P1159" s="37"/>
      <c r="Q1159" s="37"/>
      <c r="R1159" s="37"/>
      <c r="S1159" s="37"/>
      <c r="T1159" s="37"/>
      <c r="U1159" s="37"/>
      <c r="V1159" s="37"/>
      <c r="W1159" s="37"/>
      <c r="X1159" s="37"/>
      <c r="Y1159" s="37"/>
      <c r="Z1159" s="37"/>
    </row>
    <row r="1160" spans="1:26">
      <c r="A1160" s="39"/>
      <c r="B1160" s="37"/>
      <c r="C1160" s="37"/>
      <c r="D1160" s="37"/>
      <c r="E1160" s="37"/>
      <c r="F1160" s="37"/>
      <c r="G1160" s="37"/>
      <c r="H1160" s="37"/>
      <c r="I1160" s="37"/>
      <c r="J1160" s="37"/>
      <c r="K1160" s="37"/>
      <c r="L1160" s="37"/>
      <c r="M1160" s="37"/>
      <c r="N1160" s="37"/>
      <c r="O1160" s="37"/>
      <c r="P1160" s="37"/>
      <c r="Q1160" s="37"/>
      <c r="R1160" s="37"/>
      <c r="S1160" s="37"/>
      <c r="T1160" s="37"/>
      <c r="U1160" s="37"/>
      <c r="V1160" s="37"/>
      <c r="W1160" s="37"/>
      <c r="X1160" s="37"/>
      <c r="Y1160" s="37"/>
      <c r="Z1160" s="37"/>
    </row>
    <row r="1161" spans="1:26">
      <c r="A1161" s="39"/>
      <c r="B1161" s="37"/>
      <c r="C1161" s="37"/>
      <c r="D1161" s="37"/>
      <c r="E1161" s="37"/>
      <c r="F1161" s="37"/>
      <c r="G1161" s="37"/>
      <c r="H1161" s="37"/>
      <c r="I1161" s="37"/>
      <c r="J1161" s="37"/>
      <c r="K1161" s="37"/>
      <c r="L1161" s="37"/>
      <c r="M1161" s="37"/>
      <c r="N1161" s="37"/>
      <c r="O1161" s="37"/>
      <c r="P1161" s="37"/>
      <c r="Q1161" s="37"/>
      <c r="R1161" s="37"/>
      <c r="S1161" s="37"/>
      <c r="T1161" s="37"/>
      <c r="U1161" s="37"/>
      <c r="V1161" s="37"/>
      <c r="W1161" s="37"/>
      <c r="X1161" s="37"/>
      <c r="Y1161" s="37"/>
      <c r="Z1161" s="37"/>
    </row>
    <row r="1162" spans="1:26">
      <c r="A1162" s="39"/>
      <c r="B1162" s="37"/>
      <c r="C1162" s="37"/>
      <c r="D1162" s="37"/>
      <c r="E1162" s="37"/>
      <c r="F1162" s="37"/>
      <c r="G1162" s="37"/>
      <c r="H1162" s="37"/>
      <c r="I1162" s="37"/>
      <c r="J1162" s="37"/>
      <c r="K1162" s="37"/>
      <c r="L1162" s="37"/>
      <c r="M1162" s="37"/>
      <c r="N1162" s="37"/>
      <c r="O1162" s="37"/>
      <c r="P1162" s="37"/>
      <c r="Q1162" s="37"/>
      <c r="R1162" s="37"/>
      <c r="S1162" s="37"/>
      <c r="T1162" s="37"/>
      <c r="U1162" s="37"/>
      <c r="V1162" s="37"/>
      <c r="W1162" s="37"/>
      <c r="X1162" s="37"/>
      <c r="Y1162" s="37"/>
      <c r="Z1162" s="37"/>
    </row>
    <row r="1163" spans="1:26">
      <c r="A1163" s="39"/>
      <c r="B1163" s="37"/>
      <c r="C1163" s="37"/>
      <c r="D1163" s="37"/>
      <c r="E1163" s="37"/>
      <c r="F1163" s="37"/>
      <c r="G1163" s="37"/>
      <c r="H1163" s="37"/>
      <c r="I1163" s="37"/>
      <c r="J1163" s="37"/>
      <c r="K1163" s="37"/>
      <c r="L1163" s="37"/>
      <c r="M1163" s="37"/>
      <c r="N1163" s="37"/>
      <c r="O1163" s="37"/>
      <c r="P1163" s="37"/>
      <c r="Q1163" s="37"/>
      <c r="R1163" s="37"/>
      <c r="S1163" s="37"/>
      <c r="T1163" s="37"/>
      <c r="U1163" s="37"/>
      <c r="V1163" s="37"/>
      <c r="W1163" s="37"/>
      <c r="X1163" s="37"/>
      <c r="Y1163" s="37"/>
      <c r="Z1163" s="37"/>
    </row>
    <row r="1164" spans="1:26">
      <c r="A1164" s="39"/>
      <c r="B1164" s="37"/>
      <c r="C1164" s="37"/>
      <c r="D1164" s="37"/>
      <c r="E1164" s="37"/>
      <c r="F1164" s="37"/>
      <c r="G1164" s="37"/>
      <c r="H1164" s="37"/>
      <c r="I1164" s="37"/>
      <c r="J1164" s="37"/>
      <c r="K1164" s="37"/>
      <c r="L1164" s="37"/>
      <c r="M1164" s="37"/>
      <c r="N1164" s="37"/>
      <c r="O1164" s="37"/>
      <c r="P1164" s="37"/>
      <c r="Q1164" s="37"/>
      <c r="R1164" s="37"/>
      <c r="S1164" s="37"/>
      <c r="T1164" s="37"/>
      <c r="U1164" s="37"/>
      <c r="V1164" s="37"/>
      <c r="W1164" s="37"/>
      <c r="X1164" s="37"/>
      <c r="Y1164" s="37"/>
      <c r="Z1164" s="37"/>
    </row>
    <row r="1165" spans="1:26">
      <c r="A1165" s="39"/>
      <c r="B1165" s="37"/>
      <c r="C1165" s="37"/>
      <c r="D1165" s="37"/>
      <c r="E1165" s="37"/>
      <c r="F1165" s="37"/>
      <c r="G1165" s="37"/>
      <c r="H1165" s="37"/>
      <c r="I1165" s="37"/>
      <c r="J1165" s="37"/>
      <c r="K1165" s="37"/>
      <c r="L1165" s="37"/>
      <c r="M1165" s="37"/>
      <c r="N1165" s="37"/>
      <c r="O1165" s="37"/>
      <c r="P1165" s="37"/>
      <c r="Q1165" s="37"/>
      <c r="R1165" s="37"/>
      <c r="S1165" s="37"/>
      <c r="T1165" s="37"/>
      <c r="U1165" s="37"/>
      <c r="V1165" s="37"/>
      <c r="W1165" s="37"/>
      <c r="X1165" s="37"/>
      <c r="Y1165" s="37"/>
      <c r="Z1165" s="37"/>
    </row>
    <row r="1166" spans="1:26">
      <c r="A1166" s="39"/>
      <c r="B1166" s="37"/>
      <c r="C1166" s="37"/>
      <c r="D1166" s="37"/>
      <c r="E1166" s="37"/>
      <c r="F1166" s="37"/>
      <c r="G1166" s="37"/>
      <c r="H1166" s="37"/>
      <c r="I1166" s="37"/>
      <c r="J1166" s="37"/>
      <c r="K1166" s="37"/>
      <c r="L1166" s="37"/>
      <c r="M1166" s="37"/>
      <c r="N1166" s="37"/>
      <c r="O1166" s="37"/>
      <c r="P1166" s="37"/>
      <c r="Q1166" s="37"/>
      <c r="R1166" s="37"/>
      <c r="S1166" s="37"/>
      <c r="T1166" s="37"/>
      <c r="U1166" s="37"/>
      <c r="V1166" s="37"/>
      <c r="W1166" s="37"/>
      <c r="X1166" s="37"/>
      <c r="Y1166" s="37"/>
      <c r="Z1166" s="37"/>
    </row>
    <row r="1167" spans="1:26">
      <c r="A1167" s="39"/>
      <c r="B1167" s="37"/>
      <c r="C1167" s="37"/>
      <c r="D1167" s="37"/>
      <c r="E1167" s="37"/>
      <c r="F1167" s="37"/>
      <c r="G1167" s="37"/>
      <c r="H1167" s="37"/>
      <c r="I1167" s="37"/>
      <c r="J1167" s="37"/>
      <c r="K1167" s="37"/>
      <c r="L1167" s="37"/>
      <c r="M1167" s="37"/>
      <c r="N1167" s="37"/>
      <c r="O1167" s="37"/>
      <c r="P1167" s="37"/>
      <c r="Q1167" s="37"/>
      <c r="R1167" s="37"/>
      <c r="S1167" s="37"/>
      <c r="T1167" s="37"/>
      <c r="U1167" s="37"/>
      <c r="V1167" s="37"/>
      <c r="W1167" s="37"/>
      <c r="X1167" s="37"/>
      <c r="Y1167" s="37"/>
      <c r="Z1167" s="37"/>
    </row>
    <row r="1168" spans="1:26">
      <c r="A1168" s="39"/>
      <c r="B1168" s="37"/>
      <c r="C1168" s="37"/>
      <c r="D1168" s="37"/>
      <c r="E1168" s="37"/>
      <c r="F1168" s="37"/>
      <c r="G1168" s="37"/>
      <c r="H1168" s="37"/>
      <c r="I1168" s="37"/>
      <c r="J1168" s="37"/>
      <c r="K1168" s="37"/>
      <c r="L1168" s="37"/>
      <c r="M1168" s="37"/>
      <c r="N1168" s="37"/>
      <c r="O1168" s="37"/>
      <c r="P1168" s="37"/>
      <c r="Q1168" s="37"/>
      <c r="R1168" s="37"/>
      <c r="S1168" s="37"/>
      <c r="T1168" s="37"/>
      <c r="U1168" s="37"/>
      <c r="V1168" s="37"/>
      <c r="W1168" s="37"/>
      <c r="X1168" s="37"/>
      <c r="Y1168" s="37"/>
      <c r="Z1168" s="37"/>
    </row>
    <row r="1169" spans="1:26">
      <c r="A1169" s="39"/>
      <c r="B1169" s="37"/>
      <c r="C1169" s="37"/>
      <c r="D1169" s="37"/>
      <c r="E1169" s="37"/>
      <c r="F1169" s="37"/>
      <c r="G1169" s="37"/>
      <c r="H1169" s="37"/>
      <c r="I1169" s="37"/>
      <c r="J1169" s="37"/>
      <c r="K1169" s="37"/>
      <c r="L1169" s="37"/>
      <c r="M1169" s="37"/>
      <c r="N1169" s="37"/>
      <c r="O1169" s="37"/>
      <c r="P1169" s="37"/>
      <c r="Q1169" s="37"/>
      <c r="R1169" s="37"/>
      <c r="S1169" s="37"/>
      <c r="T1169" s="37"/>
      <c r="U1169" s="37"/>
      <c r="V1169" s="37"/>
      <c r="W1169" s="37"/>
      <c r="X1169" s="37"/>
      <c r="Y1169" s="37"/>
      <c r="Z1169" s="37"/>
    </row>
    <row r="1170" spans="1:26">
      <c r="A1170" s="39"/>
      <c r="B1170" s="37"/>
      <c r="C1170" s="37"/>
      <c r="D1170" s="37"/>
      <c r="E1170" s="37"/>
      <c r="F1170" s="37"/>
      <c r="G1170" s="37"/>
      <c r="H1170" s="37"/>
      <c r="I1170" s="37"/>
      <c r="J1170" s="37"/>
      <c r="K1170" s="37"/>
      <c r="L1170" s="37"/>
      <c r="M1170" s="37"/>
      <c r="N1170" s="37"/>
      <c r="O1170" s="37"/>
      <c r="P1170" s="37"/>
      <c r="Q1170" s="37"/>
      <c r="R1170" s="37"/>
      <c r="S1170" s="37"/>
      <c r="T1170" s="37"/>
      <c r="U1170" s="37"/>
      <c r="V1170" s="37"/>
      <c r="W1170" s="37"/>
      <c r="X1170" s="37"/>
      <c r="Y1170" s="37"/>
      <c r="Z1170" s="37"/>
    </row>
    <row r="1171" spans="1:26">
      <c r="A1171" s="39"/>
      <c r="B1171" s="37"/>
      <c r="C1171" s="37"/>
      <c r="D1171" s="37"/>
      <c r="E1171" s="37"/>
      <c r="F1171" s="37"/>
      <c r="G1171" s="37"/>
      <c r="H1171" s="37"/>
      <c r="I1171" s="37"/>
      <c r="J1171" s="37"/>
      <c r="K1171" s="37"/>
      <c r="L1171" s="37"/>
      <c r="M1171" s="37"/>
      <c r="N1171" s="37"/>
      <c r="O1171" s="37"/>
      <c r="P1171" s="37"/>
      <c r="Q1171" s="37"/>
      <c r="R1171" s="37"/>
      <c r="S1171" s="37"/>
      <c r="T1171" s="37"/>
      <c r="U1171" s="37"/>
      <c r="V1171" s="37"/>
      <c r="W1171" s="37"/>
      <c r="X1171" s="37"/>
      <c r="Y1171" s="37"/>
      <c r="Z1171" s="37"/>
    </row>
    <row r="1172" spans="1:26">
      <c r="A1172" s="39"/>
      <c r="B1172" s="37"/>
      <c r="C1172" s="37"/>
      <c r="D1172" s="37"/>
      <c r="E1172" s="37"/>
      <c r="F1172" s="37"/>
      <c r="G1172" s="37"/>
      <c r="H1172" s="37"/>
      <c r="I1172" s="37"/>
      <c r="J1172" s="37"/>
      <c r="K1172" s="37"/>
      <c r="L1172" s="37"/>
      <c r="M1172" s="37"/>
      <c r="N1172" s="37"/>
      <c r="O1172" s="37"/>
      <c r="P1172" s="37"/>
      <c r="Q1172" s="37"/>
      <c r="R1172" s="37"/>
      <c r="S1172" s="37"/>
      <c r="T1172" s="37"/>
      <c r="U1172" s="37"/>
      <c r="V1172" s="37"/>
      <c r="W1172" s="37"/>
      <c r="X1172" s="37"/>
      <c r="Y1172" s="37"/>
      <c r="Z1172" s="37"/>
    </row>
    <row r="1173" spans="1:26">
      <c r="A1173" s="39"/>
      <c r="B1173" s="37"/>
      <c r="C1173" s="37"/>
      <c r="D1173" s="37"/>
      <c r="E1173" s="37"/>
      <c r="F1173" s="37"/>
      <c r="G1173" s="37"/>
      <c r="H1173" s="37"/>
      <c r="I1173" s="37"/>
      <c r="J1173" s="37"/>
      <c r="K1173" s="37"/>
      <c r="L1173" s="37"/>
      <c r="M1173" s="37"/>
      <c r="N1173" s="37"/>
      <c r="O1173" s="37"/>
      <c r="P1173" s="37"/>
      <c r="Q1173" s="37"/>
      <c r="R1173" s="37"/>
      <c r="S1173" s="37"/>
      <c r="T1173" s="37"/>
      <c r="U1173" s="37"/>
      <c r="V1173" s="37"/>
      <c r="W1173" s="37"/>
      <c r="X1173" s="37"/>
      <c r="Y1173" s="37"/>
      <c r="Z1173" s="37"/>
    </row>
    <row r="1174" spans="1:26">
      <c r="A1174" s="39"/>
      <c r="B1174" s="37"/>
      <c r="C1174" s="37"/>
      <c r="D1174" s="37"/>
      <c r="E1174" s="37"/>
      <c r="F1174" s="37"/>
      <c r="G1174" s="37"/>
      <c r="H1174" s="37"/>
      <c r="I1174" s="37"/>
      <c r="J1174" s="37"/>
      <c r="K1174" s="37"/>
      <c r="L1174" s="37"/>
      <c r="M1174" s="37"/>
      <c r="N1174" s="37"/>
      <c r="O1174" s="37"/>
      <c r="P1174" s="37"/>
      <c r="Q1174" s="37"/>
      <c r="R1174" s="37"/>
      <c r="S1174" s="37"/>
      <c r="T1174" s="37"/>
      <c r="U1174" s="37"/>
      <c r="V1174" s="37"/>
      <c r="W1174" s="37"/>
      <c r="X1174" s="37"/>
      <c r="Y1174" s="37"/>
      <c r="Z1174" s="37"/>
    </row>
    <row r="1175" spans="1:26">
      <c r="A1175" s="39"/>
      <c r="B1175" s="37"/>
      <c r="C1175" s="37"/>
      <c r="D1175" s="37"/>
      <c r="E1175" s="37"/>
      <c r="F1175" s="37"/>
      <c r="G1175" s="37"/>
      <c r="H1175" s="37"/>
      <c r="I1175" s="37"/>
      <c r="J1175" s="37"/>
      <c r="K1175" s="37"/>
      <c r="L1175" s="37"/>
      <c r="M1175" s="37"/>
      <c r="N1175" s="37"/>
      <c r="O1175" s="37"/>
      <c r="P1175" s="37"/>
      <c r="Q1175" s="37"/>
      <c r="R1175" s="37"/>
      <c r="S1175" s="37"/>
      <c r="T1175" s="37"/>
      <c r="U1175" s="37"/>
      <c r="V1175" s="37"/>
      <c r="W1175" s="37"/>
      <c r="X1175" s="37"/>
      <c r="Y1175" s="37"/>
      <c r="Z1175" s="37"/>
    </row>
    <row r="1176" spans="1:26">
      <c r="A1176" s="39"/>
      <c r="B1176" s="37"/>
      <c r="C1176" s="37"/>
      <c r="D1176" s="37"/>
      <c r="E1176" s="37"/>
      <c r="F1176" s="37"/>
      <c r="G1176" s="37"/>
      <c r="H1176" s="37"/>
      <c r="I1176" s="37"/>
      <c r="J1176" s="37"/>
      <c r="K1176" s="37"/>
      <c r="L1176" s="37"/>
      <c r="M1176" s="37"/>
      <c r="N1176" s="37"/>
      <c r="O1176" s="37"/>
      <c r="P1176" s="37"/>
      <c r="Q1176" s="37"/>
      <c r="R1176" s="37"/>
      <c r="S1176" s="37"/>
      <c r="T1176" s="37"/>
      <c r="U1176" s="37"/>
      <c r="V1176" s="37"/>
      <c r="W1176" s="37"/>
      <c r="X1176" s="37"/>
      <c r="Y1176" s="37"/>
      <c r="Z1176" s="37"/>
    </row>
    <row r="1177" spans="1:26">
      <c r="A1177" s="39"/>
      <c r="B1177" s="37"/>
      <c r="C1177" s="37"/>
      <c r="D1177" s="37"/>
      <c r="E1177" s="37"/>
      <c r="F1177" s="37"/>
      <c r="G1177" s="37"/>
      <c r="H1177" s="37"/>
      <c r="I1177" s="37"/>
      <c r="J1177" s="37"/>
      <c r="K1177" s="37"/>
      <c r="L1177" s="37"/>
      <c r="M1177" s="37"/>
      <c r="N1177" s="37"/>
      <c r="O1177" s="37"/>
      <c r="P1177" s="37"/>
      <c r="Q1177" s="37"/>
      <c r="R1177" s="37"/>
      <c r="S1177" s="37"/>
      <c r="T1177" s="37"/>
      <c r="U1177" s="37"/>
      <c r="V1177" s="37"/>
      <c r="W1177" s="37"/>
      <c r="X1177" s="37"/>
      <c r="Y1177" s="37"/>
      <c r="Z1177" s="37"/>
    </row>
    <row r="1178" spans="1:26">
      <c r="A1178" s="39"/>
      <c r="B1178" s="37"/>
      <c r="C1178" s="37"/>
      <c r="D1178" s="37"/>
      <c r="E1178" s="37"/>
      <c r="F1178" s="37"/>
      <c r="G1178" s="37"/>
      <c r="H1178" s="37"/>
      <c r="I1178" s="37"/>
      <c r="J1178" s="37"/>
      <c r="K1178" s="37"/>
      <c r="L1178" s="37"/>
      <c r="M1178" s="37"/>
      <c r="N1178" s="37"/>
      <c r="O1178" s="37"/>
      <c r="P1178" s="37"/>
      <c r="Q1178" s="37"/>
      <c r="R1178" s="37"/>
      <c r="S1178" s="37"/>
      <c r="T1178" s="37"/>
      <c r="U1178" s="37"/>
      <c r="V1178" s="37"/>
      <c r="W1178" s="37"/>
      <c r="X1178" s="37"/>
      <c r="Y1178" s="37"/>
      <c r="Z1178" s="37"/>
    </row>
    <row r="1179" spans="1:26">
      <c r="A1179" s="39"/>
      <c r="B1179" s="37"/>
      <c r="C1179" s="37"/>
      <c r="D1179" s="37"/>
      <c r="E1179" s="37"/>
      <c r="F1179" s="37"/>
      <c r="G1179" s="37"/>
      <c r="H1179" s="37"/>
      <c r="I1179" s="37"/>
      <c r="J1179" s="37"/>
      <c r="K1179" s="37"/>
      <c r="L1179" s="37"/>
      <c r="M1179" s="37"/>
      <c r="N1179" s="37"/>
      <c r="O1179" s="37"/>
      <c r="P1179" s="37"/>
      <c r="Q1179" s="37"/>
      <c r="R1179" s="37"/>
      <c r="S1179" s="37"/>
      <c r="T1179" s="37"/>
      <c r="U1179" s="37"/>
      <c r="V1179" s="37"/>
      <c r="W1179" s="37"/>
      <c r="X1179" s="37"/>
      <c r="Y1179" s="37"/>
      <c r="Z1179" s="37"/>
    </row>
    <row r="1180" spans="1:26">
      <c r="A1180" s="39"/>
      <c r="B1180" s="37"/>
      <c r="C1180" s="37"/>
      <c r="D1180" s="37"/>
      <c r="E1180" s="37"/>
      <c r="F1180" s="37"/>
      <c r="G1180" s="37"/>
      <c r="H1180" s="37"/>
      <c r="I1180" s="37"/>
      <c r="J1180" s="37"/>
      <c r="K1180" s="37"/>
      <c r="L1180" s="37"/>
      <c r="M1180" s="37"/>
      <c r="N1180" s="37"/>
      <c r="O1180" s="37"/>
      <c r="P1180" s="37"/>
      <c r="Q1180" s="37"/>
      <c r="R1180" s="37"/>
      <c r="S1180" s="37"/>
      <c r="T1180" s="37"/>
      <c r="U1180" s="37"/>
      <c r="V1180" s="37"/>
      <c r="W1180" s="37"/>
      <c r="X1180" s="37"/>
      <c r="Y1180" s="37"/>
      <c r="Z1180" s="37"/>
    </row>
    <row r="1181" spans="1:26">
      <c r="A1181" s="39"/>
      <c r="B1181" s="37"/>
      <c r="C1181" s="37"/>
      <c r="D1181" s="37"/>
      <c r="E1181" s="37"/>
      <c r="F1181" s="37"/>
      <c r="G1181" s="37"/>
      <c r="H1181" s="37"/>
      <c r="I1181" s="37"/>
      <c r="J1181" s="37"/>
      <c r="K1181" s="37"/>
      <c r="L1181" s="37"/>
      <c r="M1181" s="37"/>
      <c r="N1181" s="37"/>
      <c r="O1181" s="37"/>
      <c r="P1181" s="37"/>
      <c r="Q1181" s="37"/>
      <c r="R1181" s="37"/>
      <c r="S1181" s="37"/>
      <c r="T1181" s="37"/>
      <c r="U1181" s="37"/>
      <c r="V1181" s="37"/>
      <c r="W1181" s="37"/>
      <c r="X1181" s="37"/>
      <c r="Y1181" s="37"/>
      <c r="Z1181" s="37"/>
    </row>
    <row r="1182" spans="1:26">
      <c r="A1182" s="39"/>
      <c r="B1182" s="37"/>
      <c r="C1182" s="37"/>
      <c r="D1182" s="37"/>
      <c r="E1182" s="37"/>
      <c r="F1182" s="37"/>
      <c r="G1182" s="37"/>
      <c r="H1182" s="37"/>
      <c r="I1182" s="37"/>
      <c r="J1182" s="37"/>
      <c r="K1182" s="37"/>
      <c r="L1182" s="37"/>
      <c r="M1182" s="37"/>
      <c r="N1182" s="37"/>
      <c r="O1182" s="37"/>
      <c r="P1182" s="37"/>
      <c r="Q1182" s="37"/>
      <c r="R1182" s="37"/>
      <c r="S1182" s="37"/>
      <c r="T1182" s="37"/>
      <c r="U1182" s="37"/>
      <c r="V1182" s="37"/>
      <c r="W1182" s="37"/>
      <c r="X1182" s="37"/>
      <c r="Y1182" s="37"/>
      <c r="Z1182" s="37"/>
    </row>
    <row r="1183" spans="1:26">
      <c r="A1183" s="39"/>
      <c r="B1183" s="37"/>
      <c r="C1183" s="37"/>
      <c r="D1183" s="37"/>
      <c r="E1183" s="37"/>
      <c r="F1183" s="37"/>
      <c r="G1183" s="37"/>
      <c r="H1183" s="37"/>
      <c r="I1183" s="37"/>
      <c r="J1183" s="37"/>
      <c r="K1183" s="37"/>
      <c r="L1183" s="37"/>
      <c r="M1183" s="37"/>
      <c r="N1183" s="37"/>
      <c r="O1183" s="37"/>
      <c r="P1183" s="37"/>
      <c r="Q1183" s="37"/>
      <c r="R1183" s="37"/>
      <c r="S1183" s="37"/>
      <c r="T1183" s="37"/>
      <c r="U1183" s="37"/>
      <c r="V1183" s="37"/>
      <c r="W1183" s="37"/>
      <c r="X1183" s="37"/>
      <c r="Y1183" s="37"/>
      <c r="Z1183" s="37"/>
    </row>
    <row r="1184" spans="1:26">
      <c r="A1184" s="39"/>
      <c r="B1184" s="37"/>
      <c r="C1184" s="37"/>
      <c r="D1184" s="37"/>
      <c r="E1184" s="37"/>
      <c r="F1184" s="37"/>
      <c r="G1184" s="37"/>
      <c r="H1184" s="37"/>
      <c r="I1184" s="37"/>
      <c r="J1184" s="37"/>
      <c r="K1184" s="37"/>
      <c r="L1184" s="37"/>
      <c r="M1184" s="37"/>
      <c r="N1184" s="37"/>
      <c r="O1184" s="37"/>
      <c r="P1184" s="37"/>
      <c r="Q1184" s="37"/>
      <c r="R1184" s="37"/>
      <c r="S1184" s="37"/>
      <c r="T1184" s="37"/>
      <c r="U1184" s="37"/>
      <c r="V1184" s="37"/>
      <c r="W1184" s="37"/>
      <c r="X1184" s="37"/>
      <c r="Y1184" s="37"/>
      <c r="Z1184" s="37"/>
    </row>
    <row r="1185" spans="1:26">
      <c r="A1185" s="39"/>
      <c r="B1185" s="37"/>
      <c r="C1185" s="37"/>
      <c r="D1185" s="37"/>
      <c r="E1185" s="37"/>
      <c r="F1185" s="37"/>
      <c r="G1185" s="37"/>
      <c r="H1185" s="37"/>
      <c r="I1185" s="37"/>
      <c r="J1185" s="37"/>
      <c r="K1185" s="37"/>
      <c r="L1185" s="37"/>
      <c r="M1185" s="37"/>
      <c r="N1185" s="37"/>
      <c r="O1185" s="37"/>
      <c r="P1185" s="37"/>
      <c r="Q1185" s="37"/>
      <c r="R1185" s="37"/>
      <c r="S1185" s="37"/>
      <c r="T1185" s="37"/>
      <c r="U1185" s="37"/>
      <c r="V1185" s="37"/>
      <c r="W1185" s="37"/>
      <c r="X1185" s="37"/>
      <c r="Y1185" s="37"/>
      <c r="Z1185" s="37"/>
    </row>
    <row r="1186" spans="1:26">
      <c r="A1186" s="39"/>
      <c r="B1186" s="37"/>
      <c r="C1186" s="37"/>
      <c r="D1186" s="37"/>
      <c r="E1186" s="37"/>
      <c r="F1186" s="37"/>
      <c r="G1186" s="37"/>
      <c r="H1186" s="37"/>
      <c r="I1186" s="37"/>
      <c r="J1186" s="37"/>
      <c r="K1186" s="37"/>
      <c r="L1186" s="37"/>
      <c r="M1186" s="37"/>
      <c r="N1186" s="37"/>
      <c r="O1186" s="37"/>
      <c r="P1186" s="37"/>
      <c r="Q1186" s="37"/>
      <c r="R1186" s="37"/>
      <c r="S1186" s="37"/>
      <c r="T1186" s="37"/>
      <c r="U1186" s="37"/>
      <c r="V1186" s="37"/>
      <c r="W1186" s="37"/>
      <c r="X1186" s="37"/>
      <c r="Y1186" s="37"/>
      <c r="Z1186" s="37"/>
    </row>
    <row r="1187" spans="1:26">
      <c r="A1187" s="39"/>
      <c r="B1187" s="37"/>
      <c r="C1187" s="37"/>
      <c r="D1187" s="37"/>
      <c r="E1187" s="37"/>
      <c r="F1187" s="37"/>
      <c r="G1187" s="37"/>
      <c r="H1187" s="37"/>
      <c r="I1187" s="37"/>
      <c r="J1187" s="37"/>
      <c r="K1187" s="37"/>
      <c r="L1187" s="37"/>
      <c r="M1187" s="37"/>
      <c r="N1187" s="37"/>
      <c r="O1187" s="37"/>
      <c r="P1187" s="37"/>
      <c r="Q1187" s="37"/>
      <c r="R1187" s="37"/>
      <c r="S1187" s="37"/>
      <c r="T1187" s="37"/>
      <c r="U1187" s="37"/>
      <c r="V1187" s="37"/>
      <c r="W1187" s="37"/>
      <c r="X1187" s="37"/>
      <c r="Y1187" s="37"/>
      <c r="Z1187" s="37"/>
    </row>
    <row r="1188" spans="1:26">
      <c r="A1188" s="39"/>
      <c r="B1188" s="37"/>
      <c r="C1188" s="37"/>
      <c r="D1188" s="37"/>
      <c r="E1188" s="37"/>
      <c r="F1188" s="37"/>
      <c r="G1188" s="37"/>
      <c r="H1188" s="37"/>
      <c r="I1188" s="37"/>
      <c r="J1188" s="37"/>
      <c r="K1188" s="37"/>
      <c r="L1188" s="37"/>
      <c r="M1188" s="37"/>
      <c r="N1188" s="37"/>
      <c r="O1188" s="37"/>
      <c r="P1188" s="37"/>
      <c r="Q1188" s="37"/>
      <c r="R1188" s="37"/>
      <c r="S1188" s="37"/>
      <c r="T1188" s="37"/>
      <c r="U1188" s="37"/>
      <c r="V1188" s="37"/>
      <c r="W1188" s="37"/>
      <c r="X1188" s="37"/>
      <c r="Y1188" s="37"/>
      <c r="Z1188" s="37"/>
    </row>
    <row r="1189" spans="1:26">
      <c r="A1189" s="39"/>
      <c r="B1189" s="37"/>
      <c r="C1189" s="37"/>
      <c r="D1189" s="37"/>
      <c r="E1189" s="37"/>
      <c r="F1189" s="37"/>
      <c r="G1189" s="37"/>
      <c r="H1189" s="37"/>
      <c r="I1189" s="37"/>
      <c r="J1189" s="37"/>
      <c r="K1189" s="37"/>
      <c r="L1189" s="37"/>
      <c r="M1189" s="37"/>
      <c r="N1189" s="37"/>
      <c r="O1189" s="37"/>
      <c r="P1189" s="37"/>
      <c r="Q1189" s="37"/>
      <c r="R1189" s="37"/>
      <c r="S1189" s="37"/>
      <c r="T1189" s="37"/>
      <c r="U1189" s="37"/>
      <c r="V1189" s="37"/>
      <c r="W1189" s="37"/>
      <c r="X1189" s="37"/>
      <c r="Y1189" s="37"/>
      <c r="Z1189" s="37"/>
    </row>
    <row r="1190" spans="1:26">
      <c r="A1190" s="39"/>
      <c r="B1190" s="37"/>
      <c r="C1190" s="37"/>
      <c r="D1190" s="37"/>
      <c r="E1190" s="37"/>
      <c r="F1190" s="37"/>
      <c r="G1190" s="37"/>
      <c r="H1190" s="37"/>
      <c r="I1190" s="37"/>
      <c r="J1190" s="37"/>
      <c r="K1190" s="37"/>
      <c r="L1190" s="37"/>
      <c r="M1190" s="37"/>
      <c r="N1190" s="37"/>
      <c r="O1190" s="37"/>
      <c r="P1190" s="37"/>
      <c r="Q1190" s="37"/>
      <c r="R1190" s="37"/>
      <c r="S1190" s="37"/>
      <c r="T1190" s="37"/>
      <c r="U1190" s="37"/>
      <c r="V1190" s="37"/>
      <c r="W1190" s="37"/>
      <c r="X1190" s="37"/>
      <c r="Y1190" s="37"/>
      <c r="Z1190" s="37"/>
    </row>
    <row r="1191" spans="1:26">
      <c r="A1191" s="39"/>
      <c r="B1191" s="37"/>
      <c r="C1191" s="37"/>
      <c r="D1191" s="37"/>
      <c r="E1191" s="37"/>
      <c r="F1191" s="37"/>
      <c r="G1191" s="37"/>
      <c r="H1191" s="37"/>
      <c r="I1191" s="37"/>
      <c r="J1191" s="37"/>
      <c r="K1191" s="37"/>
      <c r="L1191" s="37"/>
      <c r="M1191" s="37"/>
      <c r="N1191" s="37"/>
      <c r="O1191" s="37"/>
      <c r="P1191" s="37"/>
      <c r="Q1191" s="37"/>
      <c r="R1191" s="37"/>
      <c r="S1191" s="37"/>
      <c r="T1191" s="37"/>
      <c r="U1191" s="37"/>
      <c r="V1191" s="37"/>
      <c r="W1191" s="37"/>
      <c r="X1191" s="37"/>
      <c r="Y1191" s="37"/>
      <c r="Z1191" s="37"/>
    </row>
    <row r="1192" spans="1:26">
      <c r="A1192" s="39"/>
      <c r="B1192" s="37"/>
      <c r="C1192" s="37"/>
      <c r="D1192" s="37"/>
      <c r="E1192" s="37"/>
      <c r="F1192" s="37"/>
      <c r="G1192" s="37"/>
      <c r="H1192" s="37"/>
      <c r="I1192" s="37"/>
      <c r="J1192" s="37"/>
      <c r="K1192" s="37"/>
      <c r="L1192" s="37"/>
      <c r="M1192" s="37"/>
      <c r="N1192" s="37"/>
      <c r="O1192" s="37"/>
      <c r="P1192" s="37"/>
      <c r="Q1192" s="37"/>
      <c r="R1192" s="37"/>
      <c r="S1192" s="37"/>
      <c r="T1192" s="37"/>
      <c r="U1192" s="37"/>
      <c r="V1192" s="37"/>
      <c r="W1192" s="37"/>
      <c r="X1192" s="37"/>
      <c r="Y1192" s="37"/>
      <c r="Z1192" s="37"/>
    </row>
    <row r="1193" spans="1:26">
      <c r="A1193" s="39"/>
      <c r="B1193" s="37"/>
      <c r="C1193" s="37"/>
      <c r="D1193" s="37"/>
      <c r="E1193" s="37"/>
      <c r="F1193" s="37"/>
      <c r="G1193" s="37"/>
      <c r="H1193" s="37"/>
      <c r="I1193" s="37"/>
      <c r="J1193" s="37"/>
      <c r="K1193" s="37"/>
      <c r="L1193" s="37"/>
      <c r="M1193" s="37"/>
      <c r="N1193" s="37"/>
      <c r="O1193" s="37"/>
      <c r="P1193" s="37"/>
      <c r="Q1193" s="37"/>
      <c r="R1193" s="37"/>
      <c r="S1193" s="37"/>
      <c r="T1193" s="37"/>
      <c r="U1193" s="37"/>
      <c r="V1193" s="37"/>
      <c r="W1193" s="37"/>
      <c r="X1193" s="37"/>
      <c r="Y1193" s="37"/>
      <c r="Z1193" s="37"/>
    </row>
    <row r="1194" spans="1:26">
      <c r="A1194" s="39"/>
      <c r="B1194" s="37"/>
      <c r="C1194" s="37"/>
      <c r="D1194" s="37"/>
      <c r="E1194" s="37"/>
      <c r="F1194" s="37"/>
      <c r="G1194" s="37"/>
      <c r="H1194" s="37"/>
      <c r="I1194" s="37"/>
      <c r="J1194" s="37"/>
      <c r="K1194" s="37"/>
      <c r="L1194" s="37"/>
      <c r="M1194" s="37"/>
      <c r="N1194" s="37"/>
      <c r="O1194" s="37"/>
      <c r="P1194" s="37"/>
      <c r="Q1194" s="37"/>
      <c r="R1194" s="37"/>
      <c r="S1194" s="37"/>
      <c r="T1194" s="37"/>
      <c r="U1194" s="37"/>
      <c r="V1194" s="37"/>
      <c r="W1194" s="37"/>
      <c r="X1194" s="37"/>
      <c r="Y1194" s="37"/>
      <c r="Z1194" s="37"/>
    </row>
    <row r="1195" spans="1:26">
      <c r="A1195" s="39"/>
      <c r="B1195" s="37"/>
      <c r="C1195" s="37"/>
      <c r="D1195" s="37"/>
      <c r="E1195" s="37"/>
      <c r="F1195" s="37"/>
      <c r="G1195" s="37"/>
      <c r="H1195" s="37"/>
      <c r="I1195" s="37"/>
      <c r="J1195" s="37"/>
      <c r="K1195" s="37"/>
      <c r="L1195" s="37"/>
      <c r="M1195" s="37"/>
      <c r="N1195" s="37"/>
      <c r="O1195" s="37"/>
      <c r="P1195" s="37"/>
      <c r="Q1195" s="37"/>
      <c r="R1195" s="37"/>
      <c r="S1195" s="37"/>
      <c r="T1195" s="37"/>
      <c r="U1195" s="37"/>
      <c r="V1195" s="37"/>
      <c r="W1195" s="37"/>
      <c r="X1195" s="37"/>
      <c r="Y1195" s="37"/>
      <c r="Z1195" s="37"/>
    </row>
    <row r="1196" spans="1:26">
      <c r="A1196" s="39"/>
      <c r="B1196" s="37"/>
      <c r="C1196" s="37"/>
      <c r="D1196" s="37"/>
      <c r="E1196" s="37"/>
      <c r="F1196" s="37"/>
      <c r="G1196" s="37"/>
      <c r="H1196" s="37"/>
      <c r="I1196" s="37"/>
      <c r="J1196" s="37"/>
      <c r="K1196" s="37"/>
      <c r="L1196" s="37"/>
      <c r="M1196" s="37"/>
      <c r="N1196" s="37"/>
      <c r="O1196" s="37"/>
      <c r="P1196" s="37"/>
      <c r="Q1196" s="37"/>
      <c r="R1196" s="37"/>
      <c r="S1196" s="37"/>
      <c r="T1196" s="37"/>
      <c r="U1196" s="37"/>
      <c r="V1196" s="37"/>
      <c r="W1196" s="37"/>
      <c r="X1196" s="37"/>
      <c r="Y1196" s="37"/>
      <c r="Z1196" s="37"/>
    </row>
    <row r="1197" spans="1:26">
      <c r="A1197" s="39"/>
      <c r="B1197" s="37"/>
      <c r="C1197" s="37"/>
      <c r="D1197" s="37"/>
      <c r="E1197" s="37"/>
      <c r="F1197" s="37"/>
      <c r="G1197" s="37"/>
      <c r="H1197" s="37"/>
      <c r="I1197" s="37"/>
      <c r="J1197" s="37"/>
      <c r="K1197" s="37"/>
      <c r="L1197" s="37"/>
      <c r="M1197" s="37"/>
      <c r="N1197" s="37"/>
      <c r="O1197" s="37"/>
      <c r="P1197" s="37"/>
      <c r="Q1197" s="37"/>
      <c r="R1197" s="37"/>
      <c r="S1197" s="37"/>
      <c r="T1197" s="37"/>
      <c r="U1197" s="37"/>
      <c r="V1197" s="37"/>
      <c r="W1197" s="37"/>
      <c r="X1197" s="37"/>
      <c r="Y1197" s="37"/>
      <c r="Z1197" s="37"/>
    </row>
    <row r="1198" spans="1:26">
      <c r="A1198" s="39"/>
      <c r="B1198" s="37"/>
      <c r="C1198" s="37"/>
      <c r="D1198" s="37"/>
      <c r="E1198" s="37"/>
      <c r="F1198" s="37"/>
      <c r="G1198" s="37"/>
      <c r="H1198" s="37"/>
      <c r="I1198" s="37"/>
      <c r="J1198" s="37"/>
      <c r="K1198" s="37"/>
      <c r="L1198" s="37"/>
      <c r="M1198" s="37"/>
      <c r="N1198" s="37"/>
      <c r="O1198" s="37"/>
      <c r="P1198" s="37"/>
      <c r="Q1198" s="37"/>
      <c r="R1198" s="37"/>
      <c r="S1198" s="37"/>
      <c r="T1198" s="37"/>
      <c r="U1198" s="37"/>
      <c r="V1198" s="37"/>
      <c r="W1198" s="37"/>
      <c r="X1198" s="37"/>
      <c r="Y1198" s="37"/>
      <c r="Z1198" s="37"/>
    </row>
    <row r="1199" spans="1:26">
      <c r="A1199" s="39"/>
      <c r="B1199" s="37"/>
      <c r="C1199" s="37"/>
      <c r="D1199" s="37"/>
      <c r="E1199" s="37"/>
      <c r="F1199" s="37"/>
      <c r="G1199" s="37"/>
      <c r="H1199" s="37"/>
      <c r="I1199" s="37"/>
      <c r="J1199" s="37"/>
      <c r="K1199" s="37"/>
      <c r="L1199" s="37"/>
      <c r="M1199" s="37"/>
      <c r="N1199" s="37"/>
      <c r="O1199" s="37"/>
      <c r="P1199" s="37"/>
      <c r="Q1199" s="37"/>
      <c r="R1199" s="37"/>
      <c r="S1199" s="37"/>
      <c r="T1199" s="37"/>
      <c r="U1199" s="37"/>
      <c r="V1199" s="37"/>
      <c r="W1199" s="37"/>
      <c r="X1199" s="37"/>
      <c r="Y1199" s="37"/>
      <c r="Z1199" s="37"/>
    </row>
    <row r="1200" spans="1:26">
      <c r="A1200" s="39"/>
      <c r="B1200" s="37"/>
      <c r="C1200" s="37"/>
      <c r="D1200" s="37"/>
      <c r="E1200" s="37"/>
      <c r="F1200" s="37"/>
      <c r="G1200" s="37"/>
      <c r="H1200" s="37"/>
      <c r="I1200" s="37"/>
      <c r="J1200" s="37"/>
      <c r="K1200" s="37"/>
      <c r="L1200" s="37"/>
      <c r="M1200" s="37"/>
      <c r="N1200" s="37"/>
      <c r="O1200" s="37"/>
      <c r="P1200" s="37"/>
      <c r="Q1200" s="37"/>
      <c r="R1200" s="37"/>
      <c r="S1200" s="37"/>
      <c r="T1200" s="37"/>
      <c r="U1200" s="37"/>
      <c r="V1200" s="37"/>
      <c r="W1200" s="37"/>
      <c r="X1200" s="37"/>
      <c r="Y1200" s="37"/>
      <c r="Z1200" s="37"/>
    </row>
    <row r="1201" spans="1:26">
      <c r="A1201" s="39"/>
      <c r="B1201" s="37"/>
      <c r="C1201" s="37"/>
      <c r="D1201" s="37"/>
      <c r="E1201" s="37"/>
      <c r="F1201" s="37"/>
      <c r="G1201" s="37"/>
      <c r="H1201" s="37"/>
      <c r="I1201" s="37"/>
      <c r="J1201" s="37"/>
      <c r="K1201" s="37"/>
      <c r="L1201" s="37"/>
      <c r="M1201" s="37"/>
      <c r="N1201" s="37"/>
      <c r="O1201" s="37"/>
      <c r="P1201" s="37"/>
      <c r="Q1201" s="37"/>
      <c r="R1201" s="37"/>
      <c r="S1201" s="37"/>
      <c r="T1201" s="37"/>
      <c r="U1201" s="37"/>
      <c r="V1201" s="37"/>
      <c r="W1201" s="37"/>
      <c r="X1201" s="37"/>
      <c r="Y1201" s="37"/>
      <c r="Z1201" s="37"/>
    </row>
    <row r="1202" spans="1:26">
      <c r="A1202" s="39"/>
      <c r="B1202" s="37"/>
      <c r="C1202" s="37"/>
      <c r="D1202" s="37"/>
      <c r="E1202" s="37"/>
      <c r="F1202" s="37"/>
      <c r="G1202" s="37"/>
      <c r="H1202" s="37"/>
      <c r="I1202" s="37"/>
      <c r="J1202" s="37"/>
      <c r="K1202" s="37"/>
      <c r="L1202" s="37"/>
      <c r="M1202" s="37"/>
      <c r="N1202" s="37"/>
      <c r="O1202" s="37"/>
      <c r="P1202" s="37"/>
      <c r="Q1202" s="37"/>
      <c r="R1202" s="37"/>
      <c r="S1202" s="37"/>
      <c r="T1202" s="37"/>
      <c r="U1202" s="37"/>
      <c r="V1202" s="37"/>
      <c r="W1202" s="37"/>
      <c r="X1202" s="37"/>
      <c r="Y1202" s="37"/>
      <c r="Z1202" s="37"/>
    </row>
    <row r="1203" spans="1:26">
      <c r="A1203" s="39"/>
      <c r="B1203" s="37"/>
      <c r="C1203" s="37"/>
      <c r="D1203" s="37"/>
      <c r="E1203" s="37"/>
      <c r="F1203" s="37"/>
      <c r="G1203" s="37"/>
      <c r="H1203" s="37"/>
      <c r="I1203" s="37"/>
      <c r="J1203" s="37"/>
      <c r="K1203" s="37"/>
      <c r="L1203" s="37"/>
      <c r="M1203" s="37"/>
      <c r="N1203" s="37"/>
      <c r="O1203" s="37"/>
      <c r="P1203" s="37"/>
      <c r="Q1203" s="37"/>
      <c r="R1203" s="37"/>
      <c r="S1203" s="37"/>
      <c r="T1203" s="37"/>
      <c r="U1203" s="37"/>
      <c r="V1203" s="37"/>
      <c r="W1203" s="37"/>
      <c r="X1203" s="37"/>
      <c r="Y1203" s="37"/>
      <c r="Z1203" s="37"/>
    </row>
    <row r="1204" spans="1:26">
      <c r="A1204" s="39"/>
      <c r="B1204" s="37"/>
      <c r="C1204" s="37"/>
      <c r="D1204" s="37"/>
      <c r="E1204" s="37"/>
      <c r="F1204" s="37"/>
      <c r="G1204" s="37"/>
      <c r="H1204" s="37"/>
      <c r="I1204" s="37"/>
      <c r="J1204" s="37"/>
      <c r="K1204" s="37"/>
      <c r="L1204" s="37"/>
      <c r="M1204" s="37"/>
      <c r="N1204" s="37"/>
      <c r="O1204" s="37"/>
      <c r="P1204" s="37"/>
      <c r="Q1204" s="37"/>
      <c r="R1204" s="37"/>
      <c r="S1204" s="37"/>
      <c r="T1204" s="37"/>
      <c r="U1204" s="37"/>
      <c r="V1204" s="37"/>
      <c r="W1204" s="37"/>
      <c r="X1204" s="37"/>
      <c r="Y1204" s="37"/>
      <c r="Z1204" s="37"/>
    </row>
    <row r="1205" spans="1:26">
      <c r="A1205" s="39"/>
      <c r="B1205" s="37"/>
      <c r="C1205" s="37"/>
      <c r="D1205" s="37"/>
      <c r="E1205" s="37"/>
      <c r="F1205" s="37"/>
      <c r="G1205" s="37"/>
      <c r="H1205" s="37"/>
      <c r="I1205" s="37"/>
      <c r="J1205" s="37"/>
      <c r="K1205" s="37"/>
      <c r="L1205" s="37"/>
      <c r="M1205" s="37"/>
      <c r="N1205" s="37"/>
      <c r="O1205" s="37"/>
      <c r="P1205" s="37"/>
      <c r="Q1205" s="37"/>
      <c r="R1205" s="37"/>
      <c r="S1205" s="37"/>
      <c r="T1205" s="37"/>
      <c r="U1205" s="37"/>
      <c r="V1205" s="37"/>
      <c r="W1205" s="37"/>
      <c r="X1205" s="37"/>
      <c r="Y1205" s="37"/>
      <c r="Z1205" s="37"/>
    </row>
    <row r="1206" spans="1:26">
      <c r="A1206" s="39"/>
      <c r="B1206" s="37"/>
      <c r="C1206" s="37"/>
      <c r="D1206" s="37"/>
      <c r="E1206" s="37"/>
      <c r="F1206" s="37"/>
      <c r="G1206" s="37"/>
      <c r="H1206" s="37"/>
      <c r="I1206" s="37"/>
      <c r="J1206" s="37"/>
      <c r="K1206" s="37"/>
      <c r="L1206" s="37"/>
      <c r="M1206" s="37"/>
      <c r="N1206" s="37"/>
      <c r="O1206" s="37"/>
      <c r="P1206" s="37"/>
      <c r="Q1206" s="37"/>
      <c r="R1206" s="37"/>
      <c r="S1206" s="37"/>
      <c r="T1206" s="37"/>
      <c r="U1206" s="37"/>
      <c r="V1206" s="37"/>
      <c r="W1206" s="37"/>
      <c r="X1206" s="37"/>
      <c r="Y1206" s="37"/>
      <c r="Z1206" s="37"/>
    </row>
    <row r="1207" spans="1:26">
      <c r="A1207" s="39"/>
      <c r="B1207" s="37"/>
      <c r="C1207" s="37"/>
      <c r="D1207" s="37"/>
      <c r="E1207" s="37"/>
      <c r="F1207" s="37"/>
      <c r="G1207" s="37"/>
      <c r="H1207" s="37"/>
      <c r="I1207" s="37"/>
      <c r="J1207" s="37"/>
      <c r="K1207" s="37"/>
      <c r="L1207" s="37"/>
      <c r="M1207" s="37"/>
      <c r="N1207" s="37"/>
      <c r="O1207" s="37"/>
      <c r="P1207" s="37"/>
      <c r="Q1207" s="37"/>
      <c r="R1207" s="37"/>
      <c r="S1207" s="37"/>
      <c r="T1207" s="37"/>
      <c r="U1207" s="37"/>
      <c r="V1207" s="37"/>
      <c r="W1207" s="37"/>
      <c r="X1207" s="37"/>
      <c r="Y1207" s="37"/>
      <c r="Z1207" s="37"/>
    </row>
    <row r="1208" spans="1:26">
      <c r="A1208" s="39"/>
      <c r="B1208" s="37"/>
      <c r="C1208" s="37"/>
      <c r="D1208" s="37"/>
      <c r="E1208" s="37"/>
      <c r="F1208" s="37"/>
      <c r="G1208" s="37"/>
      <c r="H1208" s="37"/>
      <c r="I1208" s="37"/>
      <c r="J1208" s="37"/>
      <c r="K1208" s="37"/>
      <c r="L1208" s="37"/>
      <c r="M1208" s="37"/>
      <c r="N1208" s="37"/>
      <c r="O1208" s="37"/>
      <c r="P1208" s="37"/>
      <c r="Q1208" s="37"/>
      <c r="R1208" s="37"/>
      <c r="S1208" s="37"/>
      <c r="T1208" s="37"/>
      <c r="U1208" s="37"/>
      <c r="V1208" s="37"/>
      <c r="W1208" s="37"/>
      <c r="X1208" s="37"/>
      <c r="Y1208" s="37"/>
      <c r="Z1208" s="37"/>
    </row>
    <row r="1209" spans="1:26">
      <c r="A1209" s="39"/>
      <c r="B1209" s="37"/>
      <c r="C1209" s="37"/>
      <c r="D1209" s="37"/>
      <c r="E1209" s="37"/>
      <c r="F1209" s="37"/>
      <c r="G1209" s="37"/>
      <c r="H1209" s="37"/>
      <c r="I1209" s="37"/>
      <c r="J1209" s="37"/>
      <c r="K1209" s="37"/>
      <c r="L1209" s="37"/>
      <c r="M1209" s="37"/>
      <c r="N1209" s="37"/>
      <c r="O1209" s="37"/>
      <c r="P1209" s="37"/>
      <c r="Q1209" s="37"/>
      <c r="R1209" s="37"/>
      <c r="S1209" s="37"/>
      <c r="T1209" s="37"/>
      <c r="U1209" s="37"/>
      <c r="V1209" s="37"/>
      <c r="W1209" s="37"/>
      <c r="X1209" s="37"/>
      <c r="Y1209" s="37"/>
      <c r="Z1209" s="37"/>
    </row>
    <row r="1210" spans="1:26">
      <c r="A1210" s="39"/>
      <c r="B1210" s="37"/>
      <c r="C1210" s="37"/>
      <c r="D1210" s="37"/>
      <c r="E1210" s="37"/>
      <c r="F1210" s="37"/>
      <c r="G1210" s="37"/>
      <c r="H1210" s="37"/>
      <c r="I1210" s="37"/>
      <c r="J1210" s="37"/>
      <c r="K1210" s="37"/>
      <c r="L1210" s="37"/>
      <c r="M1210" s="37"/>
      <c r="N1210" s="37"/>
      <c r="O1210" s="37"/>
      <c r="P1210" s="37"/>
      <c r="Q1210" s="37"/>
      <c r="R1210" s="37"/>
      <c r="S1210" s="37"/>
      <c r="T1210" s="37"/>
      <c r="U1210" s="37"/>
      <c r="V1210" s="37"/>
      <c r="W1210" s="37"/>
      <c r="X1210" s="37"/>
      <c r="Y1210" s="37"/>
      <c r="Z1210" s="37"/>
    </row>
    <row r="1211" spans="1:26">
      <c r="A1211" s="39"/>
      <c r="B1211" s="37"/>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row>
    <row r="1212" spans="1:26">
      <c r="A1212" s="39"/>
      <c r="B1212" s="37"/>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row>
    <row r="1213" spans="1:26">
      <c r="A1213" s="39"/>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row>
    <row r="1214" spans="1:26">
      <c r="A1214" s="39"/>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row>
    <row r="1215" spans="1:26">
      <c r="A1215" s="39"/>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row>
    <row r="1216" spans="1:26">
      <c r="A1216" s="39"/>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row>
    <row r="1217" spans="1:26">
      <c r="A1217" s="39"/>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row>
    <row r="1218" spans="1:26">
      <c r="A1218" s="39"/>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row>
    <row r="1219" spans="1:26">
      <c r="A1219" s="39"/>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row>
    <row r="1220" spans="1:26">
      <c r="A1220" s="39"/>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row>
    <row r="1221" spans="1:26">
      <c r="A1221" s="39"/>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row>
    <row r="1222" spans="1:26">
      <c r="A1222" s="39"/>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row>
    <row r="1223" spans="1:26">
      <c r="A1223" s="39"/>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row>
    <row r="1224" spans="1:26">
      <c r="A1224" s="39"/>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row>
    <row r="1225" spans="1:26">
      <c r="A1225" s="39"/>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row>
    <row r="1226" spans="1:26">
      <c r="A1226" s="39"/>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row>
    <row r="1227" spans="1:26">
      <c r="A1227" s="39"/>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row>
    <row r="1228" spans="1:26">
      <c r="A1228" s="39"/>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row>
    <row r="1229" spans="1:26">
      <c r="A1229" s="39"/>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row>
    <row r="1230" spans="1:26">
      <c r="A1230" s="39"/>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row>
    <row r="1231" spans="1:26">
      <c r="A1231" s="39"/>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row>
    <row r="1232" spans="1:26">
      <c r="A1232" s="39"/>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row>
    <row r="1233" spans="1:26">
      <c r="A1233" s="39"/>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row>
    <row r="1234" spans="1:26">
      <c r="A1234" s="39"/>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row>
    <row r="1235" spans="1:26">
      <c r="A1235" s="39"/>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row>
    <row r="1236" spans="1:26">
      <c r="A1236" s="39"/>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row>
    <row r="1237" spans="1:26">
      <c r="A1237" s="39"/>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row>
    <row r="1238" spans="1:26">
      <c r="A1238" s="39"/>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row>
    <row r="1239" spans="1:26">
      <c r="A1239" s="39"/>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row>
    <row r="1240" spans="1:26">
      <c r="A1240" s="39"/>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row>
    <row r="1241" spans="1:26">
      <c r="A1241" s="39"/>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row>
    <row r="1242" spans="1:26">
      <c r="A1242" s="39"/>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row>
    <row r="1243" spans="1:26">
      <c r="A1243" s="39"/>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row>
    <row r="1244" spans="1:26">
      <c r="A1244" s="39"/>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row>
    <row r="1245" spans="1:26">
      <c r="A1245" s="39"/>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row>
    <row r="1246" spans="1:26">
      <c r="A1246" s="39"/>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row>
    <row r="1247" spans="1:26">
      <c r="A1247" s="39"/>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row>
    <row r="1248" spans="1:26">
      <c r="A1248" s="39"/>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row>
    <row r="1249" spans="1:26">
      <c r="A1249" s="39"/>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row>
    <row r="1250" spans="1:26">
      <c r="A1250" s="39"/>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row>
    <row r="1251" spans="1:26">
      <c r="A1251" s="39"/>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row>
    <row r="1252" spans="1:26">
      <c r="A1252" s="39"/>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row>
    <row r="1253" spans="1:26">
      <c r="A1253" s="39"/>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row>
    <row r="1254" spans="1:26">
      <c r="A1254" s="39"/>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row>
    <row r="1255" spans="1:26">
      <c r="A1255" s="39"/>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row>
    <row r="1256" spans="1:26">
      <c r="A1256" s="39"/>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row>
    <row r="1257" spans="1:26">
      <c r="A1257" s="39"/>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row>
    <row r="1258" spans="1:26">
      <c r="A1258" s="39"/>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row>
    <row r="1259" spans="1:26">
      <c r="A1259" s="39"/>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row>
    <row r="1260" spans="1:26">
      <c r="A1260" s="39"/>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row>
    <row r="1261" spans="1:26">
      <c r="A1261" s="39"/>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row>
    <row r="1262" spans="1:26">
      <c r="A1262" s="39"/>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row>
    <row r="1263" spans="1:26">
      <c r="A1263" s="39"/>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row>
    <row r="1264" spans="1:26">
      <c r="A1264" s="39"/>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row>
    <row r="1265" spans="1:26">
      <c r="A1265" s="39"/>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row>
    <row r="1266" spans="1:26">
      <c r="A1266" s="39"/>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row>
    <row r="1267" spans="1:26">
      <c r="A1267" s="39"/>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row>
    <row r="1268" spans="1:26">
      <c r="A1268" s="39"/>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row>
    <row r="1269" spans="1:26">
      <c r="A1269" s="39"/>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row>
    <row r="1270" spans="1:26">
      <c r="A1270" s="39"/>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row>
    <row r="1271" spans="1:26">
      <c r="A1271" s="39"/>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row>
    <row r="1272" spans="1:26">
      <c r="A1272" s="39"/>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row>
    <row r="1273" spans="1:26">
      <c r="A1273" s="39"/>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row>
    <row r="1274" spans="1:26">
      <c r="A1274" s="39"/>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row>
    <row r="1275" spans="1:26">
      <c r="A1275" s="39"/>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row>
    <row r="1276" spans="1:26">
      <c r="A1276" s="39"/>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row>
    <row r="1277" spans="1:26">
      <c r="A1277" s="39"/>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row>
    <row r="1278" spans="1:26">
      <c r="A1278" s="39"/>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row>
    <row r="1279" spans="1:26">
      <c r="A1279" s="39"/>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row>
    <row r="1280" spans="1:26">
      <c r="A1280" s="39"/>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row>
    <row r="1281" spans="1:26">
      <c r="A1281" s="39"/>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row>
    <row r="1282" spans="1:26">
      <c r="A1282" s="39"/>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row>
    <row r="1283" spans="1:26">
      <c r="A1283" s="39"/>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row>
    <row r="1284" spans="1:26">
      <c r="A1284" s="39"/>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row>
    <row r="1285" spans="1:26">
      <c r="A1285" s="39"/>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row>
    <row r="1286" spans="1:26">
      <c r="A1286" s="39"/>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row>
    <row r="1287" spans="1:26">
      <c r="A1287" s="39"/>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row>
    <row r="1288" spans="1:26">
      <c r="A1288" s="39"/>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row>
    <row r="1289" spans="1:26">
      <c r="A1289" s="39"/>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row>
    <row r="1290" spans="1:26">
      <c r="A1290" s="39"/>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row>
    <row r="1291" spans="1:26">
      <c r="A1291" s="39"/>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row>
    <row r="1292" spans="1:26">
      <c r="A1292" s="39"/>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row>
    <row r="1293" spans="1:26">
      <c r="A1293" s="39"/>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row>
    <row r="1294" spans="1:26">
      <c r="A1294" s="39"/>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row>
    <row r="1295" spans="1:26">
      <c r="A1295" s="39"/>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row>
    <row r="1296" spans="1:26">
      <c r="A1296" s="39"/>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row>
    <row r="1297" spans="1:26">
      <c r="A1297" s="39"/>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row>
    <row r="1298" spans="1:26">
      <c r="A1298" s="39"/>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row>
    <row r="1299" spans="1:26">
      <c r="A1299" s="39"/>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row>
    <row r="1300" spans="1:26">
      <c r="A1300" s="39"/>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row>
    <row r="1301" spans="1:26">
      <c r="A1301" s="39"/>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row>
    <row r="1302" spans="1:26">
      <c r="A1302" s="39"/>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row>
    <row r="1303" spans="1:26">
      <c r="A1303" s="39"/>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row>
    <row r="1304" spans="1:26">
      <c r="A1304" s="39"/>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row>
    <row r="1305" spans="1:26">
      <c r="A1305" s="39"/>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row>
    <row r="1306" spans="1:26">
      <c r="A1306" s="39"/>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row>
    <row r="1307" spans="1:26">
      <c r="A1307" s="39"/>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row>
    <row r="1308" spans="1:26">
      <c r="A1308" s="39"/>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row>
    <row r="1309" spans="1:26">
      <c r="A1309" s="39"/>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row>
    <row r="1310" spans="1:26">
      <c r="A1310" s="39"/>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row>
    <row r="1311" spans="1:26">
      <c r="A1311" s="39"/>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row>
    <row r="1312" spans="1:26">
      <c r="A1312" s="39"/>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row>
    <row r="1313" spans="1:26">
      <c r="A1313" s="39"/>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row>
    <row r="1314" spans="1:26">
      <c r="A1314" s="39"/>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row>
    <row r="1315" spans="1:26">
      <c r="A1315" s="39"/>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row>
    <row r="1316" spans="1:26">
      <c r="A1316" s="39"/>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row>
    <row r="1317" spans="1:26">
      <c r="A1317" s="39"/>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row>
    <row r="1318" spans="1:26">
      <c r="A1318" s="39"/>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row>
    <row r="1319" spans="1:26">
      <c r="A1319" s="39"/>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row>
    <row r="1320" spans="1:26">
      <c r="A1320" s="39"/>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row>
    <row r="1321" spans="1:26">
      <c r="A1321" s="39"/>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row>
    <row r="1322" spans="1:26">
      <c r="A1322" s="39"/>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row>
    <row r="1323" spans="1:26">
      <c r="A1323" s="39"/>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row>
    <row r="1324" spans="1:26">
      <c r="A1324" s="39"/>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row>
    <row r="1325" spans="1:26">
      <c r="A1325" s="39"/>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row>
    <row r="1326" spans="1:26">
      <c r="A1326" s="39"/>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row>
    <row r="1327" spans="1:26">
      <c r="A1327" s="39"/>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row>
    <row r="1328" spans="1:26">
      <c r="A1328" s="39"/>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row>
    <row r="1329" spans="1:26">
      <c r="A1329" s="39"/>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row>
    <row r="1330" spans="1:26">
      <c r="A1330" s="39"/>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row>
    <row r="1331" spans="1:26">
      <c r="A1331" s="39"/>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row>
    <row r="1332" spans="1:26">
      <c r="A1332" s="39"/>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row>
    <row r="1333" spans="1:26">
      <c r="A1333" s="39"/>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row>
    <row r="1334" spans="1:26">
      <c r="A1334" s="39"/>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row>
    <row r="1335" spans="1:26">
      <c r="A1335" s="39"/>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row>
    <row r="1336" spans="1:26">
      <c r="A1336" s="39"/>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row>
    <row r="1337" spans="1:26">
      <c r="A1337" s="39"/>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row>
    <row r="1338" spans="1:26">
      <c r="A1338" s="39"/>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row>
    <row r="1339" spans="1:26">
      <c r="A1339" s="39"/>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row>
    <row r="1340" spans="1:26">
      <c r="A1340" s="39"/>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row>
    <row r="1341" spans="1:26">
      <c r="A1341" s="39"/>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row>
    <row r="1342" spans="1:26">
      <c r="A1342" s="39"/>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row>
    <row r="1343" spans="1:26">
      <c r="A1343" s="39"/>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row>
    <row r="1344" spans="1:26">
      <c r="A1344" s="39"/>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row>
    <row r="1345" spans="1:26">
      <c r="A1345" s="39"/>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row>
    <row r="1346" spans="1:26">
      <c r="A1346" s="39"/>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row>
    <row r="1347" spans="1:26">
      <c r="A1347" s="39"/>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row>
    <row r="1348" spans="1:26">
      <c r="A1348" s="39"/>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row>
    <row r="1349" spans="1:26">
      <c r="A1349" s="39"/>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row>
    <row r="1350" spans="1:26">
      <c r="A1350" s="39"/>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row>
    <row r="1351" spans="1:26">
      <c r="A1351" s="39"/>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row>
    <row r="1352" spans="1:26">
      <c r="A1352" s="39"/>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row>
    <row r="1353" spans="1:26">
      <c r="A1353" s="39"/>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row>
    <row r="1354" spans="1:26">
      <c r="A1354" s="39"/>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row>
    <row r="1355" spans="1:26">
      <c r="A1355" s="39"/>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row>
    <row r="1356" spans="1:26">
      <c r="A1356" s="39"/>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row>
    <row r="1357" spans="1:26">
      <c r="A1357" s="39"/>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row>
    <row r="1358" spans="1:26">
      <c r="A1358" s="39"/>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row>
    <row r="1359" spans="1:26">
      <c r="A1359" s="39"/>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row>
    <row r="1360" spans="1:26">
      <c r="A1360" s="39"/>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row>
    <row r="1361" spans="1:26">
      <c r="A1361" s="39"/>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row>
    <row r="1362" spans="1:26">
      <c r="A1362" s="39"/>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row>
    <row r="1363" spans="1:26">
      <c r="A1363" s="39"/>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row>
    <row r="1364" spans="1:26">
      <c r="A1364" s="39"/>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row>
    <row r="1365" spans="1:26">
      <c r="A1365" s="39"/>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row>
    <row r="1366" spans="1:26">
      <c r="A1366" s="39"/>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row>
    <row r="1367" spans="1:26">
      <c r="A1367" s="39"/>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row>
    <row r="1368" spans="1:26">
      <c r="A1368" s="39"/>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row>
    <row r="1369" spans="1:26">
      <c r="A1369" s="39"/>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row>
    <row r="1370" spans="1:26">
      <c r="A1370" s="39"/>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row>
    <row r="1371" spans="1:26">
      <c r="A1371" s="39"/>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row>
    <row r="1372" spans="1:26">
      <c r="A1372" s="39"/>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row>
    <row r="1373" spans="1:26">
      <c r="A1373" s="39"/>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row>
    <row r="1374" spans="1:26">
      <c r="A1374" s="39"/>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row>
    <row r="1375" spans="1:26">
      <c r="A1375" s="39"/>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row>
    <row r="1376" spans="1:26">
      <c r="A1376" s="39"/>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row>
    <row r="1377" spans="1:26">
      <c r="A1377" s="39"/>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row>
    <row r="1378" spans="1:26">
      <c r="A1378" s="39"/>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row>
    <row r="1379" spans="1:26">
      <c r="A1379" s="39"/>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row>
    <row r="1380" spans="1:26">
      <c r="A1380" s="39"/>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row>
    <row r="1381" spans="1:26">
      <c r="A1381" s="39"/>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row>
    <row r="1382" spans="1:26">
      <c r="A1382" s="39"/>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row>
    <row r="1383" spans="1:26">
      <c r="A1383" s="39"/>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row>
    <row r="1384" spans="1:26">
      <c r="A1384" s="39"/>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row>
    <row r="1385" spans="1:26">
      <c r="A1385" s="39"/>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row>
    <row r="1386" spans="1:26">
      <c r="A1386" s="39"/>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row>
    <row r="1387" spans="1:26">
      <c r="A1387" s="39"/>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row>
    <row r="1388" spans="1:26">
      <c r="A1388" s="39"/>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row>
    <row r="1389" spans="1:26">
      <c r="A1389" s="39"/>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row>
    <row r="1390" spans="1:26">
      <c r="A1390" s="39"/>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row>
    <row r="1391" spans="1:26">
      <c r="A1391" s="39"/>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row>
    <row r="1392" spans="1:26">
      <c r="A1392" s="39"/>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row>
    <row r="1393" spans="1:26">
      <c r="A1393" s="39"/>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row>
    <row r="1394" spans="1:26">
      <c r="A1394" s="39"/>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row>
    <row r="1395" spans="1:26">
      <c r="A1395" s="39"/>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row>
    <row r="1396" spans="1:26">
      <c r="A1396" s="39"/>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row>
    <row r="1397" spans="1:26">
      <c r="A1397" s="39"/>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row>
    <row r="1398" spans="1:26">
      <c r="A1398" s="39"/>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row>
    <row r="1399" spans="1:26">
      <c r="A1399" s="39"/>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row>
    <row r="1400" spans="1:26">
      <c r="A1400" s="39"/>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row>
    <row r="1401" spans="1:26">
      <c r="A1401" s="39"/>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row>
    <row r="1402" spans="1:26">
      <c r="A1402" s="39"/>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row>
    <row r="1403" spans="1:26">
      <c r="A1403" s="39"/>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row>
    <row r="1404" spans="1:26">
      <c r="A1404" s="39"/>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row>
    <row r="1405" spans="1:26">
      <c r="E1405" s="37"/>
      <c r="F1405" s="37"/>
    </row>
    <row r="1406" spans="1:26">
      <c r="E1406" s="37"/>
      <c r="F1406" s="37"/>
    </row>
  </sheetData>
  <sheetProtection selectLockedCells="1"/>
  <dataConsolidate/>
  <mergeCells count="12">
    <mergeCell ref="A33:C33"/>
    <mergeCell ref="A34:C34"/>
    <mergeCell ref="F28:F30"/>
    <mergeCell ref="A6:C6"/>
    <mergeCell ref="A23:A24"/>
    <mergeCell ref="B23:B24"/>
    <mergeCell ref="C23:C24"/>
    <mergeCell ref="E28:E30"/>
    <mergeCell ref="A22:B22"/>
    <mergeCell ref="E24:E26"/>
    <mergeCell ref="F24:F26"/>
    <mergeCell ref="E7:E8"/>
  </mergeCells>
  <conditionalFormatting sqref="E24:F24 E25:E26">
    <cfRule type="expression" dxfId="12" priority="20">
      <formula>$F$24="NO"</formula>
    </cfRule>
    <cfRule type="expression" dxfId="11" priority="21">
      <formula>$F$24="YES"</formula>
    </cfRule>
  </conditionalFormatting>
  <dataValidations count="21">
    <dataValidation type="whole" allowBlank="1" showInputMessage="1" showErrorMessage="1" error="The value you have entered is either not a positive whole number or is excessively high." sqref="F16 C25:C31 F12 D12" xr:uid="{CF112CAE-A97D-4B9E-A67E-250B49E79808}">
      <formula1>0</formula1>
      <formula2>100000</formula2>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7:E19" xr:uid="{B475C96B-DCE6-41EE-9775-9B71AE06A775}">
      <formula1>E$16</formula1>
    </dataValidation>
    <dataValidation type="custom" operator="lessThanOrEqual" showInputMessage="1" showErrorMessage="1" error="1. Must be more than or equal to the sum of the subcategory of visits (C13:C15) _x000a__x000a_2. Must be less than or equal to all HFSVS (C10)" sqref="C11" xr:uid="{7CE2BA9F-CD3A-4018-A401-E23533C09892}">
      <formula1>AND(C10&gt;=C11, C11&gt;=SUM(C13:C15))</formula1>
    </dataValidation>
    <dataValidation type="custom" operator="lessThanOrEqual" showInputMessage="1" showErrorMessage="1" error="1. Must be more than or equal to the sum of the subcategory of visits (B13:B15) _x000a__x000a_2. Must be less than or equal to all HFSVS (B10)" sqref="B11" xr:uid="{4D39D9CC-866A-4186-AE0C-CAAF98B1C3D5}">
      <formula1>AND(B10&gt;=B11, B11&gt;=SUM(B13:B15))</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7:F19" xr:uid="{75D2EF3D-13BC-46FE-B2D7-7873B5E74BD5}">
      <formula1>AND(F17&lt;=E17, F17&lt;=$F$16)</formula1>
    </dataValidation>
    <dataValidation type="whole" operator="equal" allowBlank="1" showInputMessage="1" showErrorMessage="1" error="The value you have entered is either not a positive whole number or is excessively high." sqref="E16" xr:uid="{8D060F60-233B-435A-904C-CE3C2D171F39}">
      <formula1>SUM(E17:E19)</formula1>
    </dataValidation>
    <dataValidation type="decimal" errorStyle="warning" allowBlank="1" showInputMessage="1" showErrorMessage="1" errorTitle="QA failure" error="Average number of staff per visit is greater than 5 or less than 1, please add a note" sqref="F28:F30" xr:uid="{5693812F-B513-4C58-B166-43996854D1E1}">
      <formula1>0.999</formula1>
      <formula2>5</formula2>
    </dataValidation>
    <dataValidation type="custom" operator="equal" allowBlank="1" showInputMessage="1" showErrorMessage="1" error="Must be equal to or higher than HFSVs targeted at households with at least 1 person with at least vulnerability or risk factor (B11)" sqref="B10" xr:uid="{10305518-B351-41FD-BC09-97B40ADFECEB}">
      <formula1>B10&gt;=B11</formula1>
    </dataValidation>
    <dataValidation type="custom" allowBlank="1" showInputMessage="1" showErrorMessage="1" error="The sum of the subcategory of visits (B13:B15) must be less than or equal to B11" sqref="B13:B15" xr:uid="{B4580C6B-9408-494B-8D26-5A1A89BEC02D}">
      <formula1>SUM($B$13:$B$15)&lt;=$B$11</formula1>
    </dataValidation>
    <dataValidation type="custom" allowBlank="1" showInputMessage="1" showErrorMessage="1" error="The sum of the subcategory of visits (C13:C15) must be less than or equal to C11" sqref="C13:C15" xr:uid="{74DB6A14-12A1-49E8-A378-76A6ECD54E5A}">
      <formula1>SUM($C$13:$C$15)&lt;=$C$11</formula1>
    </dataValidation>
    <dataValidation type="custom" operator="equal" allowBlank="1" showInputMessage="1" showErrorMessage="1" error="Must be more than or equal to the sum of the subcategory of visits (B17:B19) _x000a_" sqref="B16" xr:uid="{50003B76-FD93-4DA7-80AA-06522CF20A4B}">
      <formula1>SUM($B$17:$B$19)&lt;=$B$16</formula1>
    </dataValidation>
    <dataValidation type="custom" operator="equal" allowBlank="1" showInputMessage="1" showErrorMessage="1" error="Must be more than or equal to the sum of the subcategory of visits (C17:C19) _x000a_" sqref="C16" xr:uid="{77A9EC1E-E199-4F91-976C-B1C44D53D41B}">
      <formula1>SUM($C$17:$C$19)&lt;=$C$16</formula1>
    </dataValidation>
    <dataValidation type="custom" operator="lessThanOrEqual" allowBlank="1" showInputMessage="1" showErrorMessage="1" error="The sum of the subcategory of visits (B17:B19) must be less than or equal to B16_x000a_" sqref="B17:B19" xr:uid="{D2758916-16DD-47B0-8353-E5414552C128}">
      <formula1>SUM($B$17:$B$19)&lt;=$B$16</formula1>
    </dataValidation>
    <dataValidation type="custom" operator="equal" allowBlank="1" showInputMessage="1" showErrorMessage="1" error="Must be equal to or higher than HFSVs targeted at households with at least 1 person with at least vulnerability or risk factor (C11)" sqref="C10" xr:uid="{A1AF0EB0-CAC7-4FE7-9605-0D4E0C3173D5}">
      <formula1>C10&gt;=C11</formula1>
    </dataValidation>
    <dataValidation type="custom" operator="lessThanOrEqual" allowBlank="1" showInputMessage="1" showErrorMessage="1" error="The sum of the subcategory of visits (C17:C19) must be less than or equal to C16" sqref="C17:C18" xr:uid="{4672871D-4ADF-49D2-BB10-1EB3773C1A79}">
      <formula1>SUM($C$17:$C$19)&lt;=$C$16</formula1>
    </dataValidation>
    <dataValidation type="custom" operator="lessThanOrEqual" allowBlank="1" showInputMessage="1" showErrorMessage="1" error="The sum of the subcategory of visits (C17:C19) must be less than or equal to C16_x000a_" sqref="C19" xr:uid="{771A2051-404C-4AF9-8D21-0CF7DA97E91E}">
      <formula1>SUM($C$17:$C$19)&lt;=$C$16</formula1>
    </dataValidation>
    <dataValidation type="custom" allowBlank="1" showInputMessage="1" showErrorMessage="1" sqref="B31" xr:uid="{2EFEC1AD-0D0B-4765-9772-458D665360BC}">
      <formula1>B31&gt;=SUM(B10:C10,B16:C16)</formula1>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0:E15" xr:uid="{0EBBA0D1-2251-442C-82C8-73FA4834BED8}">
      <formula1>E$8</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1" xr:uid="{B11FB494-08AB-4ACE-B3CD-CBFD9AF01648}">
      <formula1>AND(F11&lt;=E7, F11&lt;=$F$10)</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3:F15" xr:uid="{FC6029F6-620C-4970-93E7-358948B5ABD9}">
      <formula1>AND(F13&lt;=E9, F13&lt;=$F$12)</formula1>
    </dataValidation>
    <dataValidation type="whole" operator="lessThanOrEqual" allowBlank="1" showInputMessage="1" showErrorMessage="1" error="The total number of virtual HFSCs carried out by FRS personnel (B10) should be greater than or equal to the number of virtual Safe and Well visits (C10)." sqref="F10" xr:uid="{14C27895-451F-44A3-9268-2617546955BC}">
      <formula1>E6</formula1>
    </dataValidation>
  </dataValidations>
  <hyperlinks>
    <hyperlink ref="B9" location="Guidance!A13" display="Number of HFSC Visits" xr:uid="{F3F8F60F-2EAA-435E-9425-3D915F0C7BBA}"/>
    <hyperlink ref="C9" location="Guidance!B18" display="Number of HFSVs carried out virtually (eg desktop, telephone)" xr:uid="{DC7993C0-F59B-4FAE-A373-B00CA41D55BE}"/>
  </hyperlinks>
  <pageMargins left="0.74803149606299213" right="0.74803149606299213" top="0.98425196850393704" bottom="0.98425196850393704" header="0.51181102362204722" footer="0.51181102362204722"/>
  <pageSetup paperSize="9" scale="46" orientation="portrait" r:id="rId1"/>
  <headerFooter alignWithMargins="0">
    <oddHeader>&amp;LAnnual Returns 2016-17&amp;C&amp;"Aptos"&amp;10&amp;K000000 OFFICIAL&amp;1#_x000D_&amp;RFP1 - Campaigns, initiatives and Home Fire Safety Checks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0" id="{D9731BE5-7E00-4208-AFF3-D34F98A80B61}">
            <xm:f>IF(AND(B10&gt;'FP1 PY'!B10+'QA check thresholds'!$A$3,B10&gt;'FP1 PY'!B10*'QA check thresholds'!$C$3),TRUE,FALSE)</xm:f>
            <x14:dxf>
              <font>
                <b/>
                <i val="0"/>
                <color rgb="FFFF0000"/>
              </font>
              <fill>
                <patternFill>
                  <bgColor rgb="FFFFC000"/>
                </patternFill>
              </fill>
            </x14:dxf>
          </x14:cfRule>
          <x14:cfRule type="expression" priority="11" id="{DB9CCB1C-0393-4454-A195-D1A190A438F0}">
            <xm:f>IF(AND(B10&lt;'FP1 PY'!B10-'QA check thresholds'!$A$2,B10&lt;'FP1 PY'!B10*'QA check thresholds'!$C$2),TRUE,FALSE)</xm:f>
            <x14:dxf>
              <font>
                <b/>
                <i val="0"/>
                <color rgb="FFFF0000"/>
              </font>
              <fill>
                <patternFill>
                  <bgColor rgb="FFFFC000"/>
                </patternFill>
              </fill>
            </x14:dxf>
          </x14:cfRule>
          <xm:sqref>B10:C10 B16:C16 B25:B30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9A9F2-003B-4A7D-BEE4-A8C5A6BBEDAA}">
  <sheetPr codeName="Sheet1">
    <tabColor rgb="FFFF0000"/>
  </sheetPr>
  <dimension ref="A1:F1"/>
  <sheetViews>
    <sheetView workbookViewId="0">
      <selection activeCell="I12" sqref="I12"/>
    </sheetView>
  </sheetViews>
  <sheetFormatPr defaultRowHeight="12.75"/>
  <cols>
    <col min="1" max="1" width="7.140625" bestFit="1" customWidth="1"/>
    <col min="2" max="2" width="16.7109375" bestFit="1" customWidth="1"/>
    <col min="3" max="3" width="11.140625" bestFit="1" customWidth="1"/>
    <col min="4" max="4" width="15.85546875" bestFit="1" customWidth="1"/>
    <col min="5" max="5" width="12.85546875" bestFit="1" customWidth="1"/>
    <col min="6" max="6" width="6.7109375" style="90" bestFit="1" customWidth="1"/>
  </cols>
  <sheetData>
    <row r="1" spans="1:6">
      <c r="A1" t="s">
        <v>182</v>
      </c>
      <c r="B1" t="s">
        <v>183</v>
      </c>
      <c r="C1" t="s">
        <v>184</v>
      </c>
      <c r="D1" t="s">
        <v>185</v>
      </c>
      <c r="E1" t="s">
        <v>186</v>
      </c>
      <c r="F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98CD9-9C4F-4716-A45F-9A8D79103FE1}">
  <sheetPr codeName="Sheet2">
    <tabColor rgb="FFFF0000"/>
  </sheetPr>
  <dimension ref="A1:E1"/>
  <sheetViews>
    <sheetView workbookViewId="0">
      <selection activeCell="H15" sqref="H15"/>
    </sheetView>
  </sheetViews>
  <sheetFormatPr defaultRowHeight="12.75"/>
  <cols>
    <col min="4" max="4" width="30.42578125" bestFit="1" customWidth="1"/>
    <col min="5" max="5" width="9.140625" style="90"/>
  </cols>
  <sheetData>
    <row r="1" spans="1:5">
      <c r="A1" t="s">
        <v>182</v>
      </c>
      <c r="B1" t="s">
        <v>183</v>
      </c>
      <c r="C1" t="s">
        <v>184</v>
      </c>
      <c r="D1" t="s">
        <v>188</v>
      </c>
      <c r="E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5C13D-7F46-40E1-A39E-91BB3DE3962C}">
  <sheetPr codeName="Sheet4">
    <tabColor rgb="FFFF0000"/>
  </sheetPr>
  <dimension ref="A4:C33"/>
  <sheetViews>
    <sheetView workbookViewId="0">
      <selection activeCell="B10" sqref="B10"/>
    </sheetView>
  </sheetViews>
  <sheetFormatPr defaultRowHeight="12.75"/>
  <cols>
    <col min="1" max="1" width="106.7109375" bestFit="1" customWidth="1"/>
    <col min="2" max="3" width="15.7109375" customWidth="1"/>
    <col min="5" max="5" width="91.28515625" bestFit="1" customWidth="1"/>
    <col min="6" max="6" width="7" bestFit="1" customWidth="1"/>
  </cols>
  <sheetData>
    <row r="4" spans="1:3">
      <c r="A4" s="80" t="s">
        <v>189</v>
      </c>
      <c r="B4" s="81" t="str">
        <f>VLOOKUP(Cover!A6,Cover!B319:D325,3,FALSE)</f>
        <v>2024/25</v>
      </c>
      <c r="C4" s="82" t="str">
        <f>Cover!A10</f>
        <v>West Yorkshire</v>
      </c>
    </row>
    <row r="9" spans="1:3">
      <c r="B9" t="s">
        <v>190</v>
      </c>
      <c r="C9" t="s">
        <v>191</v>
      </c>
    </row>
    <row r="10" spans="1:3">
      <c r="A10" t="s">
        <v>192</v>
      </c>
      <c r="B10" cm="1">
        <f t="array" ref="B10">SUMPRODUCT(('FP1a - PY data'!$A$2:$A$100000='FP1 PY'!$A$4)*('FP1a - PY data'!$B$2:$B$100000='FP1 PY'!$B$4)*('FP1a - PY data'!$C$2:$C$100000='FP1 PY'!$C$4)*('FP1a - PY data'!$D$2:$D$100000='FP1 PY'!$A10)*('FP1a - PY data'!$E$2:$E$100000='FP1 PY'!B$9)*('FP1a - PY data'!$F$2:$F$100000))</f>
        <v>0</v>
      </c>
      <c r="C10" cm="1">
        <f t="array" ref="C10">SUMPRODUCT(('FP1a - PY data'!$A$2:$A$100000='FP1 PY'!$A$4)*('FP1a - PY data'!$B$2:$B$100000='FP1 PY'!$B$4)*('FP1a - PY data'!$C$2:$C$100000='FP1 PY'!$C$4)*('FP1a - PY data'!$D$2:$D$100000='FP1 PY'!$A10)*('FP1a - PY data'!$E$2:$E$100000='FP1 PY'!C$9)*('FP1a - PY data'!$F$2:$F$100000))</f>
        <v>0</v>
      </c>
    </row>
    <row r="12" spans="1:3">
      <c r="A12" t="s">
        <v>161</v>
      </c>
      <c r="B12">
        <f>B10</f>
        <v>0</v>
      </c>
      <c r="C12">
        <f>C10</f>
        <v>0</v>
      </c>
    </row>
    <row r="16" spans="1:3">
      <c r="A16" t="s">
        <v>193</v>
      </c>
      <c r="B16" cm="1">
        <f t="array" ref="B16">SUMPRODUCT(('FP1a - PY data'!$A$2:$A$100000='FP1 PY'!$A$4)*('FP1a - PY data'!$B$2:$B$100000='FP1 PY'!$B$4)*('FP1a - PY data'!$C$2:$C$100000='FP1 PY'!$C$4)*('FP1a - PY data'!$D$2:$D$100000='FP1 PY'!$A16)*('FP1a - PY data'!$E$2:$E$100000='FP1 PY'!B$9)*('FP1a - PY data'!$F$2:$F$100000))</f>
        <v>0</v>
      </c>
      <c r="C16" cm="1">
        <f t="array" ref="C16">SUMPRODUCT(('FP1a - PY data'!$A$2:$A$100000='FP1 PY'!$A$4)*('FP1a - PY data'!$B$2:$B$100000='FP1 PY'!$B$4)*('FP1a - PY data'!$C$2:$C$100000='FP1 PY'!$C$4)*('FP1a - PY data'!$D$2:$D$100000='FP1 PY'!$A16)*('FP1a - PY data'!$E$2:$E$100000='FP1 PY'!C$9)*('FP1a - PY data'!$F$2:$F$100000))</f>
        <v>0</v>
      </c>
    </row>
    <row r="23" spans="1:2">
      <c r="B23" t="s">
        <v>194</v>
      </c>
    </row>
    <row r="25" spans="1:2">
      <c r="A25" t="s">
        <v>195</v>
      </c>
      <c r="B25" cm="1">
        <f t="array" ref="B25">SUMPRODUCT(('FP1b - PY data'!$A$2:$A$100000='FP1 PY'!$A$4)*('FP1b - PY data'!$B$2:$B$100000='FP1 PY'!$B$4)*('FP1b - PY data'!$C$2:$C$100000='FP1 PY'!$C$4)*('FP1b - PY data'!$D$2:$D$100000='FP1 PY'!$A25)*('FP1b - PY data'!$E$2:$E$100000))</f>
        <v>0</v>
      </c>
    </row>
    <row r="26" spans="1:2">
      <c r="A26" t="s">
        <v>196</v>
      </c>
      <c r="B26" cm="1">
        <f t="array" ref="B26">SUMPRODUCT(('FP1b - PY data'!$A$2:$A$100000='FP1 PY'!$A$4)*('FP1b - PY data'!$B$2:$B$100000='FP1 PY'!$B$4)*('FP1b - PY data'!$C$2:$C$100000='FP1 PY'!$C$4)*('FP1b - PY data'!$D$2:$D$100000='FP1 PY'!$A26)*('FP1b - PY data'!$E$2:$E$100000))</f>
        <v>0</v>
      </c>
    </row>
    <row r="27" spans="1:2">
      <c r="A27" t="s">
        <v>197</v>
      </c>
      <c r="B27" cm="1">
        <f t="array" ref="B27">SUMPRODUCT(('FP1b - PY data'!$A$2:$A$100000='FP1 PY'!$A$4)*('FP1b - PY data'!$B$2:$B$100000='FP1 PY'!$B$4)*('FP1b - PY data'!$C$2:$C$100000='FP1 PY'!$C$4)*('FP1b - PY data'!$D$2:$D$100000='FP1 PY'!$A27)*('FP1b - PY data'!$E$2:$E$100000))</f>
        <v>0</v>
      </c>
    </row>
    <row r="28" spans="1:2">
      <c r="A28" t="s">
        <v>198</v>
      </c>
      <c r="B28" cm="1">
        <f t="array" ref="B28">SUMPRODUCT(('FP1b - PY data'!$A$2:$A$100000='FP1 PY'!$A$4)*('FP1b - PY data'!$B$2:$B$100000='FP1 PY'!$B$4)*('FP1b - PY data'!$C$2:$C$100000='FP1 PY'!$C$4)*('FP1b - PY data'!$D$2:$D$100000='FP1 PY'!$A28)*('FP1b - PY data'!$E$2:$E$100000))</f>
        <v>0</v>
      </c>
    </row>
    <row r="29" spans="1:2">
      <c r="A29" t="s">
        <v>199</v>
      </c>
      <c r="B29" cm="1">
        <f t="array" ref="B29">SUMPRODUCT(('FP1b - PY data'!$A$2:$A$100000='FP1 PY'!$A$4)*('FP1b - PY data'!$B$2:$B$100000='FP1 PY'!$B$4)*('FP1b - PY data'!$C$2:$C$100000='FP1 PY'!$C$4)*('FP1b - PY data'!$D$2:$D$100000='FP1 PY'!$A29)*('FP1b - PY data'!$E$2:$E$100000))</f>
        <v>0</v>
      </c>
    </row>
    <row r="30" spans="1:2">
      <c r="A30" t="s">
        <v>200</v>
      </c>
      <c r="B30" cm="1">
        <f t="array" ref="B30">SUMPRODUCT(('FP1b - PY data'!$A$2:$A$100000='FP1 PY'!$A$4)*('FP1b - PY data'!$B$2:$B$100000='FP1 PY'!$B$4)*('FP1b - PY data'!$C$2:$C$100000='FP1 PY'!$C$4)*('FP1b - PY data'!$D$2:$D$100000='FP1 PY'!$A30)*('FP1b - PY data'!$E$2:$E$100000))</f>
        <v>0</v>
      </c>
    </row>
    <row r="31" spans="1:2">
      <c r="A31" t="s">
        <v>180</v>
      </c>
    </row>
    <row r="33" spans="1:1">
      <c r="A33" t="s">
        <v>181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0771A-799E-49DA-A94F-6C787350117B}">
  <sheetPr codeName="Sheet8">
    <tabColor rgb="FFFFC000"/>
  </sheetPr>
  <dimension ref="A1:H4"/>
  <sheetViews>
    <sheetView workbookViewId="0">
      <selection activeCell="G4" sqref="G4"/>
    </sheetView>
  </sheetViews>
  <sheetFormatPr defaultRowHeight="12.75"/>
  <cols>
    <col min="1" max="1" width="9.140625" customWidth="1"/>
    <col min="6" max="6" width="9" bestFit="1" customWidth="1"/>
    <col min="7" max="7" width="10.85546875" customWidth="1"/>
  </cols>
  <sheetData>
    <row r="1" spans="1:8" s="106" customFormat="1" ht="45.75" customHeight="1">
      <c r="A1" s="105" t="s">
        <v>201</v>
      </c>
      <c r="B1" s="106">
        <f>COUNTIF(3:9,"No, check notes and consider email to FRS")</f>
        <v>1</v>
      </c>
    </row>
    <row r="2" spans="1:8" s="106" customFormat="1"/>
    <row r="3" spans="1:8" ht="102">
      <c r="A3" s="92" t="s">
        <v>202</v>
      </c>
      <c r="B3" s="94" t="s">
        <v>203</v>
      </c>
      <c r="C3" s="94" t="s">
        <v>204</v>
      </c>
      <c r="D3" s="92" t="s">
        <v>205</v>
      </c>
      <c r="E3" s="92" t="s">
        <v>206</v>
      </c>
      <c r="F3" s="92" t="s">
        <v>207</v>
      </c>
      <c r="G3" s="92" t="s">
        <v>208</v>
      </c>
      <c r="H3" s="92" t="s">
        <v>209</v>
      </c>
    </row>
    <row r="4" spans="1:8" ht="89.25">
      <c r="A4" t="str">
        <f>IF('FP1'!B11&gt;=SUM('FP1'!B13:B15),"Yes","No, email FRS")</f>
        <v>Yes</v>
      </c>
      <c r="B4" t="str">
        <f>IF('FP1'!C11&gt;=SUM('FP1'!C13:C15),"Yes","No, email FRS")</f>
        <v>Yes</v>
      </c>
      <c r="C4" t="str">
        <f>IF('FP1'!B10&gt;='FP1'!B11,"Yes","No, email FRS")</f>
        <v>Yes</v>
      </c>
      <c r="D4" t="str">
        <f>IF('FP1'!C10&gt;='FP1'!C11,"Yes","No, email FRS")</f>
        <v>Yes</v>
      </c>
      <c r="E4" t="str">
        <f>IF('FP1'!B31&gt;='FP1'!B10,"Yes","No, email FRS")</f>
        <v>Yes</v>
      </c>
      <c r="F4" s="93" t="str">
        <f>IF(AND(SUM('FP1'!B10:C10,'FP1'!B16:C16)&lt;SUM('FP1 PY'!B10:C10,'FP1 PY'!B16:C16)*1.35,SUM('FP1'!B10:C10,'FP1'!B16:C16)&gt;SUM('FP1 PY'!B10:C10,'FP1 PY'!B16:C16)*0.75),"Yes", "No, check notes and consider email to FRS")</f>
        <v>No, check notes and consider email to FRS</v>
      </c>
      <c r="G4" t="e">
        <f>IF(AND('FP1'!F28&gt;=1,'FP1'!F28&lt;=5),"Yes","No, check notes and consider email to FRS")</f>
        <v>#DIV/0!</v>
      </c>
      <c r="H4" t="str">
        <f>IF('FP1'!A34="","No notes","Check notes")</f>
        <v>No notes</v>
      </c>
    </row>
  </sheetData>
  <conditionalFormatting sqref="A1:B1">
    <cfRule type="containsText" dxfId="10" priority="3" operator="containsText" text="No, email FRS">
      <formula>NOT(ISERROR(SEARCH("No, email FRS",A1)))</formula>
    </cfRule>
  </conditionalFormatting>
  <conditionalFormatting sqref="A3:H3">
    <cfRule type="containsText" dxfId="9" priority="11" operator="containsText" text="true">
      <formula>NOT(ISERROR(SEARCH("true",A3)))</formula>
    </cfRule>
    <cfRule type="containsText" dxfId="8" priority="12" operator="containsText" text="false">
      <formula>NOT(ISERROR(SEARCH("false",A3)))</formula>
    </cfRule>
  </conditionalFormatting>
  <conditionalFormatting sqref="A3:XFD1048576">
    <cfRule type="containsText" dxfId="7" priority="8" operator="containsText" text="Check notes">
      <formula>NOT(ISERROR(SEARCH("Check notes",A3)))</formula>
    </cfRule>
    <cfRule type="containsText" dxfId="6" priority="9" operator="containsText" text="No, email FRS">
      <formula>NOT(ISERROR(SEARCH("No, email FRS",A3)))</formula>
    </cfRule>
    <cfRule type="containsText" dxfId="5" priority="10" operator="containsText" text="Yes">
      <formula>NOT(ISERROR(SEARCH("Yes",A3)))</formula>
    </cfRule>
  </conditionalFormatting>
  <conditionalFormatting sqref="B1">
    <cfRule type="cellIs" dxfId="4" priority="1" operator="equal">
      <formula>0</formula>
    </cfRule>
    <cfRule type="cellIs" dxfId="3" priority="2" operator="greaterThan">
      <formula>0</formula>
    </cfRule>
  </conditionalFormatting>
  <conditionalFormatting sqref="C1:XFD1 A2:XFD2">
    <cfRule type="containsText" dxfId="2" priority="5" operator="containsText" text="No, email FRS">
      <formula>NOT(ISERROR(SEARCH("No, email FRS",A1)))</formula>
    </cfRule>
  </conditionalFormatting>
  <conditionalFormatting sqref="H4">
    <cfRule type="containsText" dxfId="1" priority="6" operator="containsText" text="No notes">
      <formula>NOT(ISERROR(SEARCH("No notes",H4)))</formula>
    </cfRule>
  </conditionalFormatting>
  <conditionalFormatting sqref="AB1:AC2">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5FA84-04AF-4CE8-B1D9-BF5621441C2E}">
  <sheetPr codeName="Sheet7">
    <tabColor rgb="FFFFFF00"/>
  </sheetPr>
  <dimension ref="A1:C3"/>
  <sheetViews>
    <sheetView workbookViewId="0"/>
  </sheetViews>
  <sheetFormatPr defaultRowHeight="12.75"/>
  <cols>
    <col min="1" max="1" width="23.28515625" bestFit="1" customWidth="1"/>
    <col min="2" max="2" width="4" customWidth="1"/>
    <col min="3" max="3" width="21.140625" bestFit="1" customWidth="1"/>
    <col min="4" max="4" width="4.140625" customWidth="1"/>
  </cols>
  <sheetData>
    <row r="1" spans="1:3">
      <c r="A1" s="79" t="s">
        <v>210</v>
      </c>
      <c r="B1" s="79"/>
      <c r="C1" s="79" t="s">
        <v>211</v>
      </c>
    </row>
    <row r="2" spans="1:3">
      <c r="A2">
        <v>-40</v>
      </c>
      <c r="C2">
        <v>0.75</v>
      </c>
    </row>
    <row r="3" spans="1:3">
      <c r="A3">
        <v>40</v>
      </c>
      <c r="C3">
        <v>1.25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sisl xmlns:xsi="http://www.w3.org/2001/XMLSchema-instance" xmlns:xsd="http://www.w3.org/2001/XMLSchema" xmlns="http://www.boldonjames.com/2008/01/sie/internal/label" sislVersion="0" policy="8270c081-d9f3-48ae-83c7-c2320a8ca25c"/>
</file>

<file path=customXml/item3.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538E8C4-21EF-4A40-9B49-2B5C83717E55}">
  <ds:schemaRefs>
    <ds:schemaRef ds:uri="http://schemas.microsoft.com/sharepoint/v3/contenttype/forms"/>
  </ds:schemaRefs>
</ds:datastoreItem>
</file>

<file path=customXml/itemProps2.xml><?xml version="1.0" encoding="utf-8"?>
<ds:datastoreItem xmlns:ds="http://schemas.openxmlformats.org/officeDocument/2006/customXml" ds:itemID="{05FE6335-79B6-41CC-869F-666DDD3335F4}">
  <ds:schemaRefs>
    <ds:schemaRef ds:uri="http://www.w3.org/2001/XMLSchema"/>
    <ds:schemaRef ds:uri="http://www.boldonjames.com/2008/01/sie/internal/label"/>
  </ds:schemaRefs>
</ds:datastoreItem>
</file>

<file path=customXml/itemProps3.xml><?xml version="1.0" encoding="utf-8"?>
<ds:datastoreItem xmlns:ds="http://schemas.openxmlformats.org/officeDocument/2006/customXml" ds:itemID="{4A1FF292-22B9-4FD0-80C9-4F888FE8D773}">
  <ds:schemaRefs>
    <ds:schemaRef ds:uri="http://schemas.microsoft.com/office/2006/documentManagement/types"/>
    <ds:schemaRef ds:uri="http://purl.org/dc/terms/"/>
    <ds:schemaRef ds:uri="http://purl.org/dc/dcmitype/"/>
    <ds:schemaRef ds:uri="http://schemas.microsoft.com/office/2006/metadata/properties"/>
    <ds:schemaRef ds:uri="http://schemas.openxmlformats.org/package/2006/metadata/core-properties"/>
    <ds:schemaRef ds:uri="http://www.w3.org/XML/1998/namespace"/>
    <ds:schemaRef ds:uri="f8e9d96c-a07e-4933-9220-38ca5ec96d4e"/>
    <ds:schemaRef ds:uri="http://schemas.microsoft.com/office/infopath/2007/PartnerControls"/>
    <ds:schemaRef ds:uri="http://purl.org/dc/elements/1.1/"/>
    <ds:schemaRef ds:uri="f2aea08d-7fae-41c6-92ff-91df552a059b"/>
  </ds:schemaRefs>
</ds:datastoreItem>
</file>

<file path=customXml/itemProps4.xml><?xml version="1.0" encoding="utf-8"?>
<ds:datastoreItem xmlns:ds="http://schemas.openxmlformats.org/officeDocument/2006/customXml" ds:itemID="{FE8C5B25-2523-4314-8D70-53D08EA5F0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Cover</vt:lpstr>
      <vt:lpstr>Guidance</vt:lpstr>
      <vt:lpstr>FP1</vt:lpstr>
      <vt:lpstr>FP1a - PY data</vt:lpstr>
      <vt:lpstr>FP1b - PY data</vt:lpstr>
      <vt:lpstr>FP1 PY</vt:lpstr>
      <vt:lpstr>QA checks</vt:lpstr>
      <vt:lpstr>QA check thresholds</vt:lpstr>
      <vt:lpstr>Cover!Print_Area</vt:lpstr>
      <vt:lpstr>'FP1'!Print_Area</vt:lpstr>
      <vt:lpstr>Guidance!Print_Area</vt:lpstr>
    </vt:vector>
  </TitlesOfParts>
  <Manager/>
  <Company>CLG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Dbega</dc:creator>
  <cp:keywords/>
  <dc:description/>
  <cp:lastModifiedBy>Katrina Ihebunezie</cp:lastModifiedBy>
  <cp:revision/>
  <dcterms:created xsi:type="dcterms:W3CDTF">2010-01-04T09:27:31Z</dcterms:created>
  <dcterms:modified xsi:type="dcterms:W3CDTF">2026-01-13T18:23:31Z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733f3c00-eb34-4703-b090-02ab6b0218fd</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