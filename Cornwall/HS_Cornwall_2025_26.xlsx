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28"/>
  <workbookPr codeName="ThisWorkbook" defaultThemeVersion="124226"/>
  <mc:AlternateContent xmlns:mc="http://schemas.openxmlformats.org/markup-compatibility/2006">
    <mc:Choice Requires="x15">
      <x15ac:absPath xmlns:x15ac="http://schemas.microsoft.com/office/spreadsheetml/2010/11/ac" url="https://mhclg-my.sharepoint.com/personal/katrina_ihebunezie_communities_gov_uk/Documents/Desktop/OS/2025_26/Returns/Cornwall/"/>
    </mc:Choice>
  </mc:AlternateContent>
  <xr:revisionPtr revIDLastSave="0" documentId="8_{B34C45AA-4DD3-46A6-8E0E-537A833A8F04}" xr6:coauthVersionLast="47" xr6:coauthVersionMax="47" xr10:uidLastSave="{00000000-0000-0000-0000-000000000000}"/>
  <bookViews>
    <workbookView xWindow="-110" yWindow="-110" windowWidth="22780" windowHeight="14540" tabRatio="619" xr2:uid="{00000000-000D-0000-FFFF-FFFF00000000}"/>
  </bookViews>
  <sheets>
    <sheet name="Cover" sheetId="1" r:id="rId1"/>
    <sheet name="Guidance" sheetId="19" r:id="rId2"/>
    <sheet name="HS1" sheetId="25" r:id="rId3"/>
    <sheet name="HS2" sheetId="26" r:id="rId4"/>
    <sheet name="QA checks" sheetId="29" r:id="rId5"/>
    <sheet name="HS - PY data" sheetId="28" r:id="rId6"/>
    <sheet name="HS1 PY" sheetId="17" r:id="rId7"/>
    <sheet name="HS2 PY" sheetId="20" r:id="rId8"/>
    <sheet name="QA check thresholds" sheetId="27" r:id="rId9"/>
  </sheets>
  <externalReferences>
    <externalReference r:id="rId10"/>
  </externalReferences>
  <definedNames>
    <definedName name="_ftnref1" localSheetId="1">Guidance!$A$28</definedName>
    <definedName name="_Toc257106260" localSheetId="1">Guidance!$A$1</definedName>
    <definedName name="Data" localSheetId="3">#REF!</definedName>
    <definedName name="Data" localSheetId="7">#REF!</definedName>
    <definedName name="Data" localSheetId="8">#REF!</definedName>
    <definedName name="Data">#REF!</definedName>
    <definedName name="FS3_f">#REF!</definedName>
    <definedName name="FS3_formula">#REF!</definedName>
    <definedName name="FS4_formula">#REF!</definedName>
    <definedName name="FS5_formula">#REF!</definedName>
    <definedName name="FS9_f">'[1]FS9 2020-21'!#REF!</definedName>
    <definedName name="FS9_formula">[1]FS9!#REF!</definedName>
    <definedName name="HR1_formula">#REF!</definedName>
    <definedName name="HR2_f">#REF!</definedName>
    <definedName name="HR2_formula" localSheetId="3">#REF!</definedName>
    <definedName name="HR2_formula" localSheetId="7">#REF!</definedName>
    <definedName name="HR2_formula">#REF!</definedName>
    <definedName name="HR3_formula" localSheetId="3">#REF!</definedName>
    <definedName name="HR3_formula" localSheetId="7">#REF!</definedName>
    <definedName name="HR3_formula">#REF!</definedName>
    <definedName name="HR4_formula" localSheetId="3">#REF!</definedName>
    <definedName name="HR4_formula" localSheetId="7">#REF!</definedName>
    <definedName name="HR4_formula">#REF!</definedName>
    <definedName name="HR5_formula" localSheetId="3">#REF!</definedName>
    <definedName name="HR5_formula" localSheetId="7">#REF!</definedName>
    <definedName name="HR5_formula">#REF!</definedName>
    <definedName name="_xlnm.Print_Area" localSheetId="0">Cover!$A$1:$I$24</definedName>
    <definedName name="_xlnm.Print_Area" localSheetId="1">Guidance!$A$1:$B$90</definedName>
    <definedName name="_xlnm.Print_Area" localSheetId="2">'HS1'!$A$1:$H$12</definedName>
    <definedName name="_xlnm.Print_Area" localSheetId="6">'HS1 PY'!$A$1:$H$12</definedName>
    <definedName name="_xlnm.Print_Area" localSheetId="3">'HS2'!$A$1:$H$12</definedName>
    <definedName name="_xlnm.Print_Area" localSheetId="7">'HS2 PY'!$A$1:$H$12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9" i="25" l="1"/>
  <c r="A11" i="1"/>
  <c r="A10" i="1"/>
  <c r="E4" i="20" l="1"/>
  <c r="D4" i="20"/>
  <c r="E4" i="17"/>
  <c r="D4" i="17"/>
  <c r="C12" i="17" s="1" a="1"/>
  <c r="C12" i="17" s="1"/>
  <c r="H9" i="26"/>
  <c r="B9" i="20" l="1" a="1"/>
  <c r="B9" i="20" s="1"/>
  <c r="C9" i="17" a="1"/>
  <c r="C9" i="17" s="1"/>
  <c r="E9" i="17" a="1"/>
  <c r="E9" i="17" s="1"/>
  <c r="G9" i="17" a="1"/>
  <c r="G9" i="17" s="1"/>
  <c r="D10" i="17" a="1"/>
  <c r="D10" i="17" s="1"/>
  <c r="E11" i="17" a="1"/>
  <c r="E11" i="17" s="1"/>
  <c r="G12" i="17" a="1"/>
  <c r="G12" i="17" s="1"/>
  <c r="B9" i="17" a="1"/>
  <c r="B9" i="17" s="1"/>
  <c r="D9" i="17" a="1"/>
  <c r="D9" i="17" s="1"/>
  <c r="F9" i="17" a="1"/>
  <c r="F9" i="17" s="1"/>
  <c r="B10" i="17" a="1"/>
  <c r="B10" i="17" s="1"/>
  <c r="G10" i="17" a="1"/>
  <c r="G10" i="17" s="1"/>
  <c r="C10" i="17" a="1"/>
  <c r="C10" i="17" s="1"/>
  <c r="E10" i="17" a="1"/>
  <c r="E10" i="17" s="1"/>
  <c r="C11" i="17" a="1"/>
  <c r="C11" i="17" s="1"/>
  <c r="G11" i="17" a="1"/>
  <c r="G11" i="17" s="1"/>
  <c r="E12" i="17" a="1"/>
  <c r="E12" i="17" s="1"/>
  <c r="F10" i="17" a="1"/>
  <c r="F10" i="17" s="1"/>
  <c r="B11" i="17" a="1"/>
  <c r="B11" i="17" s="1"/>
  <c r="D11" i="17" a="1"/>
  <c r="D11" i="17" s="1"/>
  <c r="F11" i="17" a="1"/>
  <c r="F11" i="17" s="1"/>
  <c r="B12" i="17" a="1"/>
  <c r="B12" i="17" s="1"/>
  <c r="D12" i="17" a="1"/>
  <c r="D12" i="17" s="1"/>
  <c r="F12" i="17" a="1"/>
  <c r="F12" i="17" s="1"/>
  <c r="G12" i="20" a="1"/>
  <c r="G12" i="20" s="1"/>
  <c r="C9" i="20" a="1"/>
  <c r="C9" i="20" s="1"/>
  <c r="D9" i="20" a="1"/>
  <c r="D9" i="20" s="1"/>
  <c r="E9" i="20" a="1"/>
  <c r="E9" i="20" s="1"/>
  <c r="F9" i="20" a="1"/>
  <c r="F9" i="20" s="1"/>
  <c r="G9" i="20" a="1"/>
  <c r="G9" i="20" s="1"/>
  <c r="B11" i="20" a="1"/>
  <c r="B11" i="20" s="1"/>
  <c r="C11" i="20" a="1"/>
  <c r="C11" i="20" s="1"/>
  <c r="D11" i="20" a="1"/>
  <c r="D11" i="20" s="1"/>
  <c r="E11" i="20" a="1"/>
  <c r="E11" i="20" s="1"/>
  <c r="F11" i="20" a="1"/>
  <c r="F11" i="20" s="1"/>
  <c r="G11" i="20" a="1"/>
  <c r="G11" i="20" s="1"/>
  <c r="B10" i="20" a="1"/>
  <c r="B10" i="20" s="1"/>
  <c r="C10" i="20" a="1"/>
  <c r="C10" i="20" s="1"/>
  <c r="D10" i="20" a="1"/>
  <c r="D10" i="20" s="1"/>
  <c r="E10" i="20" a="1"/>
  <c r="E10" i="20" s="1"/>
  <c r="F10" i="20" a="1"/>
  <c r="F10" i="20" s="1"/>
  <c r="G10" i="20" a="1"/>
  <c r="G10" i="20" s="1"/>
  <c r="B12" i="20" a="1"/>
  <c r="B12" i="20" s="1"/>
  <c r="C12" i="20" a="1"/>
  <c r="C12" i="20" s="1"/>
  <c r="D12" i="20" a="1"/>
  <c r="D12" i="20" s="1"/>
  <c r="E12" i="20" a="1"/>
  <c r="E12" i="20" s="1"/>
  <c r="F12" i="20" a="1"/>
  <c r="F12" i="20" s="1"/>
  <c r="H12" i="26"/>
  <c r="H11" i="26"/>
  <c r="H10" i="26"/>
  <c r="H12" i="25"/>
  <c r="H11" i="25"/>
  <c r="H10" i="25"/>
  <c r="H9" i="20" l="1"/>
  <c r="H12" i="20"/>
  <c r="H10" i="20"/>
  <c r="H11" i="20"/>
  <c r="H12" i="17"/>
  <c r="H11" i="17"/>
  <c r="H10" i="17"/>
  <c r="H9" i="17"/>
  <c r="C250" i="1" l="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<sst xmlns="http://schemas.openxmlformats.org/spreadsheetml/2006/main" count="281" uniqueCount="232">
  <si>
    <t>2024_25</t>
  </si>
  <si>
    <t xml:space="preserve">Operational Statistics Collection </t>
  </si>
  <si>
    <t>Health and safety (HS)</t>
  </si>
  <si>
    <t>Index of Tables</t>
  </si>
  <si>
    <t>Description</t>
  </si>
  <si>
    <t>HS1</t>
  </si>
  <si>
    <t>Injuries during operational incidents</t>
  </si>
  <si>
    <t>HS2</t>
  </si>
  <si>
    <t>Injuries during training and routine activities</t>
  </si>
  <si>
    <t>Guidance</t>
  </si>
  <si>
    <t>Guidance notes</t>
  </si>
  <si>
    <t>Key</t>
  </si>
  <si>
    <t xml:space="preserve">Cells highlighted yellow following data entry indicate a significant change in the figures inputted relative to the previous year. Please double check the relevant figures prior to submitting this return. </t>
  </si>
  <si>
    <t>Contact</t>
  </si>
  <si>
    <t>E-mail Address</t>
  </si>
  <si>
    <t>If you have any comments on the data submitted please provide them in the box below. If not, please leave blank.</t>
  </si>
  <si>
    <t>FRS Selector&gt;&gt;&gt;&gt;&gt;</t>
  </si>
  <si>
    <t>Avon</t>
  </si>
  <si>
    <t>E31000001</t>
  </si>
  <si>
    <t>Bedfordshire</t>
  </si>
  <si>
    <t>E31000002</t>
  </si>
  <si>
    <t>Berkshire</t>
  </si>
  <si>
    <t>E31000003</t>
  </si>
  <si>
    <t>Buckinghamshire</t>
  </si>
  <si>
    <t>E31000004</t>
  </si>
  <si>
    <t>Cambridgeshire</t>
  </si>
  <si>
    <t>E31000005</t>
  </si>
  <si>
    <t>Cheshire</t>
  </si>
  <si>
    <t>E31000006</t>
  </si>
  <si>
    <t>Cleveland</t>
  </si>
  <si>
    <t>E31000007</t>
  </si>
  <si>
    <t>Cornwall</t>
  </si>
  <si>
    <t>E31000008</t>
  </si>
  <si>
    <t>Cumbria</t>
  </si>
  <si>
    <t>E31000009</t>
  </si>
  <si>
    <t>Derbyshire</t>
  </si>
  <si>
    <t>E31000010</t>
  </si>
  <si>
    <t>Devon and Somerset</t>
  </si>
  <si>
    <t>E31000011</t>
  </si>
  <si>
    <t>Dorset and Wiltshire</t>
  </si>
  <si>
    <t>E31000047</t>
  </si>
  <si>
    <t>Durham</t>
  </si>
  <si>
    <t>E31000013</t>
  </si>
  <si>
    <t>East Sussex</t>
  </si>
  <si>
    <t>E31000014</t>
  </si>
  <si>
    <t>Essex</t>
  </si>
  <si>
    <t>E31000015</t>
  </si>
  <si>
    <t>Gloucestershire</t>
  </si>
  <si>
    <t>E31000016</t>
  </si>
  <si>
    <t>Greater London</t>
  </si>
  <si>
    <t>E31000046</t>
  </si>
  <si>
    <t>Greater Manchester</t>
  </si>
  <si>
    <t>E31000040</t>
  </si>
  <si>
    <t>Hampshire and Isle of Wight</t>
  </si>
  <si>
    <t>E31000017</t>
  </si>
  <si>
    <t>Hereford and Worcester</t>
  </si>
  <si>
    <t>E31000018</t>
  </si>
  <si>
    <t>Hertfordshire</t>
  </si>
  <si>
    <t>E31000019</t>
  </si>
  <si>
    <t>Humberside</t>
  </si>
  <si>
    <t>E31000020</t>
  </si>
  <si>
    <t>Isles Of Scilly</t>
  </si>
  <si>
    <t>E31000039</t>
  </si>
  <si>
    <t>Kent</t>
  </si>
  <si>
    <t>E31000022</t>
  </si>
  <si>
    <t>Lancashire</t>
  </si>
  <si>
    <t>E31000023</t>
  </si>
  <si>
    <t>Leicestershire</t>
  </si>
  <si>
    <t>E31000024</t>
  </si>
  <si>
    <t>Lincolnshire</t>
  </si>
  <si>
    <t>E31000025</t>
  </si>
  <si>
    <t>Merseyside</t>
  </si>
  <si>
    <t>E31000041</t>
  </si>
  <si>
    <t>Norfolk</t>
  </si>
  <si>
    <t>E31000026</t>
  </si>
  <si>
    <t>North Yorkshire</t>
  </si>
  <si>
    <t>E31000027</t>
  </si>
  <si>
    <t>Northamptonshire</t>
  </si>
  <si>
    <t>E31000028</t>
  </si>
  <si>
    <t>Northumberland</t>
  </si>
  <si>
    <t>E31000029</t>
  </si>
  <si>
    <t>Nottinghamshire</t>
  </si>
  <si>
    <t>E31000030</t>
  </si>
  <si>
    <t>Oxfordshire</t>
  </si>
  <si>
    <t>E31000031</t>
  </si>
  <si>
    <t>Shropshire</t>
  </si>
  <si>
    <t>E31000032</t>
  </si>
  <si>
    <t>South Yorkshire</t>
  </si>
  <si>
    <t>E31000042</t>
  </si>
  <si>
    <t>Staffordshire</t>
  </si>
  <si>
    <t>E31000033</t>
  </si>
  <si>
    <t>Suffolk</t>
  </si>
  <si>
    <t>E31000034</t>
  </si>
  <si>
    <t>Surrey</t>
  </si>
  <si>
    <t>E31000035</t>
  </si>
  <si>
    <t>Tyne and Wear</t>
  </si>
  <si>
    <t>E31000043</t>
  </si>
  <si>
    <t>Warwickshire</t>
  </si>
  <si>
    <t>E31000036</t>
  </si>
  <si>
    <t>West Midlands</t>
  </si>
  <si>
    <t>E31000044</t>
  </si>
  <si>
    <t>West Sussex</t>
  </si>
  <si>
    <t>E31000037</t>
  </si>
  <si>
    <t>West Yorkshire</t>
  </si>
  <si>
    <t>E31000045</t>
  </si>
  <si>
    <t>North West Fire Control</t>
  </si>
  <si>
    <t>NWFC</t>
  </si>
  <si>
    <t>Template FRS</t>
  </si>
  <si>
    <t>2023_24</t>
  </si>
  <si>
    <t>2022/23</t>
  </si>
  <si>
    <t>2023/24</t>
  </si>
  <si>
    <t>2025_26</t>
  </si>
  <si>
    <t>2024/25</t>
  </si>
  <si>
    <t>2026_27</t>
  </si>
  <si>
    <t>2025/26</t>
  </si>
  <si>
    <t>2027_28</t>
  </si>
  <si>
    <t>2026/27</t>
  </si>
  <si>
    <t>2028_29</t>
  </si>
  <si>
    <t>2027/28</t>
  </si>
  <si>
    <t>Guidance notes for injuries occurring to FRS staff during operational incidents, training and routine activities (HS1-2)</t>
  </si>
  <si>
    <t xml:space="preserve">HS1 and HS2 cover injuries occurring to FRS staff during operational incidents, training and routine activities, during the latest period 1 April to 31 March. </t>
  </si>
  <si>
    <t>This information is used to monitor health and safety issues.</t>
  </si>
  <si>
    <t xml:space="preserve">The form collects information on: </t>
  </si>
  <si>
    <t xml:space="preserve">a) Total number of personnel injured     </t>
  </si>
  <si>
    <t xml:space="preserve">b) Number of "Over 7 day injuries"     </t>
  </si>
  <si>
    <t xml:space="preserve">c) Number of RIDDOR major injuries     </t>
  </si>
  <si>
    <t xml:space="preserve">d) Number of fatalities     </t>
  </si>
  <si>
    <t>For more information about RIDDOR (Reporting of Injuries, Diseases and Dangerous Occurrences Regulations) see-</t>
  </si>
  <si>
    <t>http://www.hse.gov.uk/riddor/key-definitions.htm</t>
  </si>
  <si>
    <t>Definitions</t>
  </si>
  <si>
    <t>Wholetime firefighter:</t>
  </si>
  <si>
    <r>
      <t>A person employed</t>
    </r>
    <r>
      <rPr>
        <b/>
        <sz val="12"/>
        <rFont val="Arial"/>
        <family val="2"/>
      </rPr>
      <t xml:space="preserve"> </t>
    </r>
    <r>
      <rPr>
        <sz val="12"/>
        <rFont val="Arial"/>
        <family val="2"/>
      </rPr>
      <t>as a</t>
    </r>
    <r>
      <rPr>
        <b/>
        <sz val="12"/>
        <rFont val="Arial"/>
        <family val="2"/>
      </rPr>
      <t xml:space="preserve"> full-time</t>
    </r>
    <r>
      <rPr>
        <sz val="12"/>
        <rFont val="Arial"/>
        <family val="2"/>
      </rPr>
      <t xml:space="preserve"> firefighter regardless of their rank (including riders, non-operational staff and flexible duty officers, and recruits in training). </t>
    </r>
  </si>
  <si>
    <t>On call firefighter:</t>
  </si>
  <si>
    <t>On call firefighters (i.e. those on the Retained Duty System, RDS) respond when required during their ‘on call’ hours to their nominated station which should be close to where they live or work. They are trained to deal with a range of situations, including fires, road traffic incidents, dealing with hazardous materials and floods. This may also include fire safety work. On call staff could have an alternative full time employment.</t>
  </si>
  <si>
    <r>
      <t>Total number of personnel injured:</t>
    </r>
    <r>
      <rPr>
        <b/>
        <sz val="12"/>
        <color indexed="8"/>
        <rFont val="Arial"/>
        <family val="2"/>
      </rPr>
      <t xml:space="preserve"> </t>
    </r>
  </si>
  <si>
    <t>Number of individuals sustaining injuries during an activity.</t>
  </si>
  <si>
    <r>
      <t>Multiple injuries</t>
    </r>
    <r>
      <rPr>
        <sz val="12"/>
        <color indexed="8"/>
        <rFont val="Arial"/>
        <family val="2"/>
      </rPr>
      <t xml:space="preserve"> to an individual sustained </t>
    </r>
    <r>
      <rPr>
        <b/>
        <sz val="12"/>
        <color indexed="8"/>
        <rFont val="Arial"/>
        <family val="2"/>
      </rPr>
      <t>during a single event</t>
    </r>
    <r>
      <rPr>
        <sz val="12"/>
        <color indexed="8"/>
        <rFont val="Arial"/>
        <family val="2"/>
      </rPr>
      <t xml:space="preserve"> should be counted as a </t>
    </r>
    <r>
      <rPr>
        <b/>
        <sz val="12"/>
        <color indexed="8"/>
        <rFont val="Arial"/>
        <family val="2"/>
      </rPr>
      <t>single injury</t>
    </r>
    <r>
      <rPr>
        <sz val="12"/>
        <color indexed="8"/>
        <rFont val="Arial"/>
        <family val="2"/>
      </rPr>
      <t xml:space="preserve">. Please refer to injured persons not injuries </t>
    </r>
    <r>
      <rPr>
        <i/>
        <sz val="12"/>
        <color indexed="8"/>
        <rFont val="Arial"/>
        <family val="2"/>
      </rPr>
      <t>e.g.</t>
    </r>
    <r>
      <rPr>
        <sz val="12"/>
        <color indexed="8"/>
        <rFont val="Arial"/>
        <family val="2"/>
      </rPr>
      <t xml:space="preserve"> a broken arm and leg = 1 injury. </t>
    </r>
  </si>
  <si>
    <t>However, if a person was injured in more than one activity please count more than once. For example, if the same person was injured during three different operational activities, they will be counted three times.</t>
  </si>
  <si>
    <t>RIDDOR:</t>
  </si>
  <si>
    <t xml:space="preserve">The Reporting of Injuries, Diseases and Dangerous Occurrences Regulations 2013 (RIDDOR), place a legal duty on employers, self-employed people, people in control of premises to report: </t>
  </si>
  <si>
    <r>
      <t>a)</t>
    </r>
    <r>
      <rPr>
        <sz val="7"/>
        <color indexed="8"/>
        <rFont val="Times New Roman"/>
        <family val="1"/>
      </rPr>
      <t xml:space="preserve">     </t>
    </r>
    <r>
      <rPr>
        <sz val="12"/>
        <color indexed="8"/>
        <rFont val="Arial"/>
        <family val="2"/>
      </rPr>
      <t>work-related deaths</t>
    </r>
  </si>
  <si>
    <r>
      <t>b)</t>
    </r>
    <r>
      <rPr>
        <sz val="7"/>
        <color indexed="8"/>
        <rFont val="Times New Roman"/>
        <family val="1"/>
      </rPr>
      <t xml:space="preserve">     </t>
    </r>
    <r>
      <rPr>
        <sz val="12"/>
        <color indexed="8"/>
        <rFont val="Arial"/>
        <family val="2"/>
      </rPr>
      <t>major injuries</t>
    </r>
  </si>
  <si>
    <r>
      <t>c)</t>
    </r>
    <r>
      <rPr>
        <sz val="7"/>
        <color indexed="8"/>
        <rFont val="Times New Roman"/>
        <family val="1"/>
      </rPr>
      <t xml:space="preserve">      </t>
    </r>
    <r>
      <rPr>
        <sz val="12"/>
        <color indexed="8"/>
        <rFont val="Arial"/>
        <family val="2"/>
      </rPr>
      <t xml:space="preserve">or over-seven-day injuries, </t>
    </r>
  </si>
  <si>
    <r>
      <t>d)</t>
    </r>
    <r>
      <rPr>
        <sz val="7"/>
        <color indexed="8"/>
        <rFont val="Times New Roman"/>
        <family val="1"/>
      </rPr>
      <t xml:space="preserve">     </t>
    </r>
    <r>
      <rPr>
        <sz val="12"/>
        <color indexed="8"/>
        <rFont val="Arial"/>
        <family val="2"/>
      </rPr>
      <t xml:space="preserve">work related diseases, </t>
    </r>
  </si>
  <si>
    <r>
      <t>e)</t>
    </r>
    <r>
      <rPr>
        <sz val="7"/>
        <color indexed="8"/>
        <rFont val="Times New Roman"/>
        <family val="1"/>
      </rPr>
      <t>    </t>
    </r>
    <r>
      <rPr>
        <sz val="12"/>
        <color indexed="8"/>
        <rFont val="Arial"/>
        <family val="2"/>
      </rPr>
      <t>and dangerous occurrences (near miss accidents)</t>
    </r>
  </si>
  <si>
    <t>The return should collect all injuries that are classified as RIDDOR and not just RIDDOR reportable. The guidance was updated in 2013 with the latest HSE guidance available here http://www.hse.gov.uk/riddor/</t>
  </si>
  <si>
    <t>Over 7 day injuries:</t>
  </si>
  <si>
    <r>
      <t xml:space="preserve">This category refers to actual number of injuries sustained during an activity, which were not ‘major’ </t>
    </r>
    <r>
      <rPr>
        <b/>
        <sz val="12"/>
        <rFont val="Arial"/>
        <family val="2"/>
      </rPr>
      <t>as defined</t>
    </r>
    <r>
      <rPr>
        <sz val="12"/>
        <rFont val="Arial"/>
        <family val="2"/>
      </rPr>
      <t xml:space="preserve"> in RIDDOR, but resulted in the person being unavailable for their normal duties for a period of more than seven days. This was updated for 2018-19 and means the figures are not comparable with pre 2017-18 data.</t>
    </r>
  </si>
  <si>
    <r>
      <t>RIDDOR Major injuries:</t>
    </r>
    <r>
      <rPr>
        <sz val="12"/>
        <color indexed="8"/>
        <rFont val="Arial"/>
        <family val="2"/>
      </rPr>
      <t xml:space="preserve"> </t>
    </r>
  </si>
  <si>
    <r>
      <t xml:space="preserve">Injuries sustained during each activity for each group which resulted in an injury that is </t>
    </r>
    <r>
      <rPr>
        <b/>
        <sz val="12"/>
        <color indexed="8"/>
        <rFont val="Arial"/>
        <family val="2"/>
      </rPr>
      <t>defined</t>
    </r>
    <r>
      <rPr>
        <sz val="12"/>
        <color indexed="8"/>
        <rFont val="Arial"/>
        <family val="2"/>
      </rPr>
      <t xml:space="preserve"> in RIDDOR as a ‘major’ injury.</t>
    </r>
  </si>
  <si>
    <t>The list of ‘specified injuries’ that are 'major injuries' in RIDDOR 2013 replaces the previous list of ‘major injuries’ in RIDDOR 1995. Specified injuries are (regulation 4): 
Fractures, other than to fingers, thumbs and toes
Amputations
Any injury likely to lead to permanent loss of sight or reduction in sight
Any crush injury to the head or torso causing damage to the brain or internal organs
Serious burns (including scalding) which: covers more than 10% of the body
Causes significant damage to the eyes, respiratory system or other vital organs
Any scalping requiring hospital treatment
Any loss of consciousness caused by head injury or asphyxia
Any other injury arising from working in an enclosed space which: leads to hypothermia or heat-induced illness 
Requires resuscitation or admittance to hospital for more than 24 hours
Further guidance is available from HSE</t>
  </si>
  <si>
    <t>Operational incidents:</t>
  </si>
  <si>
    <t xml:space="preserve">Incidents recorded by the FRA at fires, road traffic accidents and other special service incidents. </t>
  </si>
  <si>
    <r>
      <t xml:space="preserve">This category includes incidents/injuries occurred while </t>
    </r>
    <r>
      <rPr>
        <b/>
        <sz val="12"/>
        <color indexed="8"/>
        <rFont val="Arial"/>
        <family val="2"/>
      </rPr>
      <t>responding to an emergency</t>
    </r>
    <r>
      <rPr>
        <sz val="12"/>
        <color indexed="8"/>
        <rFont val="Arial"/>
        <family val="2"/>
      </rPr>
      <t>. Please record in the relevant category depending on whether the fire call was for a fire, a road traffic collision or other special service incidents. For example, injuries occurring whilst responding to fire incidents (e.g. a retained person en route to the fire station) are to be included in HS1 under fire. If an injury occurs whilst returning from an incident, this is to be included under HS1.</t>
    </r>
  </si>
  <si>
    <r>
      <t xml:space="preserve">The </t>
    </r>
    <r>
      <rPr>
        <b/>
        <sz val="12"/>
        <color indexed="8"/>
        <rFont val="Arial"/>
        <family val="2"/>
      </rPr>
      <t>incident is considered to be ongoing until such time as the person is back at the station</t>
    </r>
    <r>
      <rPr>
        <sz val="12"/>
        <color indexed="8"/>
        <rFont val="Arial"/>
        <family val="2"/>
      </rPr>
      <t xml:space="preserve"> or, if preceding other duties such as hydrant testing or training, then until commencing that activity.</t>
    </r>
  </si>
  <si>
    <t>Fire incidents:</t>
  </si>
  <si>
    <t>Primary and secondary fire incidents.</t>
  </si>
  <si>
    <t>Road traffic collisions:</t>
  </si>
  <si>
    <t xml:space="preserve">Non-fire incidents which require the attendance of the Fire and Rescue Services for collisions involving road vehicles (i.e. large and small vehicles, including motorbikes). </t>
  </si>
  <si>
    <t xml:space="preserve">Other special service incidents: </t>
  </si>
  <si>
    <t>Non-fire incidents which require the attendance of an appliance or officer and include:</t>
  </si>
  <si>
    <r>
      <t>Ø</t>
    </r>
    <r>
      <rPr>
        <sz val="7"/>
        <color indexed="8"/>
        <rFont val="Times New Roman"/>
        <family val="1"/>
      </rPr>
      <t xml:space="preserve">        </t>
    </r>
    <r>
      <rPr>
        <sz val="12"/>
        <color indexed="8"/>
        <rFont val="Arial"/>
        <family val="2"/>
      </rPr>
      <t>Flooding</t>
    </r>
  </si>
  <si>
    <r>
      <t>Ø</t>
    </r>
    <r>
      <rPr>
        <sz val="7"/>
        <color indexed="8"/>
        <rFont val="Times New Roman"/>
        <family val="1"/>
      </rPr>
      <t xml:space="preserve">        </t>
    </r>
    <r>
      <rPr>
        <sz val="12"/>
        <color indexed="8"/>
        <rFont val="Arial"/>
        <family val="2"/>
      </rPr>
      <t>Rescue or evacuation from water</t>
    </r>
  </si>
  <si>
    <r>
      <t>Ø</t>
    </r>
    <r>
      <rPr>
        <sz val="7"/>
        <color indexed="8"/>
        <rFont val="Times New Roman"/>
        <family val="1"/>
      </rPr>
      <t xml:space="preserve">        </t>
    </r>
    <r>
      <rPr>
        <sz val="12"/>
        <color indexed="8"/>
        <rFont val="Arial"/>
        <family val="2"/>
      </rPr>
      <t>Other rescue/release of persons</t>
    </r>
  </si>
  <si>
    <r>
      <t>Ø</t>
    </r>
    <r>
      <rPr>
        <sz val="7"/>
        <color indexed="8"/>
        <rFont val="Times New Roman"/>
        <family val="1"/>
      </rPr>
      <t xml:space="preserve">        </t>
    </r>
    <r>
      <rPr>
        <sz val="12"/>
        <color indexed="8"/>
        <rFont val="Arial"/>
        <family val="2"/>
      </rPr>
      <t>Animal assistance incidents</t>
    </r>
  </si>
  <si>
    <r>
      <t>Ø</t>
    </r>
    <r>
      <rPr>
        <sz val="7"/>
        <color indexed="8"/>
        <rFont val="Times New Roman"/>
        <family val="1"/>
      </rPr>
      <t xml:space="preserve">        </t>
    </r>
    <r>
      <rPr>
        <sz val="12"/>
        <color indexed="8"/>
        <rFont val="Arial"/>
        <family val="2"/>
      </rPr>
      <t>Hazardous Materials incident</t>
    </r>
  </si>
  <si>
    <r>
      <t>Ø</t>
    </r>
    <r>
      <rPr>
        <sz val="7"/>
        <color indexed="8"/>
        <rFont val="Times New Roman"/>
        <family val="1"/>
      </rPr>
      <t xml:space="preserve">        </t>
    </r>
    <r>
      <rPr>
        <sz val="12"/>
        <color indexed="8"/>
        <rFont val="Arial"/>
        <family val="2"/>
      </rPr>
      <t>Spills and Leaks (not RTC)</t>
    </r>
  </si>
  <si>
    <r>
      <t>Ø</t>
    </r>
    <r>
      <rPr>
        <sz val="7"/>
        <color indexed="8"/>
        <rFont val="Times New Roman"/>
        <family val="1"/>
      </rPr>
      <t xml:space="preserve">        </t>
    </r>
    <r>
      <rPr>
        <sz val="12"/>
        <color indexed="8"/>
        <rFont val="Arial"/>
        <family val="2"/>
      </rPr>
      <t>Lift Release</t>
    </r>
  </si>
  <si>
    <r>
      <t>Ø</t>
    </r>
    <r>
      <rPr>
        <sz val="7"/>
        <color indexed="8"/>
        <rFont val="Times New Roman"/>
        <family val="1"/>
      </rPr>
      <t xml:space="preserve">        </t>
    </r>
    <r>
      <rPr>
        <sz val="12"/>
        <color indexed="8"/>
        <rFont val="Arial"/>
        <family val="2"/>
      </rPr>
      <t>Making Safe (not RTC)</t>
    </r>
  </si>
  <si>
    <r>
      <t>Ø</t>
    </r>
    <r>
      <rPr>
        <sz val="7"/>
        <color indexed="8"/>
        <rFont val="Times New Roman"/>
        <family val="1"/>
      </rPr>
      <t xml:space="preserve">        </t>
    </r>
    <r>
      <rPr>
        <sz val="12"/>
        <color indexed="8"/>
        <rFont val="Arial"/>
        <family val="2"/>
      </rPr>
      <t>Effecting entry/exit</t>
    </r>
  </si>
  <si>
    <r>
      <t>Ø</t>
    </r>
    <r>
      <rPr>
        <sz val="7"/>
        <color indexed="8"/>
        <rFont val="Times New Roman"/>
        <family val="1"/>
      </rPr>
      <t xml:space="preserve">        </t>
    </r>
    <r>
      <rPr>
        <sz val="12"/>
        <color indexed="8"/>
        <rFont val="Arial"/>
        <family val="2"/>
      </rPr>
      <t>Removal of objects from people</t>
    </r>
  </si>
  <si>
    <r>
      <t>Ø</t>
    </r>
    <r>
      <rPr>
        <sz val="7"/>
        <color indexed="8"/>
        <rFont val="Times New Roman"/>
        <family val="1"/>
      </rPr>
      <t xml:space="preserve">        </t>
    </r>
    <r>
      <rPr>
        <sz val="12"/>
        <color indexed="8"/>
        <rFont val="Arial"/>
        <family val="2"/>
      </rPr>
      <t>Suicide/attempts</t>
    </r>
  </si>
  <si>
    <r>
      <t>Ø</t>
    </r>
    <r>
      <rPr>
        <sz val="7"/>
        <color indexed="8"/>
        <rFont val="Times New Roman"/>
        <family val="1"/>
      </rPr>
      <t xml:space="preserve">        </t>
    </r>
    <r>
      <rPr>
        <sz val="12"/>
        <color indexed="8"/>
        <rFont val="Arial"/>
        <family val="2"/>
      </rPr>
      <t>Medical Incident - Co-responder/First responder</t>
    </r>
  </si>
  <si>
    <r>
      <t>Ø</t>
    </r>
    <r>
      <rPr>
        <sz val="7"/>
        <color indexed="8"/>
        <rFont val="Times New Roman"/>
        <family val="1"/>
      </rPr>
      <t xml:space="preserve">        </t>
    </r>
    <r>
      <rPr>
        <sz val="12"/>
        <color indexed="8"/>
        <rFont val="Arial"/>
        <family val="2"/>
      </rPr>
      <t>Evacuation (no fire)</t>
    </r>
  </si>
  <si>
    <r>
      <t>Ø</t>
    </r>
    <r>
      <rPr>
        <sz val="7"/>
        <color indexed="8"/>
        <rFont val="Times New Roman"/>
        <family val="1"/>
      </rPr>
      <t xml:space="preserve">        </t>
    </r>
    <r>
      <rPr>
        <sz val="12"/>
        <color indexed="8"/>
        <rFont val="Arial"/>
        <family val="2"/>
      </rPr>
      <t>Water provision</t>
    </r>
  </si>
  <si>
    <r>
      <t>Ø</t>
    </r>
    <r>
      <rPr>
        <sz val="7"/>
        <color indexed="8"/>
        <rFont val="Times New Roman"/>
        <family val="1"/>
      </rPr>
      <t xml:space="preserve">        </t>
    </r>
    <r>
      <rPr>
        <sz val="12"/>
        <color indexed="8"/>
        <rFont val="Arial"/>
        <family val="2"/>
      </rPr>
      <t>Assist other agencies</t>
    </r>
  </si>
  <si>
    <r>
      <t>Ø</t>
    </r>
    <r>
      <rPr>
        <sz val="7"/>
        <color indexed="8"/>
        <rFont val="Times New Roman"/>
        <family val="1"/>
      </rPr>
      <t xml:space="preserve">        </t>
    </r>
    <r>
      <rPr>
        <sz val="12"/>
        <color indexed="8"/>
        <rFont val="Arial"/>
        <family val="2"/>
      </rPr>
      <t>Advice Only</t>
    </r>
  </si>
  <si>
    <r>
      <t>Ø</t>
    </r>
    <r>
      <rPr>
        <sz val="7"/>
        <color indexed="8"/>
        <rFont val="Times New Roman"/>
        <family val="1"/>
      </rPr>
      <t xml:space="preserve">        </t>
    </r>
    <r>
      <rPr>
        <sz val="12"/>
        <color indexed="8"/>
        <rFont val="Arial"/>
        <family val="2"/>
      </rPr>
      <t>Stand By</t>
    </r>
  </si>
  <si>
    <r>
      <t>Ø</t>
    </r>
    <r>
      <rPr>
        <sz val="7"/>
        <color indexed="8"/>
        <rFont val="Times New Roman"/>
        <family val="1"/>
      </rPr>
      <t xml:space="preserve">        </t>
    </r>
    <r>
      <rPr>
        <sz val="12"/>
        <color indexed="8"/>
        <rFont val="Arial"/>
        <family val="2"/>
      </rPr>
      <t>No action (not false alarm)</t>
    </r>
  </si>
  <si>
    <t>Training:</t>
  </si>
  <si>
    <t xml:space="preserve">Any training activity including lectures, exercises, practical training sessions and other forms of training to maintain competence levels. </t>
  </si>
  <si>
    <t>Training and development includes sessions delivered either locally or at one of the regional training centres.</t>
  </si>
  <si>
    <t>The injuries need to be split depending on whether they were sustained during operational training or during fitness training.</t>
  </si>
  <si>
    <t>Operational training:</t>
  </si>
  <si>
    <t>Operational training including theory and practical work covering basic rescue techniques, such as:</t>
  </si>
  <si>
    <r>
      <t>Ø</t>
    </r>
    <r>
      <rPr>
        <sz val="7"/>
        <color indexed="8"/>
        <rFont val="Times New Roman"/>
        <family val="1"/>
      </rPr>
      <t xml:space="preserve">      </t>
    </r>
    <r>
      <rPr>
        <sz val="12"/>
        <color indexed="8"/>
        <rFont val="Arial"/>
        <family val="2"/>
      </rPr>
      <t>Using firefighting equipment and breathing apparatus, foam and fire extinguishers, ladders, hoses and hydraulic equipment</t>
    </r>
  </si>
  <si>
    <r>
      <t>Ø</t>
    </r>
    <r>
      <rPr>
        <sz val="7"/>
        <color indexed="8"/>
        <rFont val="Times New Roman"/>
        <family val="1"/>
      </rPr>
      <t xml:space="preserve">      </t>
    </r>
    <r>
      <rPr>
        <sz val="12"/>
        <color indexed="8"/>
        <rFont val="Arial"/>
        <family val="2"/>
      </rPr>
      <t>Life-saving skills such as teaching fire safety and giving first aid</t>
    </r>
  </si>
  <si>
    <r>
      <t>Ø</t>
    </r>
    <r>
      <rPr>
        <sz val="7"/>
        <color indexed="8"/>
        <rFont val="Times New Roman"/>
        <family val="1"/>
      </rPr>
      <t xml:space="preserve">      </t>
    </r>
    <r>
      <rPr>
        <sz val="12"/>
        <color indexed="8"/>
        <rFont val="Arial"/>
        <family val="2"/>
      </rPr>
      <t>Training for Inspecting Officers and Fire Safety Officers, community fire prevention, licensing, health care, building design, fire engineering and investigation.</t>
    </r>
  </si>
  <si>
    <t>Fitness training:</t>
  </si>
  <si>
    <r>
      <t xml:space="preserve">This category refers to physical </t>
    </r>
    <r>
      <rPr>
        <sz val="12"/>
        <rFont val="Arial"/>
        <family val="2"/>
      </rPr>
      <t xml:space="preserve">exercise sessions such as gym time, running and circuit training carried out during shifts. </t>
    </r>
  </si>
  <si>
    <t xml:space="preserve">Routine activities: </t>
  </si>
  <si>
    <t xml:space="preserve">Routine activities include public education activities such as drills, fire safety talks, maintenance, equipment checks, yard work, tea and coffee breaks etc. </t>
  </si>
  <si>
    <t>HS1 - Health and Safety - Injuries during operational incidents</t>
  </si>
  <si>
    <t>Injuries at fires</t>
  </si>
  <si>
    <t>Injuries at road traffic collisions</t>
  </si>
  <si>
    <t>Injuries at other special service incidents</t>
  </si>
  <si>
    <t>Total</t>
  </si>
  <si>
    <t>Wholetime firefighters</t>
  </si>
  <si>
    <t>On call firefighters</t>
  </si>
  <si>
    <t>Total number of personnel injured</t>
  </si>
  <si>
    <t>Number of "Over 7 day injuries"</t>
  </si>
  <si>
    <t>Number of RIDDOR Major injuries</t>
  </si>
  <si>
    <t>Number of fatalities</t>
  </si>
  <si>
    <t>FRS Notes</t>
  </si>
  <si>
    <t>HS2 - Health and Safety - Injuries during training and routine activities</t>
  </si>
  <si>
    <t>Operational training</t>
  </si>
  <si>
    <t>Fitness training</t>
  </si>
  <si>
    <t>Injuries during routine activities</t>
  </si>
  <si>
    <t>HS1 sheet</t>
  </si>
  <si>
    <t>HS2 sheet</t>
  </si>
  <si>
    <t>Number of injuries at fires look sensible and broadly similar to the previous year</t>
  </si>
  <si>
    <t>yes</t>
  </si>
  <si>
    <t>Number of injuries at operational training look sensible and broadly similar to the previous year</t>
  </si>
  <si>
    <t>Number of injuries at RTCs look sensible and broadly similar to the previous year</t>
  </si>
  <si>
    <t>Number of injuries at fitness training look sensible and broadly similar to the previous year</t>
  </si>
  <si>
    <t>Number of injuries at other incidents look sensible and broadly similar to the previous year</t>
  </si>
  <si>
    <t>Number of injuries during routine activities look sensible and broadly similar to the previous year</t>
  </si>
  <si>
    <t>SHEET</t>
  </si>
  <si>
    <t>FINANCIAL_YEAR</t>
  </si>
  <si>
    <t>FRS_NAME</t>
  </si>
  <si>
    <t>INCIDENT_TYPE_DETAILED</t>
  </si>
  <si>
    <t>ROLE</t>
  </si>
  <si>
    <t>INJURY_SEVERITY</t>
  </si>
  <si>
    <t>TOTAL</t>
  </si>
  <si>
    <t>Fires</t>
  </si>
  <si>
    <t>Road traffic collisions</t>
  </si>
  <si>
    <t>Other non-fire incidents</t>
  </si>
  <si>
    <t>Number of "Over 3 day injuries"</t>
  </si>
  <si>
    <t>Routine activities</t>
  </si>
  <si>
    <t>Absolute value threshold</t>
  </si>
  <si>
    <t>Percentage thresholds</t>
  </si>
  <si>
    <r>
      <t xml:space="preserve">Please complete by </t>
    </r>
    <r>
      <rPr>
        <b/>
        <sz val="11"/>
        <color rgb="FF0070C0"/>
        <rFont val="Arial"/>
        <family val="2"/>
      </rPr>
      <t>Friday 12 June 2026</t>
    </r>
    <r>
      <rPr>
        <sz val="11"/>
        <rFont val="Arial"/>
        <family val="2"/>
      </rPr>
      <t xml:space="preserve"> and send the spreadsheet as an attachment via e-mail to firestatistics@homeoffice.gov.uk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</si>
</sst>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3">
    <font>
      <sz val="10"/>
      <name val="Arial"/>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u/>
      <sz val="10"/>
      <color indexed="12"/>
      <name val="MS Sans Serif"/>
      <family val="2"/>
    </font>
    <font>
      <b/>
      <sz val="12"/>
      <name val="Arial"/>
      <family val="2"/>
    </font>
    <font>
      <b/>
      <sz val="10"/>
      <name val="Arial"/>
      <family val="2"/>
    </font>
    <font>
      <sz val="8"/>
      <name val="Arial"/>
      <family val="2"/>
    </font>
    <font>
      <b/>
      <sz val="14"/>
      <name val="Arial"/>
      <family val="2"/>
    </font>
    <font>
      <sz val="12"/>
      <name val="Arial"/>
      <family val="2"/>
    </font>
    <font>
      <b/>
      <sz val="11"/>
      <name val="Arial"/>
      <family val="2"/>
    </font>
    <font>
      <sz val="11"/>
      <name val="Arial"/>
      <family val="2"/>
    </font>
    <font>
      <sz val="12"/>
      <color indexed="8"/>
      <name val="Arial"/>
      <family val="2"/>
    </font>
    <font>
      <b/>
      <sz val="11"/>
      <color indexed="43"/>
      <name val="Arial"/>
      <family val="2"/>
    </font>
    <font>
      <u/>
      <sz val="11"/>
      <color indexed="10"/>
      <name val="Arial"/>
      <family val="2"/>
    </font>
    <font>
      <u/>
      <sz val="11"/>
      <color indexed="12"/>
      <name val="Arial"/>
      <family val="2"/>
    </font>
    <font>
      <sz val="11"/>
      <color indexed="9"/>
      <name val="Arial"/>
      <family val="2"/>
    </font>
    <font>
      <b/>
      <sz val="18"/>
      <name val="Arial"/>
      <family val="2"/>
    </font>
    <font>
      <sz val="11"/>
      <color rgb="FFFF0000"/>
      <name val="Arial"/>
      <family val="2"/>
    </font>
    <font>
      <sz val="14"/>
      <name val="Arial"/>
      <family val="2"/>
    </font>
    <font>
      <b/>
      <sz val="11"/>
      <color theme="1"/>
      <name val="Arial"/>
      <family val="2"/>
    </font>
    <font>
      <i/>
      <sz val="12"/>
      <color indexed="8"/>
      <name val="Arial"/>
      <family val="2"/>
    </font>
    <font>
      <b/>
      <sz val="12"/>
      <color indexed="8"/>
      <name val="Arial"/>
      <family val="2"/>
    </font>
    <font>
      <sz val="7"/>
      <color indexed="8"/>
      <name val="Times New Roman"/>
      <family val="1"/>
    </font>
    <font>
      <b/>
      <sz val="10"/>
      <color indexed="8"/>
      <name val="Times New Roman"/>
      <family val="1"/>
    </font>
    <font>
      <sz val="12"/>
      <color indexed="8"/>
      <name val="Wingdings"/>
      <charset val="2"/>
    </font>
    <font>
      <vertAlign val="superscript"/>
      <sz val="10"/>
      <name val="Arial"/>
      <family val="2"/>
    </font>
    <font>
      <u/>
      <sz val="11"/>
      <name val="Arial"/>
      <family val="2"/>
    </font>
    <font>
      <b/>
      <sz val="20"/>
      <name val="Arial"/>
      <family val="2"/>
    </font>
    <font>
      <sz val="10"/>
      <color rgb="FFFF0000"/>
      <name val="Arial"/>
      <family val="2"/>
    </font>
    <font>
      <b/>
      <sz val="11"/>
      <color rgb="FF0070C0"/>
      <name val="Arial"/>
      <family val="2"/>
    </font>
    <font>
      <b/>
      <sz val="11"/>
      <color theme="0"/>
      <name val="Calibri"/>
      <family val="2"/>
      <scheme val="minor"/>
    </font>
  </fonts>
  <fills count="6">
    <fill>
      <patternFill patternType="none"/>
    </fill>
    <fill>
      <patternFill patternType="gray125"/>
    </fill>
    <fill>
      <patternFill patternType="solid">
        <fgColor rgb="FFCC99FF"/>
        <bgColor indexed="64"/>
      </patternFill>
    </fill>
    <fill>
      <patternFill patternType="solid">
        <fgColor theme="0"/>
        <bgColor indexed="64"/>
      </patternFill>
    </fill>
    <fill>
      <patternFill patternType="solid">
        <fgColor rgb="FFFFCCFF"/>
        <bgColor indexed="64"/>
      </patternFill>
    </fill>
    <fill>
      <patternFill patternType="solid">
        <fgColor rgb="FF0106BF"/>
        <bgColor indexed="64"/>
      </patternFill>
    </fill>
  </fills>
  <borders count="33">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medium">
        <color indexed="64"/>
      </left>
      <right/>
      <top/>
      <bottom style="medium">
        <color indexed="64"/>
      </bottom>
      <diagonal/>
    </border>
    <border>
      <left style="medium">
        <color indexed="64"/>
      </left>
      <right/>
      <top style="medium">
        <color indexed="64"/>
      </top>
      <bottom/>
      <diagonal/>
    </border>
    <border>
      <left style="medium">
        <color indexed="64"/>
      </left>
      <right/>
      <top/>
      <bottom/>
      <diagonal/>
    </border>
    <border>
      <left/>
      <right/>
      <top/>
      <bottom style="medium">
        <color indexed="64"/>
      </bottom>
      <diagonal/>
    </border>
    <border>
      <left/>
      <right/>
      <top style="medium">
        <color indexed="64"/>
      </top>
      <bottom/>
      <diagonal/>
    </border>
    <border>
      <left/>
      <right/>
      <top style="medium">
        <color indexed="64"/>
      </top>
      <bottom style="medium">
        <color indexed="64"/>
      </bottom>
      <diagonal/>
    </border>
    <border>
      <left/>
      <right style="medium">
        <color indexed="64"/>
      </right>
      <top/>
      <bottom/>
      <diagonal/>
    </border>
    <border>
      <left/>
      <right style="medium">
        <color indexed="64"/>
      </right>
      <top style="medium">
        <color indexed="64"/>
      </top>
      <bottom style="medium">
        <color indexed="64"/>
      </bottom>
      <diagonal/>
    </border>
    <border>
      <left/>
      <right style="medium">
        <color indexed="64"/>
      </right>
      <top style="medium">
        <color indexed="64"/>
      </top>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thin">
        <color indexed="8"/>
      </right>
      <top style="medium">
        <color indexed="64"/>
      </top>
      <bottom style="medium">
        <color indexed="64"/>
      </bottom>
      <diagonal/>
    </border>
    <border>
      <left style="thick">
        <color indexed="64"/>
      </left>
      <right style="thin">
        <color indexed="8"/>
      </right>
      <top style="medium">
        <color indexed="64"/>
      </top>
      <bottom style="medium">
        <color indexed="64"/>
      </bottom>
      <diagonal/>
    </border>
    <border>
      <left/>
      <right style="thick">
        <color indexed="64"/>
      </right>
      <top style="medium">
        <color indexed="64"/>
      </top>
      <bottom style="medium">
        <color indexed="64"/>
      </bottom>
      <diagonal/>
    </border>
    <border>
      <left/>
      <right style="thin">
        <color indexed="8"/>
      </right>
      <top style="medium">
        <color indexed="64"/>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medium">
        <color indexed="8"/>
      </bottom>
      <diagonal/>
    </border>
    <border>
      <left/>
      <right/>
      <top/>
      <bottom style="medium">
        <color indexed="8"/>
      </bottom>
      <diagonal/>
    </border>
    <border>
      <left style="medium">
        <color indexed="64"/>
      </left>
      <right/>
      <top style="medium">
        <color indexed="64"/>
      </top>
      <bottom style="medium">
        <color indexed="8"/>
      </bottom>
      <diagonal/>
    </border>
    <border>
      <left/>
      <right style="medium">
        <color indexed="64"/>
      </right>
      <top style="medium">
        <color indexed="64"/>
      </top>
      <bottom style="thin">
        <color indexed="64"/>
      </bottom>
      <diagonal/>
    </border>
    <border>
      <left style="medium">
        <color indexed="64"/>
      </left>
      <right/>
      <top style="medium">
        <color indexed="8"/>
      </top>
      <bottom style="medium">
        <color indexed="8"/>
      </bottom>
      <diagonal/>
    </border>
    <border>
      <left style="medium">
        <color indexed="64"/>
      </left>
      <right style="thin">
        <color indexed="64"/>
      </right>
      <top style="medium">
        <color indexed="8"/>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medium">
        <color indexed="8"/>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style="medium">
        <color indexed="64"/>
      </bottom>
      <diagonal/>
    </border>
    <border>
      <left style="medium">
        <color indexed="64"/>
      </left>
      <right/>
      <top style="medium">
        <color indexed="8"/>
      </top>
      <bottom style="medium">
        <color indexed="64"/>
      </bottom>
      <diagonal/>
    </border>
  </borders>
  <cellStyleXfs count="9">
    <xf numFmtId="0" fontId="0" fillId="0" borderId="0"/>
    <xf numFmtId="0" fontId="5" fillId="0" borderId="0" applyNumberFormat="0" applyFill="0" applyBorder="0" applyAlignment="0" applyProtection="0"/>
    <xf numFmtId="0" fontId="4" fillId="0" borderId="0"/>
    <xf numFmtId="0" fontId="3" fillId="0" borderId="0"/>
    <xf numFmtId="0" fontId="2" fillId="0" borderId="0"/>
    <xf numFmtId="0" fontId="1" fillId="0" borderId="0"/>
    <xf numFmtId="0" fontId="4" fillId="0" borderId="0"/>
    <xf numFmtId="0" fontId="4" fillId="0" borderId="0"/>
    <xf numFmtId="0" fontId="4" fillId="0" borderId="0"/>
  </cellStyleXfs>
  <cellXfs count="133">
    <xf numFmtId="0" fontId="0" fillId="0" borderId="0" xfId="0"/>
    <xf numFmtId="0" fontId="4" fillId="0" borderId="0" xfId="6" applyAlignment="1">
      <alignment horizontal="left" vertical="center"/>
    </xf>
    <xf numFmtId="0" fontId="4" fillId="0" borderId="0" xfId="6" applyAlignment="1">
      <alignment vertical="center"/>
    </xf>
    <xf numFmtId="0" fontId="4" fillId="0" borderId="0" xfId="6" applyAlignment="1">
      <alignment horizontal="left" vertical="center" wrapText="1"/>
    </xf>
    <xf numFmtId="0" fontId="4" fillId="0" borderId="0" xfId="6" applyAlignment="1">
      <alignment vertical="center" wrapText="1"/>
    </xf>
    <xf numFmtId="0" fontId="4" fillId="0" borderId="0" xfId="6" applyAlignment="1">
      <alignment vertical="top" wrapText="1"/>
    </xf>
    <xf numFmtId="0" fontId="4" fillId="0" borderId="0" xfId="6" applyAlignment="1">
      <alignment horizontal="left" vertical="top" wrapText="1"/>
    </xf>
    <xf numFmtId="0" fontId="13" fillId="0" borderId="0" xfId="6" applyFont="1" applyAlignment="1">
      <alignment horizontal="left" vertical="top" wrapText="1"/>
    </xf>
    <xf numFmtId="0" fontId="22" fillId="0" borderId="0" xfId="6" applyFont="1" applyAlignment="1">
      <alignment horizontal="left" vertical="top" wrapText="1"/>
    </xf>
    <xf numFmtId="0" fontId="25" fillId="0" borderId="0" xfId="6" applyFont="1" applyAlignment="1">
      <alignment horizontal="left" vertical="top" wrapText="1"/>
    </xf>
    <xf numFmtId="0" fontId="26" fillId="0" borderId="0" xfId="6" applyFont="1" applyAlignment="1">
      <alignment horizontal="left" vertical="top" wrapText="1"/>
    </xf>
    <xf numFmtId="0" fontId="27" fillId="0" borderId="0" xfId="6" applyFont="1" applyAlignment="1">
      <alignment horizontal="left" vertical="top" wrapText="1"/>
    </xf>
    <xf numFmtId="3" fontId="7" fillId="2" borderId="22" xfId="6" applyNumberFormat="1" applyFont="1" applyFill="1" applyBorder="1" applyAlignment="1">
      <alignment vertical="center"/>
    </xf>
    <xf numFmtId="0" fontId="4" fillId="2" borderId="19" xfId="6" applyFill="1" applyBorder="1" applyAlignment="1">
      <alignment horizontal="center" vertical="center" wrapText="1"/>
    </xf>
    <xf numFmtId="0" fontId="4" fillId="2" borderId="20" xfId="6" applyFill="1" applyBorder="1" applyAlignment="1">
      <alignment horizontal="center" vertical="center" wrapText="1"/>
    </xf>
    <xf numFmtId="0" fontId="4" fillId="2" borderId="21" xfId="6" applyFill="1" applyBorder="1" applyAlignment="1">
      <alignment horizontal="left" vertical="center" wrapText="1"/>
    </xf>
    <xf numFmtId="0" fontId="4" fillId="2" borderId="23" xfId="6" applyFill="1" applyBorder="1" applyAlignment="1">
      <alignment horizontal="left" vertical="center" wrapText="1"/>
    </xf>
    <xf numFmtId="0" fontId="16" fillId="0" borderId="0" xfId="1" applyFont="1" applyBorder="1" applyAlignment="1" applyProtection="1">
      <alignment horizontal="left"/>
    </xf>
    <xf numFmtId="0" fontId="6" fillId="0" borderId="0" xfId="6" applyFont="1" applyAlignment="1">
      <alignment horizontal="left" vertical="top" wrapText="1"/>
    </xf>
    <xf numFmtId="0" fontId="10" fillId="0" borderId="0" xfId="6" applyFont="1" applyAlignment="1">
      <alignment horizontal="left" vertical="top" wrapText="1"/>
    </xf>
    <xf numFmtId="0" fontId="23" fillId="0" borderId="0" xfId="6" applyFont="1" applyAlignment="1">
      <alignment horizontal="left" vertical="top" wrapText="1"/>
    </xf>
    <xf numFmtId="0" fontId="12" fillId="0" borderId="0" xfId="0" applyFont="1"/>
    <xf numFmtId="0" fontId="9" fillId="3" borderId="0" xfId="0" applyFont="1" applyFill="1"/>
    <xf numFmtId="0" fontId="20" fillId="0" borderId="0" xfId="0" applyFont="1"/>
    <xf numFmtId="0" fontId="14" fillId="0" borderId="0" xfId="0" applyFont="1" applyAlignment="1">
      <alignment horizontal="left"/>
    </xf>
    <xf numFmtId="0" fontId="11" fillId="0" borderId="0" xfId="2" applyFont="1"/>
    <xf numFmtId="0" fontId="12" fillId="0" borderId="0" xfId="0" applyFont="1" applyAlignment="1">
      <alignment vertical="center" wrapText="1"/>
    </xf>
    <xf numFmtId="0" fontId="12" fillId="0" borderId="0" xfId="0" applyFont="1" applyAlignment="1">
      <alignment vertical="center"/>
    </xf>
    <xf numFmtId="0" fontId="11" fillId="0" borderId="0" xfId="0" applyFont="1"/>
    <xf numFmtId="0" fontId="11" fillId="4" borderId="1" xfId="0" applyFont="1" applyFill="1" applyBorder="1" applyAlignment="1">
      <alignment horizontal="left" vertical="center" wrapText="1"/>
    </xf>
    <xf numFmtId="0" fontId="12" fillId="0" borderId="0" xfId="0" applyFont="1" applyAlignment="1">
      <alignment vertical="top"/>
    </xf>
    <xf numFmtId="0" fontId="12" fillId="0" borderId="0" xfId="0" applyFont="1" applyAlignment="1">
      <alignment horizontal="center" vertical="center" wrapText="1"/>
    </xf>
    <xf numFmtId="0" fontId="19" fillId="0" borderId="0" xfId="0" applyFont="1"/>
    <xf numFmtId="0" fontId="17" fillId="0" borderId="0" xfId="0" applyFont="1"/>
    <xf numFmtId="0" fontId="16" fillId="0" borderId="0" xfId="1" applyFont="1" applyBorder="1" applyAlignment="1" applyProtection="1"/>
    <xf numFmtId="0" fontId="21" fillId="4" borderId="0" xfId="0" applyFont="1" applyFill="1" applyProtection="1">
      <protection locked="0"/>
    </xf>
    <xf numFmtId="0" fontId="21" fillId="4" borderId="0" xfId="0" applyFont="1" applyFill="1" applyAlignment="1" applyProtection="1">
      <alignment horizontal="left"/>
      <protection locked="0"/>
    </xf>
    <xf numFmtId="0" fontId="21" fillId="0" borderId="0" xfId="0" applyFont="1" applyProtection="1">
      <protection locked="0"/>
    </xf>
    <xf numFmtId="0" fontId="21" fillId="2" borderId="0" xfId="0" applyFont="1" applyFill="1" applyProtection="1">
      <protection locked="0"/>
    </xf>
    <xf numFmtId="0" fontId="21" fillId="2" borderId="0" xfId="0" applyFont="1" applyFill="1" applyAlignment="1" applyProtection="1">
      <alignment horizontal="left"/>
      <protection locked="0"/>
    </xf>
    <xf numFmtId="3" fontId="4" fillId="4" borderId="24" xfId="6" applyNumberFormat="1" applyFill="1" applyBorder="1" applyAlignment="1" applyProtection="1">
      <alignment vertical="center"/>
      <protection locked="0"/>
    </xf>
    <xf numFmtId="3" fontId="4" fillId="4" borderId="25" xfId="6" applyNumberFormat="1" applyFill="1" applyBorder="1" applyAlignment="1" applyProtection="1">
      <alignment vertical="center"/>
      <protection locked="0"/>
    </xf>
    <xf numFmtId="3" fontId="4" fillId="4" borderId="26" xfId="6" applyNumberFormat="1" applyFill="1" applyBorder="1" applyAlignment="1" applyProtection="1">
      <alignment vertical="center"/>
      <protection locked="0"/>
    </xf>
    <xf numFmtId="3" fontId="4" fillId="4" borderId="27" xfId="6" applyNumberFormat="1" applyFill="1" applyBorder="1" applyAlignment="1" applyProtection="1">
      <alignment vertical="center"/>
      <protection locked="0"/>
    </xf>
    <xf numFmtId="3" fontId="4" fillId="4" borderId="28" xfId="6" applyNumberFormat="1" applyFill="1" applyBorder="1" applyAlignment="1" applyProtection="1">
      <alignment vertical="center"/>
      <protection locked="0"/>
    </xf>
    <xf numFmtId="3" fontId="4" fillId="4" borderId="29" xfId="6" applyNumberFormat="1" applyFill="1" applyBorder="1" applyAlignment="1" applyProtection="1">
      <alignment vertical="center"/>
      <protection locked="0"/>
    </xf>
    <xf numFmtId="3" fontId="4" fillId="4" borderId="30" xfId="6" applyNumberFormat="1" applyFill="1" applyBorder="1" applyAlignment="1" applyProtection="1">
      <alignment vertical="center"/>
      <protection locked="0"/>
    </xf>
    <xf numFmtId="3" fontId="4" fillId="4" borderId="31" xfId="6" applyNumberFormat="1" applyFill="1" applyBorder="1" applyAlignment="1" applyProtection="1">
      <alignment vertical="center"/>
      <protection locked="0"/>
    </xf>
    <xf numFmtId="0" fontId="23" fillId="0" borderId="0" xfId="0" applyFont="1" applyAlignment="1">
      <alignment horizontal="justify" vertical="top"/>
    </xf>
    <xf numFmtId="0" fontId="10" fillId="0" borderId="0" xfId="0" applyFont="1" applyAlignment="1">
      <alignment horizontal="justify" vertical="top"/>
    </xf>
    <xf numFmtId="0" fontId="10" fillId="0" borderId="0" xfId="0" applyFont="1" applyAlignment="1">
      <alignment vertical="top" wrapText="1"/>
    </xf>
    <xf numFmtId="0" fontId="10" fillId="0" borderId="0" xfId="0" applyFont="1" applyAlignment="1">
      <alignment vertical="top"/>
    </xf>
    <xf numFmtId="0" fontId="4" fillId="2" borderId="32" xfId="6" applyFill="1" applyBorder="1" applyAlignment="1">
      <alignment horizontal="left" vertical="center" wrapText="1"/>
    </xf>
    <xf numFmtId="0" fontId="7" fillId="0" borderId="0" xfId="7" applyFont="1"/>
    <xf numFmtId="0" fontId="4" fillId="0" borderId="0" xfId="7"/>
    <xf numFmtId="0" fontId="7" fillId="0" borderId="0" xfId="6" applyFont="1" applyAlignment="1">
      <alignment vertical="center"/>
    </xf>
    <xf numFmtId="3" fontId="7" fillId="2" borderId="1" xfId="6" applyNumberFormat="1" applyFont="1" applyFill="1" applyBorder="1" applyAlignment="1">
      <alignment vertical="center"/>
    </xf>
    <xf numFmtId="0" fontId="9" fillId="0" borderId="0" xfId="6" applyFont="1" applyAlignment="1">
      <alignment vertical="center" wrapText="1"/>
    </xf>
    <xf numFmtId="0" fontId="13" fillId="0" borderId="0" xfId="6" applyFont="1" applyAlignment="1">
      <alignment horizontal="left" vertical="center" wrapText="1"/>
    </xf>
    <xf numFmtId="0" fontId="5" fillId="0" borderId="0" xfId="1" applyAlignment="1" applyProtection="1">
      <alignment horizontal="center" vertical="center"/>
    </xf>
    <xf numFmtId="0" fontId="15" fillId="0" borderId="0" xfId="1" applyFont="1" applyAlignment="1" applyProtection="1">
      <alignment horizontal="center" vertical="center"/>
    </xf>
    <xf numFmtId="0" fontId="11" fillId="3" borderId="0" xfId="0" applyFont="1" applyFill="1"/>
    <xf numFmtId="0" fontId="12" fillId="3" borderId="0" xfId="0" applyFont="1" applyFill="1"/>
    <xf numFmtId="3" fontId="7" fillId="2" borderId="0" xfId="0" applyNumberFormat="1" applyFont="1" applyFill="1" applyAlignment="1">
      <alignment horizontal="right" vertical="center"/>
    </xf>
    <xf numFmtId="0" fontId="19" fillId="4" borderId="0" xfId="0" applyFont="1" applyFill="1" applyAlignment="1">
      <alignment horizontal="right"/>
    </xf>
    <xf numFmtId="0" fontId="30" fillId="4" borderId="0" xfId="8" applyFont="1" applyFill="1" applyAlignment="1">
      <alignment horizontal="center" vertical="center" wrapText="1"/>
    </xf>
    <xf numFmtId="1" fontId="30" fillId="4" borderId="0" xfId="8" applyNumberFormat="1" applyFont="1" applyFill="1" applyAlignment="1">
      <alignment horizontal="center" vertical="center" wrapText="1"/>
    </xf>
    <xf numFmtId="0" fontId="30" fillId="4" borderId="0" xfId="8" applyFont="1" applyFill="1" applyAlignment="1">
      <alignment horizontal="center" vertical="center"/>
    </xf>
    <xf numFmtId="0" fontId="4" fillId="0" borderId="0" xfId="6" applyAlignment="1">
      <alignment horizontal="center" vertical="center" wrapText="1"/>
    </xf>
    <xf numFmtId="3" fontId="4" fillId="0" borderId="0" xfId="6" applyNumberFormat="1" applyAlignment="1">
      <alignment vertical="center"/>
    </xf>
    <xf numFmtId="3" fontId="7" fillId="0" borderId="0" xfId="6" applyNumberFormat="1" applyFont="1" applyAlignment="1">
      <alignment vertical="center"/>
    </xf>
    <xf numFmtId="0" fontId="9" fillId="0" borderId="0" xfId="0" applyFont="1" applyAlignment="1">
      <alignment vertical="center"/>
    </xf>
    <xf numFmtId="0" fontId="4" fillId="0" borderId="0" xfId="6" applyAlignment="1">
      <alignment horizontal="center"/>
    </xf>
    <xf numFmtId="0" fontId="7" fillId="0" borderId="0" xfId="6" applyFont="1" applyAlignment="1">
      <alignment horizontal="center"/>
    </xf>
    <xf numFmtId="0" fontId="4" fillId="0" borderId="0" xfId="6" applyAlignment="1">
      <alignment horizontal="center" wrapText="1"/>
    </xf>
    <xf numFmtId="0" fontId="4" fillId="0" borderId="0" xfId="0" applyFont="1" applyAlignment="1">
      <alignment horizontal="center"/>
    </xf>
    <xf numFmtId="0" fontId="0" fillId="0" borderId="0" xfId="0" applyAlignment="1">
      <alignment horizontal="center" vertical="center"/>
    </xf>
    <xf numFmtId="3" fontId="0" fillId="0" borderId="0" xfId="0" applyNumberFormat="1"/>
    <xf numFmtId="0" fontId="0" fillId="0" borderId="0" xfId="0" applyAlignment="1">
      <alignment wrapText="1"/>
    </xf>
    <xf numFmtId="0" fontId="4" fillId="0" borderId="0" xfId="0" applyFont="1"/>
    <xf numFmtId="0" fontId="7" fillId="2" borderId="2" xfId="0" applyFont="1" applyFill="1" applyBorder="1" applyAlignment="1">
      <alignment vertical="center" wrapText="1"/>
    </xf>
    <xf numFmtId="0" fontId="7" fillId="2" borderId="8" xfId="0" applyFont="1" applyFill="1" applyBorder="1" applyAlignment="1">
      <alignment vertical="center" wrapText="1"/>
    </xf>
    <xf numFmtId="0" fontId="12" fillId="0" borderId="0" xfId="0" applyFont="1" applyAlignment="1">
      <alignment horizontal="left" vertical="center" wrapText="1"/>
    </xf>
    <xf numFmtId="0" fontId="28" fillId="4" borderId="1" xfId="1" applyFont="1" applyFill="1" applyBorder="1" applyAlignment="1" applyProtection="1">
      <alignment horizontal="right" vertical="center"/>
      <protection locked="0"/>
    </xf>
    <xf numFmtId="0" fontId="12" fillId="4" borderId="1" xfId="0" applyFont="1" applyFill="1" applyBorder="1" applyAlignment="1" applyProtection="1">
      <alignment horizontal="right" vertical="center"/>
      <protection locked="0"/>
    </xf>
    <xf numFmtId="0" fontId="11" fillId="0" borderId="0" xfId="0" applyFont="1" applyAlignment="1">
      <alignment horizontal="left" wrapText="1"/>
    </xf>
    <xf numFmtId="0" fontId="12" fillId="0" borderId="0" xfId="0" applyFont="1" applyAlignment="1">
      <alignment horizontal="left"/>
    </xf>
    <xf numFmtId="0" fontId="11" fillId="0" borderId="0" xfId="0" applyFont="1"/>
    <xf numFmtId="0" fontId="11" fillId="0" borderId="0" xfId="0" applyFont="1" applyAlignment="1">
      <alignment horizontal="center" vertical="center"/>
    </xf>
    <xf numFmtId="0" fontId="11" fillId="0" borderId="0" xfId="2" applyFont="1" applyAlignment="1">
      <alignment vertical="center" wrapText="1"/>
    </xf>
    <xf numFmtId="0" fontId="9" fillId="2" borderId="3" xfId="0" applyFont="1" applyFill="1" applyBorder="1" applyAlignment="1">
      <alignment horizontal="center" vertical="center"/>
    </xf>
    <xf numFmtId="0" fontId="9" fillId="2" borderId="6" xfId="0" applyFont="1" applyFill="1" applyBorder="1" applyAlignment="1">
      <alignment horizontal="center" vertical="center"/>
    </xf>
    <xf numFmtId="0" fontId="9" fillId="2" borderId="12" xfId="0" applyFont="1" applyFill="1" applyBorder="1" applyAlignment="1">
      <alignment horizontal="center" vertical="center"/>
    </xf>
    <xf numFmtId="0" fontId="29" fillId="4" borderId="2" xfId="0" applyFont="1" applyFill="1" applyBorder="1" applyAlignment="1">
      <alignment horizontal="center" vertical="center"/>
    </xf>
    <xf numFmtId="0" fontId="29" fillId="4" borderId="8" xfId="0" applyFont="1" applyFill="1" applyBorder="1" applyAlignment="1">
      <alignment horizontal="center" vertical="center"/>
    </xf>
    <xf numFmtId="0" fontId="29" fillId="4" borderId="10" xfId="0" applyFont="1" applyFill="1" applyBorder="1" applyAlignment="1">
      <alignment horizontal="center" vertical="center"/>
    </xf>
    <xf numFmtId="0" fontId="6" fillId="4" borderId="2" xfId="0" applyFont="1" applyFill="1" applyBorder="1" applyAlignment="1">
      <alignment horizontal="center" vertical="center"/>
    </xf>
    <xf numFmtId="0" fontId="6" fillId="4" borderId="8" xfId="0" applyFont="1" applyFill="1" applyBorder="1" applyAlignment="1">
      <alignment horizontal="center" vertical="center"/>
    </xf>
    <xf numFmtId="0" fontId="6" fillId="4" borderId="10" xfId="0" applyFont="1" applyFill="1" applyBorder="1" applyAlignment="1">
      <alignment horizontal="center" vertical="center"/>
    </xf>
    <xf numFmtId="0" fontId="6" fillId="2" borderId="4" xfId="0" applyFont="1" applyFill="1" applyBorder="1" applyAlignment="1">
      <alignment horizontal="center" vertical="center"/>
    </xf>
    <xf numFmtId="0" fontId="6" fillId="2" borderId="7" xfId="0" applyFont="1" applyFill="1" applyBorder="1" applyAlignment="1">
      <alignment horizontal="center" vertical="center"/>
    </xf>
    <xf numFmtId="0" fontId="6" fillId="2" borderId="11" xfId="0" applyFont="1" applyFill="1" applyBorder="1" applyAlignment="1">
      <alignment horizontal="center" vertical="center"/>
    </xf>
    <xf numFmtId="0" fontId="18" fillId="2" borderId="5" xfId="0" applyFont="1" applyFill="1" applyBorder="1" applyAlignment="1">
      <alignment horizontal="center" vertical="center"/>
    </xf>
    <xf numFmtId="0" fontId="18" fillId="2" borderId="0" xfId="0" applyFont="1" applyFill="1" applyAlignment="1">
      <alignment horizontal="center" vertical="center"/>
    </xf>
    <xf numFmtId="0" fontId="18" fillId="2" borderId="9" xfId="0" applyFont="1" applyFill="1" applyBorder="1" applyAlignment="1">
      <alignment horizontal="center" vertical="center"/>
    </xf>
    <xf numFmtId="0" fontId="12" fillId="3" borderId="0" xfId="0" applyFont="1" applyFill="1" applyAlignment="1">
      <alignment horizontal="left" wrapText="1"/>
    </xf>
    <xf numFmtId="0" fontId="12" fillId="0" borderId="0" xfId="0" applyFont="1" applyAlignment="1">
      <alignment horizontal="left" wrapText="1"/>
    </xf>
    <xf numFmtId="0" fontId="16" fillId="0" borderId="0" xfId="1" applyFont="1" applyBorder="1" applyAlignment="1" applyProtection="1">
      <alignment horizontal="left"/>
    </xf>
    <xf numFmtId="0" fontId="12" fillId="0" borderId="0" xfId="0" applyFont="1" applyAlignment="1">
      <alignment horizontal="left" vertical="center"/>
    </xf>
    <xf numFmtId="0" fontId="12" fillId="0" borderId="2" xfId="0" applyFont="1" applyBorder="1" applyAlignment="1" applyProtection="1">
      <alignment horizontal="left" vertical="top" wrapText="1"/>
      <protection locked="0"/>
    </xf>
    <xf numFmtId="0" fontId="12" fillId="0" borderId="8" xfId="0" applyFont="1" applyBorder="1" applyAlignment="1" applyProtection="1">
      <alignment horizontal="left" vertical="top" wrapText="1"/>
      <protection locked="0"/>
    </xf>
    <xf numFmtId="0" fontId="12" fillId="0" borderId="10" xfId="0" applyFont="1" applyBorder="1" applyAlignment="1" applyProtection="1">
      <alignment horizontal="left" vertical="top" wrapText="1"/>
      <protection locked="0"/>
    </xf>
    <xf numFmtId="0" fontId="6" fillId="0" borderId="0" xfId="6" applyFont="1" applyAlignment="1">
      <alignment horizontal="left" vertical="top" wrapText="1"/>
    </xf>
    <xf numFmtId="0" fontId="18" fillId="0" borderId="0" xfId="6" applyFont="1" applyAlignment="1">
      <alignment horizontal="left" vertical="top" wrapText="1"/>
    </xf>
    <xf numFmtId="0" fontId="10" fillId="0" borderId="0" xfId="6" applyFont="1" applyAlignment="1">
      <alignment horizontal="left" vertical="top" wrapText="1"/>
    </xf>
    <xf numFmtId="0" fontId="16" fillId="0" borderId="0" xfId="1" applyFont="1" applyAlignment="1">
      <alignment horizontal="left" vertical="top" wrapText="1"/>
    </xf>
    <xf numFmtId="0" fontId="4" fillId="4" borderId="2" xfId="0" applyFont="1" applyFill="1" applyBorder="1" applyAlignment="1" applyProtection="1">
      <alignment horizontal="center" vertical="center" wrapText="1"/>
      <protection locked="0"/>
    </xf>
    <xf numFmtId="0" fontId="4" fillId="4" borderId="8" xfId="0" applyFont="1" applyFill="1" applyBorder="1" applyAlignment="1" applyProtection="1">
      <alignment horizontal="center" vertical="center" wrapText="1"/>
      <protection locked="0"/>
    </xf>
    <xf numFmtId="0" fontId="9" fillId="2" borderId="2" xfId="0" applyFont="1" applyFill="1" applyBorder="1" applyAlignment="1">
      <alignment horizontal="left" vertical="center" wrapText="1"/>
    </xf>
    <xf numFmtId="0" fontId="9" fillId="2" borderId="8" xfId="0" applyFont="1" applyFill="1" applyBorder="1" applyAlignment="1">
      <alignment horizontal="left" vertical="center" wrapText="1"/>
    </xf>
    <xf numFmtId="0" fontId="9" fillId="2" borderId="10" xfId="0" applyFont="1" applyFill="1" applyBorder="1" applyAlignment="1">
      <alignment horizontal="left" vertical="center" wrapText="1"/>
    </xf>
    <xf numFmtId="0" fontId="4" fillId="0" borderId="9" xfId="6" applyBorder="1" applyAlignment="1">
      <alignment vertical="center"/>
    </xf>
    <xf numFmtId="0" fontId="4" fillId="0" borderId="12" xfId="6" applyBorder="1" applyAlignment="1">
      <alignment vertical="center"/>
    </xf>
    <xf numFmtId="0" fontId="7" fillId="2" borderId="14" xfId="6" applyFont="1" applyFill="1" applyBorder="1" applyAlignment="1">
      <alignment horizontal="center" vertical="center" wrapText="1"/>
    </xf>
    <xf numFmtId="0" fontId="7" fillId="2" borderId="8" xfId="6" applyFont="1" applyFill="1" applyBorder="1" applyAlignment="1">
      <alignment horizontal="center" vertical="center"/>
    </xf>
    <xf numFmtId="0" fontId="7" fillId="2" borderId="15" xfId="6" applyFont="1" applyFill="1" applyBorder="1" applyAlignment="1">
      <alignment horizontal="center" vertical="center" wrapText="1"/>
    </xf>
    <xf numFmtId="0" fontId="7" fillId="2" borderId="16" xfId="6" applyFont="1" applyFill="1" applyBorder="1" applyAlignment="1">
      <alignment horizontal="center" vertical="center"/>
    </xf>
    <xf numFmtId="0" fontId="7" fillId="2" borderId="17" xfId="6" applyFont="1" applyFill="1" applyBorder="1" applyAlignment="1">
      <alignment horizontal="center" vertical="center" wrapText="1"/>
    </xf>
    <xf numFmtId="0" fontId="7" fillId="2" borderId="10" xfId="6" applyFont="1" applyFill="1" applyBorder="1" applyAlignment="1">
      <alignment horizontal="center" vertical="center"/>
    </xf>
    <xf numFmtId="0" fontId="7" fillId="2" borderId="13" xfId="6" applyFont="1" applyFill="1" applyBorder="1" applyAlignment="1">
      <alignment horizontal="center" vertical="center"/>
    </xf>
    <xf numFmtId="0" fontId="7" fillId="2" borderId="18" xfId="6" applyFont="1" applyFill="1" applyBorder="1" applyAlignment="1">
      <alignment horizontal="center" vertical="center"/>
    </xf>
    <xf numFmtId="0" fontId="9" fillId="0" borderId="0" xfId="6" applyFont="1" applyAlignment="1">
      <alignment horizontal="center" vertical="center" wrapText="1"/>
    </xf>
    <xf numFmtId="0" fontId="32" fillId="5" borderId="0" xfId="0" applyFont="1" applyFill="1" applyAlignment="1">
      <alignment horizontal="center"/>
    </xf>
  </cellXfs>
  <cellStyles count="9">
    <cellStyle name="Hyperlink" xfId="1" builtinId="8"/>
    <cellStyle name="Normal" xfId="0" builtinId="0"/>
    <cellStyle name="Normal 2" xfId="3" xr:uid="{00000000-0005-0000-0000-000002000000}"/>
    <cellStyle name="Normal 2 2" xfId="7" xr:uid="{E9B6ED23-827C-422C-9145-4211CBA368F8}"/>
    <cellStyle name="Normal 2 3 2" xfId="8" xr:uid="{2B6FFCBF-17FE-47F6-AE2F-C106C10B6250}"/>
    <cellStyle name="Normal 3" xfId="4" xr:uid="{00000000-0005-0000-0000-000003000000}"/>
    <cellStyle name="Normal 4" xfId="5" xr:uid="{00000000-0005-0000-0000-000004000000}"/>
    <cellStyle name="Normal 5" xfId="6" xr:uid="{00000000-0005-0000-0000-000005000000}"/>
    <cellStyle name="Normal_Prov Indicators Index" xfId="2" xr:uid="{00000000-0005-0000-0000-000006000000}"/>
  </cellStyles>
  <dxfs count="7">
    <dxf>
      <font>
        <b/>
        <i val="0"/>
        <condense val="0"/>
        <extend val="0"/>
        <color indexed="9"/>
      </font>
      <fill>
        <patternFill>
          <bgColor indexed="48"/>
        </patternFill>
      </fill>
    </dxf>
    <dxf>
      <font>
        <b/>
        <i val="0"/>
        <condense val="0"/>
        <extend val="0"/>
        <color indexed="9"/>
      </font>
      <fill>
        <patternFill>
          <bgColor indexed="48"/>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s>
  <tableStyles count="0" defaultTableStyle="TableStyleMedium2" defaultPivotStyle="PivotStyleLight16"/>
  <colors>
    <mruColors>
      <color rgb="FFFFCCFF"/>
      <color rgb="FFCC99FF"/>
      <color rgb="FF8F23B3"/>
      <color rgb="FF99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1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20"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17/10/relationships/person" Target="persons/person.xml"/><Relationship Id="rId10" Type="http://schemas.openxmlformats.org/officeDocument/2006/relationships/externalLink" Target="externalLinks/externalLink1.xml"/><Relationship Id="rId19"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eetMetadata" Target="metadata.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22411</xdr:colOff>
      <xdr:row>0</xdr:row>
      <xdr:rowOff>22413</xdr:rowOff>
    </xdr:from>
    <xdr:to>
      <xdr:col>1</xdr:col>
      <xdr:colOff>840441</xdr:colOff>
      <xdr:row>4</xdr:row>
      <xdr:rowOff>130885</xdr:rowOff>
    </xdr:to>
    <xdr:pic>
      <xdr:nvPicPr>
        <xdr:cNvPr id="3" name="Picture 2" descr="Home-Office_RGB_AW">
          <a:extLst>
            <a:ext uri="{FF2B5EF4-FFF2-40B4-BE49-F238E27FC236}">
              <a16:creationId xmlns:a16="http://schemas.microsoft.com/office/drawing/2014/main" id="{00000000-0008-0000-0000-000003000000}"/>
            </a:ext>
          </a:extLst>
        </xdr:cNvPr>
        <xdr:cNvPicPr/>
      </xdr:nvPicPr>
      <xdr:blipFill>
        <a:blip xmlns:r="http://schemas.openxmlformats.org/officeDocument/2006/relationships" r:embed="rId1" cstate="print"/>
        <a:srcRect/>
        <a:stretch>
          <a:fillRect/>
        </a:stretch>
      </xdr:blipFill>
      <xdr:spPr bwMode="auto">
        <a:xfrm>
          <a:off x="22411" y="22413"/>
          <a:ext cx="2005854" cy="862852"/>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149678</xdr:colOff>
      <xdr:row>0</xdr:row>
      <xdr:rowOff>95249</xdr:rowOff>
    </xdr:from>
    <xdr:to>
      <xdr:col>1</xdr:col>
      <xdr:colOff>136072</xdr:colOff>
      <xdr:row>3</xdr:row>
      <xdr:rowOff>54428</xdr:rowOff>
    </xdr:to>
    <xdr:pic>
      <xdr:nvPicPr>
        <xdr:cNvPr id="2" name="Picture 1" descr="Home-Office_RGB_AW">
          <a:extLst>
            <a:ext uri="{FF2B5EF4-FFF2-40B4-BE49-F238E27FC236}">
              <a16:creationId xmlns:a16="http://schemas.microsoft.com/office/drawing/2014/main" id="{F99DA467-010D-478A-A082-210D76F1D7E8}"/>
            </a:ext>
          </a:extLst>
        </xdr:cNvPr>
        <xdr:cNvPicPr/>
      </xdr:nvPicPr>
      <xdr:blipFill>
        <a:blip xmlns:r="http://schemas.openxmlformats.org/officeDocument/2006/relationships" r:embed="rId1" cstate="print"/>
        <a:srcRect/>
        <a:stretch>
          <a:fillRect/>
        </a:stretch>
      </xdr:blipFill>
      <xdr:spPr bwMode="auto">
        <a:xfrm>
          <a:off x="149678" y="99059"/>
          <a:ext cx="2354309" cy="1102179"/>
        </a:xfrm>
        <a:prstGeom prst="rect">
          <a:avLst/>
        </a:prstGeom>
        <a:noFill/>
        <a:ln w="9525">
          <a:noFill/>
          <a:miter lim="800000"/>
          <a:headEnd/>
          <a:tailEnd/>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149678</xdr:colOff>
      <xdr:row>0</xdr:row>
      <xdr:rowOff>95249</xdr:rowOff>
    </xdr:from>
    <xdr:to>
      <xdr:col>1</xdr:col>
      <xdr:colOff>136072</xdr:colOff>
      <xdr:row>3</xdr:row>
      <xdr:rowOff>54428</xdr:rowOff>
    </xdr:to>
    <xdr:pic>
      <xdr:nvPicPr>
        <xdr:cNvPr id="2" name="Picture 1" descr="Home-Office_RGB_AW">
          <a:extLst>
            <a:ext uri="{FF2B5EF4-FFF2-40B4-BE49-F238E27FC236}">
              <a16:creationId xmlns:a16="http://schemas.microsoft.com/office/drawing/2014/main" id="{5479E8F6-5574-430C-AB39-FE395D55D746}"/>
            </a:ext>
          </a:extLst>
        </xdr:cNvPr>
        <xdr:cNvPicPr/>
      </xdr:nvPicPr>
      <xdr:blipFill>
        <a:blip xmlns:r="http://schemas.openxmlformats.org/officeDocument/2006/relationships" r:embed="rId1" cstate="print"/>
        <a:srcRect/>
        <a:stretch>
          <a:fillRect/>
        </a:stretch>
      </xdr:blipFill>
      <xdr:spPr bwMode="auto">
        <a:xfrm>
          <a:off x="149678" y="99059"/>
          <a:ext cx="2354309" cy="1102179"/>
        </a:xfrm>
        <a:prstGeom prst="rect">
          <a:avLst/>
        </a:prstGeom>
        <a:noFill/>
        <a:ln w="9525">
          <a:noFill/>
          <a:miter lim="800000"/>
          <a:headEnd/>
          <a:tailEnd/>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ukhomeoffice.sharepoint.com/TMS/DomGroup/ASD-ETHOS30/Fire%20Stats/003%20Fire%20Operational%20Statistics/2021_22/Template%20creation/FS_Avon_2021_22_SL_DRAF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QA check thresholds"/>
      <sheetName val="Cover"/>
      <sheetName val="FS1"/>
      <sheetName val="FS1 v2"/>
      <sheetName val="FS1 2020-21"/>
      <sheetName val="FS2"/>
      <sheetName val="FS2 2020-21"/>
      <sheetName val="FS6a"/>
      <sheetName val="FS6a 2020-21"/>
      <sheetName val="FS6b"/>
      <sheetName val="FS6b 2020-21"/>
      <sheetName val="FS7"/>
      <sheetName val="FS7 2020-21"/>
      <sheetName val="FS8a"/>
      <sheetName val="FS8a 2020-21"/>
      <sheetName val="FS8b"/>
      <sheetName val="FS8b 2020-21"/>
      <sheetName val="FS8c"/>
      <sheetName val="FS8c 2020-21"/>
      <sheetName val="FS8d"/>
      <sheetName val="FS8d 2020-21"/>
      <sheetName val="FS9"/>
      <sheetName val="FS9 2020-21"/>
      <sheetName val="FS10"/>
      <sheetName val="FS10 2020-21"/>
      <sheetName val="Guidance"/>
      <sheetName val="FS1819"/>
      <sheetName val="FS1920"/>
      <sheetName val="Checks"/>
      <sheetName val="TO DELETE Checks v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www.hse.gov.uk/riddor/key-definitions.htm" TargetMode="Externa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2:I394"/>
  <sheetViews>
    <sheetView showGridLines="0" tabSelected="1" zoomScale="80" zoomScaleNormal="80" workbookViewId="0">
      <selection activeCell="B34" sqref="B34:F34"/>
    </sheetView>
  </sheetViews>
  <sheetFormatPr defaultColWidth="9.42578125" defaultRowHeight="15" customHeight="1"/>
  <cols>
    <col min="1" max="1" width="17.5703125" style="21" customWidth="1"/>
    <col min="2" max="2" width="20.5703125" style="21" customWidth="1"/>
    <col min="3" max="3" width="34.42578125" style="21" customWidth="1"/>
    <col min="4" max="6" width="20.5703125" style="21" customWidth="1"/>
    <col min="7" max="7" width="3.42578125" style="21" customWidth="1"/>
    <col min="8" max="9" width="18.5703125" style="21" customWidth="1"/>
    <col min="10" max="16384" width="9.42578125" style="21"/>
  </cols>
  <sheetData>
    <row r="2" spans="1:9" ht="15" customHeight="1">
      <c r="C2" s="87"/>
      <c r="D2" s="87"/>
      <c r="E2" s="87"/>
      <c r="F2" s="87"/>
      <c r="G2" s="87"/>
    </row>
    <row r="3" spans="1:9" ht="15" customHeight="1">
      <c r="C3" s="88"/>
      <c r="D3" s="88"/>
      <c r="E3" s="88"/>
      <c r="F3" s="88"/>
      <c r="G3" s="88"/>
    </row>
    <row r="4" spans="1:9" ht="15" customHeight="1">
      <c r="C4" s="88"/>
      <c r="D4" s="88"/>
      <c r="E4" s="88"/>
      <c r="F4" s="88"/>
      <c r="G4" s="88"/>
    </row>
    <row r="5" spans="1:9" ht="15" customHeight="1" thickBot="1"/>
    <row r="6" spans="1:9" s="23" customFormat="1" ht="15" customHeight="1">
      <c r="A6" s="99" t="s">
        <v>111</v>
      </c>
      <c r="B6" s="100"/>
      <c r="C6" s="100"/>
      <c r="D6" s="100"/>
      <c r="E6" s="100"/>
      <c r="F6" s="101"/>
      <c r="G6" s="22"/>
      <c r="H6" s="22"/>
      <c r="I6" s="22"/>
    </row>
    <row r="7" spans="1:9" s="23" customFormat="1" ht="20.100000000000001" customHeight="1">
      <c r="A7" s="102" t="s">
        <v>1</v>
      </c>
      <c r="B7" s="103"/>
      <c r="C7" s="103"/>
      <c r="D7" s="103"/>
      <c r="E7" s="103"/>
      <c r="F7" s="104"/>
      <c r="G7" s="22"/>
      <c r="H7" s="22"/>
      <c r="I7" s="22"/>
    </row>
    <row r="8" spans="1:9" s="23" customFormat="1" ht="18" customHeight="1" thickBot="1">
      <c r="A8" s="90" t="s">
        <v>2</v>
      </c>
      <c r="B8" s="91"/>
      <c r="C8" s="91"/>
      <c r="D8" s="91"/>
      <c r="E8" s="91"/>
      <c r="F8" s="92"/>
      <c r="G8" s="22"/>
      <c r="H8" s="22"/>
      <c r="I8" s="22"/>
    </row>
    <row r="9" spans="1:9" ht="8.1" customHeight="1" thickBot="1"/>
    <row r="10" spans="1:9" ht="25.35" customHeight="1" thickBot="1">
      <c r="A10" s="93" t="str">
        <f>VLOOKUP(B250,B251:D316,2,FALSE)</f>
        <v>Cumbria</v>
      </c>
      <c r="B10" s="94"/>
      <c r="C10" s="94"/>
      <c r="D10" s="94"/>
      <c r="E10" s="94"/>
      <c r="F10" s="95"/>
    </row>
    <row r="11" spans="1:9" ht="18" customHeight="1" thickBot="1">
      <c r="A11" s="96" t="str">
        <f>VLOOKUP(B250,B251:D316,3,FALSE)</f>
        <v>E31000009</v>
      </c>
      <c r="B11" s="97"/>
      <c r="C11" s="97"/>
      <c r="D11" s="97"/>
      <c r="E11" s="97"/>
      <c r="F11" s="98"/>
    </row>
    <row r="12" spans="1:9" ht="8.1" customHeight="1"/>
    <row r="13" spans="1:9" ht="8.1" customHeight="1">
      <c r="A13" s="24"/>
      <c r="B13" s="24"/>
      <c r="C13" s="24"/>
      <c r="D13" s="24"/>
      <c r="E13" s="24"/>
      <c r="F13" s="24"/>
      <c r="G13" s="24"/>
      <c r="H13" s="24"/>
      <c r="I13" s="24"/>
    </row>
    <row r="14" spans="1:9" ht="15" customHeight="1">
      <c r="A14" s="25" t="s">
        <v>3</v>
      </c>
      <c r="B14" s="89" t="s">
        <v>4</v>
      </c>
      <c r="C14" s="89"/>
      <c r="D14" s="89"/>
      <c r="E14" s="89"/>
      <c r="F14" s="89"/>
      <c r="G14" s="89"/>
      <c r="H14" s="89"/>
      <c r="I14" s="89"/>
    </row>
    <row r="15" spans="1:9" s="27" customFormat="1" ht="15" customHeight="1">
      <c r="A15" s="59" t="s">
        <v>5</v>
      </c>
      <c r="B15" s="86" t="s">
        <v>6</v>
      </c>
      <c r="C15" s="86"/>
      <c r="D15" s="86"/>
      <c r="E15" s="86"/>
      <c r="F15" s="86"/>
      <c r="G15" s="26"/>
      <c r="H15" s="26"/>
      <c r="I15" s="26"/>
    </row>
    <row r="16" spans="1:9" s="27" customFormat="1" ht="15" customHeight="1">
      <c r="A16" s="59" t="s">
        <v>7</v>
      </c>
      <c r="B16" s="86" t="s">
        <v>8</v>
      </c>
      <c r="C16" s="86"/>
      <c r="D16" s="86"/>
      <c r="E16" s="86"/>
      <c r="F16" s="86"/>
      <c r="G16" s="26"/>
      <c r="H16" s="26"/>
      <c r="I16" s="26"/>
    </row>
    <row r="17" spans="1:9" ht="15" customHeight="1">
      <c r="A17" s="60" t="s">
        <v>9</v>
      </c>
      <c r="B17" s="108" t="s">
        <v>10</v>
      </c>
      <c r="C17" s="108"/>
      <c r="D17" s="108"/>
      <c r="E17" s="108"/>
      <c r="F17" s="108"/>
    </row>
    <row r="18" spans="1:9" ht="8.1" customHeight="1"/>
    <row r="19" spans="1:9">
      <c r="A19" s="61" t="s">
        <v>11</v>
      </c>
      <c r="B19" s="62"/>
      <c r="C19" s="62"/>
      <c r="D19" s="62"/>
      <c r="E19" s="62"/>
      <c r="F19" s="62"/>
      <c r="G19" s="28"/>
      <c r="H19" s="28"/>
      <c r="I19" s="28"/>
    </row>
    <row r="20" spans="1:9" ht="29.45" customHeight="1">
      <c r="A20" s="63"/>
      <c r="B20" s="105" t="s">
        <v>12</v>
      </c>
      <c r="C20" s="105"/>
      <c r="D20" s="105"/>
      <c r="E20" s="105"/>
      <c r="F20" s="105"/>
    </row>
    <row r="21" spans="1:9" customFormat="1" ht="15" customHeight="1"/>
    <row r="22" spans="1:9" ht="14.25">
      <c r="A22" s="106" t="s">
        <v>231</v>
      </c>
      <c r="B22" s="106"/>
      <c r="C22" s="106"/>
      <c r="D22" s="106"/>
      <c r="E22" s="106"/>
      <c r="F22" s="106"/>
    </row>
    <row r="23" spans="1:9" s="27" customFormat="1" ht="15" customHeight="1">
      <c r="A23" s="107"/>
      <c r="B23" s="107"/>
      <c r="C23" s="34"/>
      <c r="D23" s="34"/>
      <c r="E23" s="34"/>
      <c r="F23" s="34"/>
    </row>
    <row r="24" spans="1:9" ht="15" customHeight="1" thickBot="1">
      <c r="A24" s="17"/>
      <c r="B24" s="17"/>
    </row>
    <row r="25" spans="1:9" ht="15" customHeight="1" thickBot="1">
      <c r="A25" s="29" t="s">
        <v>13</v>
      </c>
      <c r="B25" s="84"/>
      <c r="C25" s="84"/>
      <c r="D25" s="84"/>
      <c r="E25" s="84"/>
      <c r="F25" s="84"/>
    </row>
    <row r="26" spans="1:9" ht="15" customHeight="1" thickBot="1">
      <c r="A26" s="29" t="s">
        <v>14</v>
      </c>
      <c r="B26" s="83"/>
      <c r="C26" s="84"/>
      <c r="D26" s="84"/>
      <c r="E26" s="84"/>
      <c r="F26" s="84"/>
    </row>
    <row r="27" spans="1:9" s="30" customFormat="1" ht="24.95" customHeight="1">
      <c r="A27" s="21"/>
      <c r="B27" s="21"/>
      <c r="C27" s="21"/>
      <c r="D27" s="21"/>
      <c r="E27" s="21"/>
      <c r="F27" s="21"/>
    </row>
    <row r="28" spans="1:9" ht="15" customHeight="1" thickBot="1">
      <c r="A28" s="85" t="s">
        <v>15</v>
      </c>
      <c r="B28" s="85"/>
      <c r="C28" s="85"/>
      <c r="D28" s="85"/>
      <c r="E28" s="85"/>
      <c r="F28" s="85"/>
    </row>
    <row r="29" spans="1:9" ht="35.1" customHeight="1" thickBot="1">
      <c r="A29" s="109"/>
      <c r="B29" s="110"/>
      <c r="C29" s="110"/>
      <c r="D29" s="110"/>
      <c r="E29" s="110"/>
      <c r="F29" s="111"/>
    </row>
    <row r="30" spans="1:9" ht="26.85" customHeight="1">
      <c r="A30" s="17"/>
      <c r="B30" s="17"/>
    </row>
    <row r="31" spans="1:9" ht="26.1" customHeight="1">
      <c r="A31" s="85"/>
      <c r="B31" s="85"/>
      <c r="C31" s="85"/>
      <c r="D31" s="85"/>
      <c r="E31" s="85"/>
      <c r="F31" s="85"/>
    </row>
    <row r="32" spans="1:9" ht="15" customHeight="1">
      <c r="A32" s="31"/>
      <c r="B32" s="82"/>
      <c r="C32" s="82"/>
      <c r="D32" s="82"/>
      <c r="E32" s="82"/>
      <c r="F32" s="82"/>
    </row>
    <row r="33" spans="1:6" ht="15" customHeight="1">
      <c r="A33" s="31"/>
      <c r="B33" s="82"/>
      <c r="C33" s="82"/>
      <c r="D33" s="82"/>
      <c r="E33" s="82"/>
      <c r="F33" s="82"/>
    </row>
    <row r="34" spans="1:6" ht="15" customHeight="1">
      <c r="A34" s="31"/>
      <c r="B34" s="82"/>
      <c r="C34" s="82"/>
      <c r="D34" s="82"/>
      <c r="E34" s="82"/>
      <c r="F34" s="82"/>
    </row>
    <row r="35" spans="1:6" ht="15" customHeight="1">
      <c r="A35" s="31"/>
      <c r="B35" s="82"/>
      <c r="C35" s="82"/>
      <c r="D35" s="82"/>
      <c r="E35" s="82"/>
      <c r="F35" s="82"/>
    </row>
    <row r="36" spans="1:6" ht="15" customHeight="1">
      <c r="A36" s="31"/>
      <c r="B36" s="82"/>
      <c r="C36" s="82"/>
      <c r="D36" s="82"/>
      <c r="E36" s="82"/>
      <c r="F36" s="82"/>
    </row>
    <row r="37" spans="1:6" ht="15" customHeight="1">
      <c r="A37" s="31"/>
      <c r="B37" s="82"/>
      <c r="C37" s="82"/>
      <c r="D37" s="82"/>
      <c r="E37" s="82"/>
      <c r="F37" s="82"/>
    </row>
    <row r="38" spans="1:6" ht="15" customHeight="1">
      <c r="A38" s="31"/>
      <c r="B38" s="82"/>
      <c r="C38" s="82"/>
      <c r="D38" s="82"/>
      <c r="E38" s="82"/>
      <c r="F38" s="82"/>
    </row>
    <row r="39" spans="1:6" ht="15" customHeight="1">
      <c r="A39" s="31"/>
      <c r="B39" s="82"/>
      <c r="C39" s="82"/>
      <c r="D39" s="82"/>
      <c r="E39" s="82"/>
      <c r="F39" s="82"/>
    </row>
    <row r="40" spans="1:6" ht="15" customHeight="1">
      <c r="A40" s="31"/>
      <c r="B40" s="82"/>
      <c r="C40" s="82"/>
      <c r="D40" s="82"/>
      <c r="E40" s="82"/>
      <c r="F40" s="82"/>
    </row>
    <row r="41" spans="1:6" ht="15" customHeight="1">
      <c r="A41" s="31"/>
      <c r="B41" s="82"/>
      <c r="C41" s="82"/>
      <c r="D41" s="82"/>
      <c r="E41" s="82"/>
      <c r="F41" s="82"/>
    </row>
    <row r="42" spans="1:6" ht="15" customHeight="1">
      <c r="A42" s="31"/>
      <c r="B42" s="82"/>
      <c r="C42" s="82"/>
      <c r="D42" s="82"/>
      <c r="E42" s="82"/>
      <c r="F42" s="82"/>
    </row>
    <row r="43" spans="1:6" ht="15" customHeight="1">
      <c r="A43" s="31"/>
      <c r="B43" s="82"/>
      <c r="C43" s="82"/>
      <c r="D43" s="82"/>
      <c r="E43" s="82"/>
      <c r="F43" s="82"/>
    </row>
    <row r="44" spans="1:6" ht="15" customHeight="1">
      <c r="A44" s="31"/>
      <c r="B44" s="82"/>
      <c r="C44" s="82"/>
      <c r="D44" s="82"/>
      <c r="E44" s="82"/>
      <c r="F44" s="82"/>
    </row>
    <row r="45" spans="1:6" ht="15" customHeight="1">
      <c r="A45" s="31"/>
      <c r="B45" s="82"/>
      <c r="C45" s="82"/>
      <c r="D45" s="82"/>
      <c r="E45" s="82"/>
      <c r="F45" s="82"/>
    </row>
    <row r="46" spans="1:6" ht="15" customHeight="1">
      <c r="A46" s="31"/>
      <c r="B46" s="82"/>
      <c r="C46" s="82"/>
      <c r="D46" s="82"/>
      <c r="E46" s="82"/>
      <c r="F46" s="82"/>
    </row>
    <row r="47" spans="1:6" ht="15" customHeight="1">
      <c r="A47" s="31"/>
      <c r="B47" s="82"/>
      <c r="C47" s="82"/>
      <c r="D47" s="82"/>
      <c r="E47" s="82"/>
      <c r="F47" s="82"/>
    </row>
    <row r="48" spans="1:6" ht="15" customHeight="1">
      <c r="A48" s="31"/>
      <c r="B48" s="82"/>
      <c r="C48" s="82"/>
      <c r="D48" s="82"/>
      <c r="E48" s="82"/>
      <c r="F48" s="82"/>
    </row>
    <row r="49" spans="1:6" ht="15" customHeight="1">
      <c r="A49" s="31"/>
      <c r="B49" s="82"/>
      <c r="C49" s="82"/>
      <c r="D49" s="82"/>
      <c r="E49" s="82"/>
      <c r="F49" s="82"/>
    </row>
    <row r="50" spans="1:6" ht="15" customHeight="1">
      <c r="A50" s="31"/>
      <c r="B50" s="82"/>
      <c r="C50" s="82"/>
      <c r="D50" s="82"/>
      <c r="E50" s="82"/>
      <c r="F50" s="82"/>
    </row>
    <row r="51" spans="1:6" ht="15" customHeight="1">
      <c r="A51" s="31"/>
      <c r="B51" s="82"/>
      <c r="C51" s="82"/>
      <c r="D51" s="82"/>
      <c r="E51" s="82"/>
      <c r="F51" s="82"/>
    </row>
    <row r="52" spans="1:6" ht="15" customHeight="1">
      <c r="A52" s="31"/>
      <c r="B52" s="82"/>
      <c r="C52" s="82"/>
      <c r="D52" s="82"/>
      <c r="E52" s="82"/>
      <c r="F52" s="82"/>
    </row>
    <row r="53" spans="1:6" ht="15" customHeight="1">
      <c r="A53" s="31"/>
      <c r="B53" s="82"/>
      <c r="C53" s="82"/>
      <c r="D53" s="82"/>
      <c r="E53" s="82"/>
      <c r="F53" s="82"/>
    </row>
    <row r="54" spans="1:6" ht="15" customHeight="1">
      <c r="A54" s="31"/>
      <c r="B54" s="82"/>
      <c r="C54" s="82"/>
      <c r="D54" s="82"/>
      <c r="E54" s="82"/>
      <c r="F54" s="82"/>
    </row>
    <row r="55" spans="1:6" ht="15" customHeight="1">
      <c r="A55" s="31"/>
      <c r="B55" s="82"/>
      <c r="C55" s="82"/>
      <c r="D55" s="82"/>
      <c r="E55" s="82"/>
      <c r="F55" s="82"/>
    </row>
    <row r="56" spans="1:6" ht="15" customHeight="1">
      <c r="A56" s="31"/>
      <c r="B56" s="82"/>
      <c r="C56" s="82"/>
      <c r="D56" s="82"/>
      <c r="E56" s="82"/>
      <c r="F56" s="82"/>
    </row>
    <row r="57" spans="1:6" ht="15" customHeight="1">
      <c r="A57" s="31"/>
      <c r="B57" s="82"/>
      <c r="C57" s="82"/>
      <c r="D57" s="82"/>
      <c r="E57" s="82"/>
      <c r="F57" s="82"/>
    </row>
    <row r="58" spans="1:6" ht="15" customHeight="1">
      <c r="A58" s="31"/>
      <c r="B58" s="82"/>
      <c r="C58" s="82"/>
      <c r="D58" s="82"/>
      <c r="E58" s="82"/>
      <c r="F58" s="82"/>
    </row>
    <row r="59" spans="1:6" ht="15" customHeight="1">
      <c r="A59" s="31"/>
      <c r="B59" s="82"/>
      <c r="C59" s="82"/>
      <c r="D59" s="82"/>
      <c r="E59" s="82"/>
      <c r="F59" s="82"/>
    </row>
    <row r="60" spans="1:6" ht="15" customHeight="1">
      <c r="A60" s="31"/>
      <c r="B60" s="82"/>
      <c r="C60" s="82"/>
      <c r="D60" s="82"/>
      <c r="E60" s="82"/>
      <c r="F60" s="82"/>
    </row>
    <row r="61" spans="1:6" ht="15" customHeight="1">
      <c r="A61" s="31"/>
      <c r="B61" s="82"/>
      <c r="C61" s="82"/>
      <c r="D61" s="82"/>
      <c r="E61" s="82"/>
      <c r="F61" s="82"/>
    </row>
    <row r="62" spans="1:6" ht="15" customHeight="1">
      <c r="A62" s="31"/>
      <c r="B62" s="82"/>
      <c r="C62" s="82"/>
      <c r="D62" s="82"/>
      <c r="E62" s="82"/>
      <c r="F62" s="82"/>
    </row>
    <row r="63" spans="1:6" ht="15" customHeight="1">
      <c r="A63" s="31"/>
      <c r="B63" s="82"/>
      <c r="C63" s="82"/>
      <c r="D63" s="82"/>
      <c r="E63" s="82"/>
      <c r="F63" s="82"/>
    </row>
    <row r="64" spans="1:6" ht="15" customHeight="1">
      <c r="A64" s="31"/>
      <c r="B64" s="82"/>
      <c r="C64" s="82"/>
      <c r="D64" s="82"/>
      <c r="E64" s="82"/>
      <c r="F64" s="82"/>
    </row>
    <row r="65" spans="1:6" ht="15" customHeight="1">
      <c r="A65" s="31"/>
      <c r="B65" s="82"/>
      <c r="C65" s="82"/>
      <c r="D65" s="82"/>
      <c r="E65" s="82"/>
      <c r="F65" s="82"/>
    </row>
    <row r="66" spans="1:6" ht="15" customHeight="1">
      <c r="A66" s="31"/>
      <c r="B66" s="82"/>
      <c r="C66" s="82"/>
      <c r="D66" s="82"/>
      <c r="E66" s="82"/>
      <c r="F66" s="82"/>
    </row>
    <row r="67" spans="1:6" ht="15" customHeight="1">
      <c r="A67" s="31"/>
      <c r="B67" s="82"/>
      <c r="C67" s="82"/>
      <c r="D67" s="82"/>
      <c r="E67" s="82"/>
      <c r="F67" s="82"/>
    </row>
    <row r="68" spans="1:6" ht="15" customHeight="1">
      <c r="A68" s="31"/>
      <c r="B68" s="82"/>
      <c r="C68" s="82"/>
      <c r="D68" s="82"/>
      <c r="E68" s="82"/>
      <c r="F68" s="82"/>
    </row>
    <row r="69" spans="1:6" ht="15" customHeight="1">
      <c r="A69" s="31"/>
      <c r="B69" s="82"/>
      <c r="C69" s="82"/>
      <c r="D69" s="82"/>
      <c r="E69" s="82"/>
      <c r="F69" s="82"/>
    </row>
    <row r="70" spans="1:6" ht="15" customHeight="1">
      <c r="A70" s="31"/>
      <c r="B70" s="82"/>
      <c r="C70" s="82"/>
      <c r="D70" s="82"/>
      <c r="E70" s="82"/>
      <c r="F70" s="82"/>
    </row>
    <row r="71" spans="1:6" ht="15" customHeight="1">
      <c r="A71" s="31"/>
      <c r="B71" s="82"/>
      <c r="C71" s="82"/>
      <c r="D71" s="82"/>
      <c r="E71" s="82"/>
      <c r="F71" s="82"/>
    </row>
    <row r="72" spans="1:6" ht="15" customHeight="1">
      <c r="A72" s="31"/>
      <c r="B72" s="82"/>
      <c r="C72" s="82"/>
      <c r="D72" s="82"/>
      <c r="E72" s="82"/>
      <c r="F72" s="82"/>
    </row>
    <row r="73" spans="1:6" ht="15" customHeight="1">
      <c r="A73" s="31"/>
      <c r="B73" s="82"/>
      <c r="C73" s="82"/>
      <c r="D73" s="82"/>
      <c r="E73" s="82"/>
      <c r="F73" s="82"/>
    </row>
    <row r="74" spans="1:6" ht="15" customHeight="1">
      <c r="A74" s="31"/>
      <c r="B74" s="82"/>
      <c r="C74" s="82"/>
      <c r="D74" s="82"/>
      <c r="E74" s="82"/>
      <c r="F74" s="82"/>
    </row>
    <row r="75" spans="1:6" ht="15" customHeight="1">
      <c r="A75" s="31"/>
      <c r="B75" s="82"/>
      <c r="C75" s="82"/>
      <c r="D75" s="82"/>
      <c r="E75" s="82"/>
      <c r="F75" s="82"/>
    </row>
    <row r="76" spans="1:6" ht="15" customHeight="1">
      <c r="A76" s="31"/>
      <c r="B76" s="82"/>
      <c r="C76" s="82"/>
      <c r="D76" s="82"/>
      <c r="E76" s="82"/>
      <c r="F76" s="82"/>
    </row>
    <row r="77" spans="1:6" ht="15" customHeight="1">
      <c r="A77" s="31"/>
      <c r="B77" s="82"/>
      <c r="C77" s="82"/>
      <c r="D77" s="82"/>
      <c r="E77" s="82"/>
      <c r="F77" s="82"/>
    </row>
    <row r="78" spans="1:6" ht="15" customHeight="1">
      <c r="A78" s="31"/>
      <c r="B78" s="82"/>
      <c r="C78" s="82"/>
      <c r="D78" s="82"/>
      <c r="E78" s="82"/>
      <c r="F78" s="82"/>
    </row>
    <row r="79" spans="1:6" ht="15" customHeight="1">
      <c r="A79" s="31"/>
      <c r="B79" s="82"/>
      <c r="C79" s="82"/>
      <c r="D79" s="82"/>
      <c r="E79" s="82"/>
      <c r="F79" s="82"/>
    </row>
    <row r="80" spans="1:6" ht="15" customHeight="1">
      <c r="A80" s="31"/>
      <c r="B80" s="82"/>
      <c r="C80" s="82"/>
      <c r="D80" s="82"/>
      <c r="E80" s="82"/>
      <c r="F80" s="82"/>
    </row>
    <row r="81" spans="1:6" ht="15" customHeight="1">
      <c r="A81" s="31"/>
      <c r="B81" s="82"/>
      <c r="C81" s="82"/>
      <c r="D81" s="82"/>
      <c r="E81" s="82"/>
      <c r="F81" s="82"/>
    </row>
    <row r="82" spans="1:6" ht="15" customHeight="1">
      <c r="A82" s="31"/>
      <c r="B82" s="82"/>
      <c r="C82" s="82"/>
      <c r="D82" s="82"/>
      <c r="E82" s="82"/>
      <c r="F82" s="82"/>
    </row>
    <row r="83" spans="1:6" ht="15" customHeight="1">
      <c r="A83" s="31"/>
      <c r="B83" s="82"/>
      <c r="C83" s="82"/>
      <c r="D83" s="82"/>
      <c r="E83" s="82"/>
      <c r="F83" s="82"/>
    </row>
    <row r="84" spans="1:6" ht="15" customHeight="1">
      <c r="A84" s="31"/>
      <c r="B84" s="82"/>
      <c r="C84" s="82"/>
      <c r="D84" s="82"/>
      <c r="E84" s="82"/>
      <c r="F84" s="82"/>
    </row>
    <row r="85" spans="1:6" ht="15" customHeight="1">
      <c r="A85" s="31"/>
      <c r="B85" s="82"/>
      <c r="C85" s="82"/>
      <c r="D85" s="82"/>
      <c r="E85" s="82"/>
      <c r="F85" s="82"/>
    </row>
    <row r="86" spans="1:6" ht="15" customHeight="1">
      <c r="A86" s="31"/>
      <c r="B86" s="82"/>
      <c r="C86" s="82"/>
      <c r="D86" s="82"/>
      <c r="E86" s="82"/>
      <c r="F86" s="82"/>
    </row>
    <row r="87" spans="1:6" ht="15" customHeight="1">
      <c r="A87" s="31"/>
      <c r="B87" s="82"/>
      <c r="C87" s="82"/>
      <c r="D87" s="82"/>
      <c r="E87" s="82"/>
      <c r="F87" s="82"/>
    </row>
    <row r="88" spans="1:6" ht="15" customHeight="1">
      <c r="A88" s="31"/>
      <c r="B88" s="82"/>
      <c r="C88" s="82"/>
      <c r="D88" s="82"/>
      <c r="E88" s="82"/>
      <c r="F88" s="82"/>
    </row>
    <row r="89" spans="1:6" ht="15" customHeight="1">
      <c r="A89" s="31"/>
      <c r="B89" s="82"/>
      <c r="C89" s="82"/>
      <c r="D89" s="82"/>
      <c r="E89" s="82"/>
      <c r="F89" s="82"/>
    </row>
    <row r="90" spans="1:6" ht="15" customHeight="1">
      <c r="A90" s="31"/>
      <c r="B90" s="82"/>
      <c r="C90" s="82"/>
      <c r="D90" s="82"/>
      <c r="E90" s="82"/>
      <c r="F90" s="82"/>
    </row>
    <row r="91" spans="1:6" ht="15" customHeight="1">
      <c r="A91" s="31"/>
      <c r="B91" s="82"/>
      <c r="C91" s="82"/>
      <c r="D91" s="82"/>
      <c r="E91" s="82"/>
      <c r="F91" s="82"/>
    </row>
    <row r="92" spans="1:6" ht="15" customHeight="1">
      <c r="A92" s="31"/>
      <c r="B92" s="82"/>
      <c r="C92" s="82"/>
      <c r="D92" s="82"/>
      <c r="E92" s="82"/>
      <c r="F92" s="82"/>
    </row>
    <row r="93" spans="1:6" ht="15" customHeight="1">
      <c r="A93" s="31"/>
      <c r="B93" s="82"/>
      <c r="C93" s="82"/>
      <c r="D93" s="82"/>
      <c r="E93" s="82"/>
      <c r="F93" s="82"/>
    </row>
    <row r="94" spans="1:6" ht="15" customHeight="1">
      <c r="A94" s="31"/>
      <c r="B94" s="82"/>
      <c r="C94" s="82"/>
      <c r="D94" s="82"/>
      <c r="E94" s="82"/>
      <c r="F94" s="82"/>
    </row>
    <row r="95" spans="1:6" ht="15" customHeight="1">
      <c r="A95" s="31"/>
      <c r="B95" s="82"/>
      <c r="C95" s="82"/>
      <c r="D95" s="82"/>
      <c r="E95" s="82"/>
      <c r="F95" s="82"/>
    </row>
    <row r="96" spans="1:6" ht="15" customHeight="1">
      <c r="A96" s="31"/>
      <c r="B96" s="82"/>
      <c r="C96" s="82"/>
      <c r="D96" s="82"/>
      <c r="E96" s="82"/>
      <c r="F96" s="82"/>
    </row>
    <row r="97" spans="1:6" ht="15" customHeight="1">
      <c r="A97" s="31"/>
      <c r="B97" s="82"/>
      <c r="C97" s="82"/>
      <c r="D97" s="82"/>
      <c r="E97" s="82"/>
      <c r="F97" s="82"/>
    </row>
    <row r="98" spans="1:6" ht="15" customHeight="1">
      <c r="A98" s="31"/>
      <c r="B98" s="82"/>
      <c r="C98" s="82"/>
      <c r="D98" s="82"/>
      <c r="E98" s="82"/>
      <c r="F98" s="82"/>
    </row>
    <row r="99" spans="1:6" ht="15" customHeight="1">
      <c r="A99" s="31"/>
      <c r="B99" s="82"/>
      <c r="C99" s="82"/>
      <c r="D99" s="82"/>
      <c r="E99" s="82"/>
      <c r="F99" s="82"/>
    </row>
    <row r="100" spans="1:6" ht="15" customHeight="1">
      <c r="A100" s="31"/>
      <c r="B100" s="82"/>
      <c r="C100" s="82"/>
      <c r="D100" s="82"/>
      <c r="E100" s="82"/>
      <c r="F100" s="82"/>
    </row>
    <row r="101" spans="1:6" ht="15" customHeight="1">
      <c r="A101" s="31"/>
      <c r="B101" s="82"/>
      <c r="C101" s="82"/>
      <c r="D101" s="82"/>
      <c r="E101" s="82"/>
      <c r="F101" s="82"/>
    </row>
    <row r="102" spans="1:6" ht="15" customHeight="1">
      <c r="A102" s="31"/>
      <c r="B102" s="82"/>
      <c r="C102" s="82"/>
      <c r="D102" s="82"/>
      <c r="E102" s="82"/>
      <c r="F102" s="82"/>
    </row>
    <row r="103" spans="1:6" ht="15" customHeight="1">
      <c r="A103" s="31"/>
      <c r="B103" s="82"/>
      <c r="C103" s="82"/>
      <c r="D103" s="82"/>
      <c r="E103" s="82"/>
      <c r="F103" s="82"/>
    </row>
    <row r="104" spans="1:6" ht="15" customHeight="1">
      <c r="A104" s="31"/>
      <c r="B104" s="82"/>
      <c r="C104" s="82"/>
      <c r="D104" s="82"/>
      <c r="E104" s="82"/>
      <c r="F104" s="82"/>
    </row>
    <row r="105" spans="1:6" ht="15" customHeight="1">
      <c r="A105" s="31"/>
      <c r="B105" s="82"/>
      <c r="C105" s="82"/>
      <c r="D105" s="82"/>
      <c r="E105" s="82"/>
      <c r="F105" s="82"/>
    </row>
    <row r="106" spans="1:6" ht="15" customHeight="1">
      <c r="A106" s="31"/>
      <c r="B106" s="82"/>
      <c r="C106" s="82"/>
      <c r="D106" s="82"/>
      <c r="E106" s="82"/>
      <c r="F106" s="82"/>
    </row>
    <row r="107" spans="1:6" ht="15" customHeight="1">
      <c r="A107" s="31"/>
      <c r="B107" s="82"/>
      <c r="C107" s="82"/>
      <c r="D107" s="82"/>
      <c r="E107" s="82"/>
      <c r="F107" s="82"/>
    </row>
    <row r="108" spans="1:6" ht="15" customHeight="1">
      <c r="A108" s="31"/>
      <c r="B108" s="82"/>
      <c r="C108" s="82"/>
      <c r="D108" s="82"/>
      <c r="E108" s="82"/>
      <c r="F108" s="82"/>
    </row>
    <row r="109" spans="1:6" ht="15" customHeight="1">
      <c r="A109" s="31"/>
      <c r="B109" s="82"/>
      <c r="C109" s="82"/>
      <c r="D109" s="82"/>
      <c r="E109" s="82"/>
      <c r="F109" s="82"/>
    </row>
    <row r="110" spans="1:6" ht="15" customHeight="1">
      <c r="A110" s="31"/>
      <c r="B110" s="82"/>
      <c r="C110" s="82"/>
      <c r="D110" s="82"/>
      <c r="E110" s="82"/>
      <c r="F110" s="82"/>
    </row>
    <row r="111" spans="1:6" ht="15" customHeight="1">
      <c r="A111" s="31"/>
      <c r="B111" s="82"/>
      <c r="C111" s="82"/>
      <c r="D111" s="82"/>
      <c r="E111" s="82"/>
      <c r="F111" s="82"/>
    </row>
    <row r="112" spans="1:6" ht="15" customHeight="1">
      <c r="A112" s="31"/>
      <c r="B112" s="82"/>
      <c r="C112" s="82"/>
      <c r="D112" s="82"/>
      <c r="E112" s="82"/>
      <c r="F112" s="82"/>
    </row>
    <row r="113" spans="1:6" ht="15" customHeight="1">
      <c r="A113" s="31"/>
      <c r="B113" s="82"/>
      <c r="C113" s="82"/>
      <c r="D113" s="82"/>
      <c r="E113" s="82"/>
      <c r="F113" s="82"/>
    </row>
    <row r="114" spans="1:6" ht="15" customHeight="1">
      <c r="A114" s="31"/>
      <c r="B114" s="82"/>
      <c r="C114" s="82"/>
      <c r="D114" s="82"/>
      <c r="E114" s="82"/>
      <c r="F114" s="82"/>
    </row>
    <row r="115" spans="1:6" ht="15" customHeight="1">
      <c r="A115" s="31"/>
      <c r="B115" s="82"/>
      <c r="C115" s="82"/>
      <c r="D115" s="82"/>
      <c r="E115" s="82"/>
      <c r="F115" s="82"/>
    </row>
    <row r="116" spans="1:6" ht="15" customHeight="1">
      <c r="A116" s="31"/>
      <c r="B116" s="82"/>
      <c r="C116" s="82"/>
      <c r="D116" s="82"/>
      <c r="E116" s="82"/>
      <c r="F116" s="82"/>
    </row>
    <row r="117" spans="1:6" ht="15" customHeight="1">
      <c r="A117" s="31"/>
      <c r="B117" s="82"/>
      <c r="C117" s="82"/>
      <c r="D117" s="82"/>
      <c r="E117" s="82"/>
      <c r="F117" s="82"/>
    </row>
    <row r="118" spans="1:6" ht="15" customHeight="1">
      <c r="A118" s="31"/>
      <c r="B118" s="82"/>
      <c r="C118" s="82"/>
      <c r="D118" s="82"/>
      <c r="E118" s="82"/>
      <c r="F118" s="82"/>
    </row>
    <row r="119" spans="1:6" ht="15" customHeight="1">
      <c r="A119" s="31"/>
      <c r="B119" s="82"/>
      <c r="C119" s="82"/>
      <c r="D119" s="82"/>
      <c r="E119" s="82"/>
      <c r="F119" s="82"/>
    </row>
    <row r="120" spans="1:6" ht="15" customHeight="1">
      <c r="A120" s="31"/>
      <c r="B120" s="82"/>
      <c r="C120" s="82"/>
      <c r="D120" s="82"/>
      <c r="E120" s="82"/>
      <c r="F120" s="82"/>
    </row>
    <row r="121" spans="1:6" ht="15" customHeight="1">
      <c r="A121" s="31"/>
      <c r="B121" s="82"/>
      <c r="C121" s="82"/>
      <c r="D121" s="82"/>
      <c r="E121" s="82"/>
      <c r="F121" s="82"/>
    </row>
    <row r="122" spans="1:6" ht="15" customHeight="1">
      <c r="A122" s="31"/>
      <c r="B122" s="82"/>
      <c r="C122" s="82"/>
      <c r="D122" s="82"/>
      <c r="E122" s="82"/>
      <c r="F122" s="82"/>
    </row>
    <row r="123" spans="1:6" ht="15" customHeight="1">
      <c r="A123" s="31"/>
      <c r="B123" s="82"/>
      <c r="C123" s="82"/>
      <c r="D123" s="82"/>
      <c r="E123" s="82"/>
      <c r="F123" s="82"/>
    </row>
    <row r="124" spans="1:6" ht="15" customHeight="1">
      <c r="A124" s="31"/>
      <c r="B124" s="82"/>
      <c r="C124" s="82"/>
      <c r="D124" s="82"/>
      <c r="E124" s="82"/>
      <c r="F124" s="82"/>
    </row>
    <row r="125" spans="1:6" ht="15" customHeight="1">
      <c r="A125" s="31"/>
      <c r="B125" s="82"/>
      <c r="C125" s="82"/>
      <c r="D125" s="82"/>
      <c r="E125" s="82"/>
      <c r="F125" s="82"/>
    </row>
    <row r="126" spans="1:6" ht="15" customHeight="1">
      <c r="A126" s="31"/>
      <c r="B126" s="82"/>
      <c r="C126" s="82"/>
      <c r="D126" s="82"/>
      <c r="E126" s="82"/>
      <c r="F126" s="82"/>
    </row>
    <row r="127" spans="1:6" ht="15" customHeight="1">
      <c r="A127" s="31"/>
      <c r="B127" s="82"/>
      <c r="C127" s="82"/>
      <c r="D127" s="82"/>
      <c r="E127" s="82"/>
      <c r="F127" s="82"/>
    </row>
    <row r="128" spans="1:6" ht="15" customHeight="1">
      <c r="A128" s="31"/>
      <c r="B128" s="82"/>
      <c r="C128" s="82"/>
      <c r="D128" s="82"/>
      <c r="E128" s="82"/>
      <c r="F128" s="82"/>
    </row>
    <row r="129" spans="1:6" ht="15" customHeight="1">
      <c r="A129" s="31"/>
      <c r="B129" s="82"/>
      <c r="C129" s="82"/>
      <c r="D129" s="82"/>
      <c r="E129" s="82"/>
      <c r="F129" s="82"/>
    </row>
    <row r="130" spans="1:6" ht="15" customHeight="1">
      <c r="A130" s="31"/>
      <c r="B130" s="82"/>
      <c r="C130" s="82"/>
      <c r="D130" s="82"/>
      <c r="E130" s="82"/>
      <c r="F130" s="82"/>
    </row>
    <row r="131" spans="1:6" ht="15" customHeight="1">
      <c r="A131" s="31"/>
      <c r="B131" s="82"/>
      <c r="C131" s="82"/>
      <c r="D131" s="82"/>
      <c r="E131" s="82"/>
      <c r="F131" s="82"/>
    </row>
    <row r="132" spans="1:6" ht="15" customHeight="1">
      <c r="A132" s="31"/>
      <c r="B132" s="82"/>
      <c r="C132" s="82"/>
      <c r="D132" s="82"/>
      <c r="E132" s="82"/>
      <c r="F132" s="82"/>
    </row>
    <row r="133" spans="1:6" ht="15" customHeight="1">
      <c r="A133" s="31"/>
      <c r="B133" s="82"/>
      <c r="C133" s="82"/>
      <c r="D133" s="82"/>
      <c r="E133" s="82"/>
      <c r="F133" s="82"/>
    </row>
    <row r="134" spans="1:6" ht="15" customHeight="1">
      <c r="A134" s="31"/>
      <c r="B134" s="82"/>
      <c r="C134" s="82"/>
      <c r="D134" s="82"/>
      <c r="E134" s="82"/>
      <c r="F134" s="82"/>
    </row>
    <row r="135" spans="1:6" ht="15" customHeight="1">
      <c r="A135" s="31"/>
      <c r="B135" s="82"/>
      <c r="C135" s="82"/>
      <c r="D135" s="82"/>
      <c r="E135" s="82"/>
      <c r="F135" s="82"/>
    </row>
    <row r="136" spans="1:6" ht="15" customHeight="1">
      <c r="A136" s="31"/>
      <c r="B136" s="82"/>
      <c r="C136" s="82"/>
      <c r="D136" s="82"/>
      <c r="E136" s="82"/>
      <c r="F136" s="82"/>
    </row>
    <row r="137" spans="1:6" ht="15" customHeight="1">
      <c r="A137" s="31"/>
      <c r="B137" s="82"/>
      <c r="C137" s="82"/>
      <c r="D137" s="82"/>
      <c r="E137" s="82"/>
      <c r="F137" s="82"/>
    </row>
    <row r="138" spans="1:6" ht="15" customHeight="1">
      <c r="A138" s="31"/>
      <c r="B138" s="82"/>
      <c r="C138" s="82"/>
      <c r="D138" s="82"/>
      <c r="E138" s="82"/>
      <c r="F138" s="82"/>
    </row>
    <row r="139" spans="1:6" ht="15" customHeight="1">
      <c r="A139" s="31"/>
      <c r="B139" s="82"/>
      <c r="C139" s="82"/>
      <c r="D139" s="82"/>
      <c r="E139" s="82"/>
      <c r="F139" s="82"/>
    </row>
    <row r="140" spans="1:6" ht="15" customHeight="1">
      <c r="A140" s="31"/>
      <c r="B140" s="82"/>
      <c r="C140" s="82"/>
      <c r="D140" s="82"/>
      <c r="E140" s="82"/>
      <c r="F140" s="82"/>
    </row>
    <row r="141" spans="1:6" ht="15" customHeight="1">
      <c r="A141" s="31"/>
      <c r="B141" s="82"/>
      <c r="C141" s="82"/>
      <c r="D141" s="82"/>
      <c r="E141" s="82"/>
      <c r="F141" s="82"/>
    </row>
    <row r="142" spans="1:6" ht="15" customHeight="1">
      <c r="A142" s="31"/>
      <c r="B142" s="82"/>
      <c r="C142" s="82"/>
      <c r="D142" s="82"/>
      <c r="E142" s="82"/>
      <c r="F142" s="82"/>
    </row>
    <row r="143" spans="1:6" ht="15" customHeight="1">
      <c r="A143" s="31"/>
      <c r="B143" s="82"/>
      <c r="C143" s="82"/>
      <c r="D143" s="82"/>
      <c r="E143" s="82"/>
      <c r="F143" s="82"/>
    </row>
    <row r="144" spans="1:6" ht="15" customHeight="1">
      <c r="A144" s="31"/>
      <c r="B144" s="82"/>
      <c r="C144" s="82"/>
      <c r="D144" s="82"/>
      <c r="E144" s="82"/>
      <c r="F144" s="82"/>
    </row>
    <row r="145" spans="1:6" ht="15" customHeight="1">
      <c r="A145" s="31"/>
      <c r="B145" s="82"/>
      <c r="C145" s="82"/>
      <c r="D145" s="82"/>
      <c r="E145" s="82"/>
      <c r="F145" s="82"/>
    </row>
    <row r="146" spans="1:6" ht="15" customHeight="1">
      <c r="A146" s="31"/>
      <c r="B146" s="82"/>
      <c r="C146" s="82"/>
      <c r="D146" s="82"/>
      <c r="E146" s="82"/>
      <c r="F146" s="82"/>
    </row>
    <row r="147" spans="1:6" ht="15" customHeight="1">
      <c r="A147" s="31"/>
      <c r="B147" s="82"/>
      <c r="C147" s="82"/>
      <c r="D147" s="82"/>
      <c r="E147" s="82"/>
      <c r="F147" s="82"/>
    </row>
    <row r="148" spans="1:6" ht="15" customHeight="1">
      <c r="A148" s="31"/>
      <c r="B148" s="82"/>
      <c r="C148" s="82"/>
      <c r="D148" s="82"/>
      <c r="E148" s="82"/>
      <c r="F148" s="82"/>
    </row>
    <row r="149" spans="1:6" ht="15" customHeight="1">
      <c r="A149" s="31"/>
      <c r="B149" s="82"/>
      <c r="C149" s="82"/>
      <c r="D149" s="82"/>
      <c r="E149" s="82"/>
      <c r="F149" s="82"/>
    </row>
    <row r="150" spans="1:6" ht="15" customHeight="1">
      <c r="A150" s="31"/>
      <c r="B150" s="82"/>
      <c r="C150" s="82"/>
      <c r="D150" s="82"/>
      <c r="E150" s="82"/>
      <c r="F150" s="82"/>
    </row>
    <row r="151" spans="1:6" ht="15" customHeight="1">
      <c r="A151" s="31"/>
      <c r="B151" s="82"/>
      <c r="C151" s="82"/>
      <c r="D151" s="82"/>
      <c r="E151" s="82"/>
      <c r="F151" s="82"/>
    </row>
    <row r="152" spans="1:6" ht="15" customHeight="1">
      <c r="A152" s="31"/>
      <c r="B152" s="82"/>
      <c r="C152" s="82"/>
      <c r="D152" s="82"/>
      <c r="E152" s="82"/>
      <c r="F152" s="82"/>
    </row>
    <row r="153" spans="1:6" ht="15" customHeight="1">
      <c r="A153" s="31"/>
      <c r="B153" s="82"/>
      <c r="C153" s="82"/>
      <c r="D153" s="82"/>
      <c r="E153" s="82"/>
      <c r="F153" s="82"/>
    </row>
    <row r="154" spans="1:6" ht="15" customHeight="1">
      <c r="A154" s="31"/>
      <c r="B154" s="82"/>
      <c r="C154" s="82"/>
      <c r="D154" s="82"/>
      <c r="E154" s="82"/>
      <c r="F154" s="82"/>
    </row>
    <row r="155" spans="1:6" ht="15" customHeight="1">
      <c r="A155" s="31"/>
      <c r="B155" s="82"/>
      <c r="C155" s="82"/>
      <c r="D155" s="82"/>
      <c r="E155" s="82"/>
      <c r="F155" s="82"/>
    </row>
    <row r="156" spans="1:6" ht="15" customHeight="1">
      <c r="A156" s="31"/>
      <c r="B156" s="82"/>
      <c r="C156" s="82"/>
      <c r="D156" s="82"/>
      <c r="E156" s="82"/>
      <c r="F156" s="82"/>
    </row>
    <row r="157" spans="1:6" ht="15" customHeight="1">
      <c r="A157" s="31"/>
      <c r="B157" s="82"/>
      <c r="C157" s="82"/>
      <c r="D157" s="82"/>
      <c r="E157" s="82"/>
      <c r="F157" s="82"/>
    </row>
    <row r="158" spans="1:6" ht="15" customHeight="1">
      <c r="A158" s="31"/>
      <c r="B158" s="82"/>
      <c r="C158" s="82"/>
      <c r="D158" s="82"/>
      <c r="E158" s="82"/>
      <c r="F158" s="82"/>
    </row>
    <row r="159" spans="1:6" ht="15" customHeight="1">
      <c r="A159" s="31"/>
      <c r="B159" s="82"/>
      <c r="C159" s="82"/>
      <c r="D159" s="82"/>
      <c r="E159" s="82"/>
      <c r="F159" s="82"/>
    </row>
    <row r="160" spans="1:6" ht="15" customHeight="1">
      <c r="A160" s="31"/>
      <c r="B160" s="82"/>
      <c r="C160" s="82"/>
      <c r="D160" s="82"/>
      <c r="E160" s="82"/>
      <c r="F160" s="82"/>
    </row>
    <row r="161" spans="1:6" ht="15" customHeight="1">
      <c r="A161" s="31"/>
      <c r="B161" s="82"/>
      <c r="C161" s="82"/>
      <c r="D161" s="82"/>
      <c r="E161" s="82"/>
      <c r="F161" s="82"/>
    </row>
    <row r="162" spans="1:6" ht="15" customHeight="1">
      <c r="A162" s="31"/>
      <c r="B162" s="82"/>
      <c r="C162" s="82"/>
      <c r="D162" s="82"/>
      <c r="E162" s="82"/>
      <c r="F162" s="82"/>
    </row>
    <row r="163" spans="1:6" ht="15" customHeight="1">
      <c r="A163" s="31"/>
      <c r="B163" s="82"/>
      <c r="C163" s="82"/>
      <c r="D163" s="82"/>
      <c r="E163" s="82"/>
      <c r="F163" s="82"/>
    </row>
    <row r="164" spans="1:6" ht="15" customHeight="1">
      <c r="A164" s="31"/>
      <c r="B164" s="82"/>
      <c r="C164" s="82"/>
      <c r="D164" s="82"/>
      <c r="E164" s="82"/>
      <c r="F164" s="82"/>
    </row>
    <row r="165" spans="1:6" ht="15" customHeight="1">
      <c r="A165" s="31"/>
      <c r="B165" s="82"/>
      <c r="C165" s="82"/>
      <c r="D165" s="82"/>
      <c r="E165" s="82"/>
      <c r="F165" s="82"/>
    </row>
    <row r="166" spans="1:6" ht="15" customHeight="1">
      <c r="A166" s="31"/>
      <c r="B166" s="82"/>
      <c r="C166" s="82"/>
      <c r="D166" s="82"/>
      <c r="E166" s="82"/>
      <c r="F166" s="82"/>
    </row>
    <row r="167" spans="1:6" ht="15" customHeight="1">
      <c r="A167" s="31"/>
      <c r="B167" s="82"/>
      <c r="C167" s="82"/>
      <c r="D167" s="82"/>
      <c r="E167" s="82"/>
      <c r="F167" s="82"/>
    </row>
    <row r="168" spans="1:6" ht="15" customHeight="1">
      <c r="A168" s="31"/>
      <c r="B168" s="82"/>
      <c r="C168" s="82"/>
      <c r="D168" s="82"/>
      <c r="E168" s="82"/>
      <c r="F168" s="82"/>
    </row>
    <row r="169" spans="1:6" ht="15" customHeight="1">
      <c r="A169" s="31"/>
      <c r="B169" s="82"/>
      <c r="C169" s="82"/>
      <c r="D169" s="82"/>
      <c r="E169" s="82"/>
      <c r="F169" s="82"/>
    </row>
    <row r="170" spans="1:6" ht="15" customHeight="1">
      <c r="A170" s="31"/>
      <c r="B170" s="82"/>
      <c r="C170" s="82"/>
      <c r="D170" s="82"/>
      <c r="E170" s="82"/>
      <c r="F170" s="82"/>
    </row>
    <row r="171" spans="1:6" ht="15" customHeight="1">
      <c r="A171" s="31"/>
      <c r="B171" s="82"/>
      <c r="C171" s="82"/>
      <c r="D171" s="82"/>
      <c r="E171" s="82"/>
      <c r="F171" s="82"/>
    </row>
    <row r="172" spans="1:6" ht="15" customHeight="1">
      <c r="A172" s="31"/>
      <c r="B172" s="82"/>
      <c r="C172" s="82"/>
      <c r="D172" s="82"/>
      <c r="E172" s="82"/>
      <c r="F172" s="82"/>
    </row>
    <row r="173" spans="1:6" ht="15" customHeight="1">
      <c r="A173" s="31"/>
      <c r="B173" s="82"/>
      <c r="C173" s="82"/>
      <c r="D173" s="82"/>
      <c r="E173" s="82"/>
      <c r="F173" s="82"/>
    </row>
    <row r="174" spans="1:6" ht="15" customHeight="1">
      <c r="A174" s="31"/>
      <c r="B174" s="82"/>
      <c r="C174" s="82"/>
      <c r="D174" s="82"/>
      <c r="E174" s="82"/>
      <c r="F174" s="82"/>
    </row>
    <row r="175" spans="1:6" ht="15" customHeight="1">
      <c r="A175" s="31"/>
      <c r="B175" s="82"/>
      <c r="C175" s="82"/>
      <c r="D175" s="82"/>
      <c r="E175" s="82"/>
      <c r="F175" s="82"/>
    </row>
    <row r="176" spans="1:6" ht="15" customHeight="1">
      <c r="A176" s="31"/>
      <c r="B176" s="82"/>
      <c r="C176" s="82"/>
      <c r="D176" s="82"/>
      <c r="E176" s="82"/>
      <c r="F176" s="82"/>
    </row>
    <row r="177" spans="1:6" ht="15" customHeight="1">
      <c r="A177" s="31"/>
      <c r="B177" s="82"/>
      <c r="C177" s="82"/>
      <c r="D177" s="82"/>
      <c r="E177" s="82"/>
      <c r="F177" s="82"/>
    </row>
    <row r="178" spans="1:6" ht="15" customHeight="1">
      <c r="A178" s="31"/>
      <c r="B178" s="82"/>
      <c r="C178" s="82"/>
      <c r="D178" s="82"/>
      <c r="E178" s="82"/>
      <c r="F178" s="82"/>
    </row>
    <row r="179" spans="1:6" ht="15" customHeight="1">
      <c r="A179" s="31"/>
      <c r="B179" s="82"/>
      <c r="C179" s="82"/>
      <c r="D179" s="82"/>
      <c r="E179" s="82"/>
      <c r="F179" s="82"/>
    </row>
    <row r="180" spans="1:6" ht="15" customHeight="1">
      <c r="A180" s="31"/>
      <c r="B180" s="82"/>
      <c r="C180" s="82"/>
      <c r="D180" s="82"/>
      <c r="E180" s="82"/>
      <c r="F180" s="82"/>
    </row>
    <row r="181" spans="1:6" ht="15" customHeight="1">
      <c r="A181" s="31"/>
      <c r="B181" s="82"/>
      <c r="C181" s="82"/>
      <c r="D181" s="82"/>
      <c r="E181" s="82"/>
      <c r="F181" s="82"/>
    </row>
    <row r="182" spans="1:6" ht="15" customHeight="1">
      <c r="A182" s="31"/>
      <c r="B182" s="82"/>
      <c r="C182" s="82"/>
      <c r="D182" s="82"/>
      <c r="E182" s="82"/>
      <c r="F182" s="82"/>
    </row>
    <row r="183" spans="1:6" ht="15" customHeight="1">
      <c r="A183" s="31"/>
      <c r="B183" s="82"/>
      <c r="C183" s="82"/>
      <c r="D183" s="82"/>
      <c r="E183" s="82"/>
      <c r="F183" s="82"/>
    </row>
    <row r="184" spans="1:6" ht="15" customHeight="1">
      <c r="A184" s="31"/>
      <c r="B184" s="82"/>
      <c r="C184" s="82"/>
      <c r="D184" s="82"/>
      <c r="E184" s="82"/>
      <c r="F184" s="82"/>
    </row>
    <row r="185" spans="1:6" ht="15" customHeight="1">
      <c r="A185" s="31"/>
      <c r="B185" s="82"/>
      <c r="C185" s="82"/>
      <c r="D185" s="82"/>
      <c r="E185" s="82"/>
      <c r="F185" s="82"/>
    </row>
    <row r="186" spans="1:6" ht="15" customHeight="1">
      <c r="A186" s="31"/>
      <c r="B186" s="82"/>
      <c r="C186" s="82"/>
      <c r="D186" s="82"/>
      <c r="E186" s="82"/>
      <c r="F186" s="82"/>
    </row>
    <row r="187" spans="1:6" ht="15" customHeight="1">
      <c r="A187" s="31"/>
      <c r="B187" s="82"/>
      <c r="C187" s="82"/>
      <c r="D187" s="82"/>
      <c r="E187" s="82"/>
      <c r="F187" s="82"/>
    </row>
    <row r="188" spans="1:6" ht="15" customHeight="1">
      <c r="A188" s="31"/>
      <c r="B188" s="82"/>
      <c r="C188" s="82"/>
      <c r="D188" s="82"/>
      <c r="E188" s="82"/>
      <c r="F188" s="82"/>
    </row>
    <row r="189" spans="1:6" ht="15" customHeight="1">
      <c r="A189" s="31"/>
      <c r="B189" s="82"/>
      <c r="C189" s="82"/>
      <c r="D189" s="82"/>
      <c r="E189" s="82"/>
      <c r="F189" s="82"/>
    </row>
    <row r="190" spans="1:6" ht="15" customHeight="1">
      <c r="A190" s="31"/>
      <c r="B190" s="82"/>
      <c r="C190" s="82"/>
      <c r="D190" s="82"/>
      <c r="E190" s="82"/>
      <c r="F190" s="82"/>
    </row>
    <row r="191" spans="1:6" ht="15" customHeight="1">
      <c r="A191" s="31"/>
      <c r="B191" s="82"/>
      <c r="C191" s="82"/>
      <c r="D191" s="82"/>
      <c r="E191" s="82"/>
      <c r="F191" s="82"/>
    </row>
    <row r="192" spans="1:6" ht="15" customHeight="1">
      <c r="A192" s="31"/>
      <c r="B192" s="82"/>
      <c r="C192" s="82"/>
      <c r="D192" s="82"/>
      <c r="E192" s="82"/>
      <c r="F192" s="82"/>
    </row>
    <row r="193" spans="1:6" ht="15" customHeight="1">
      <c r="A193" s="31"/>
      <c r="B193" s="82"/>
      <c r="C193" s="82"/>
      <c r="D193" s="82"/>
      <c r="E193" s="82"/>
      <c r="F193" s="82"/>
    </row>
    <row r="194" spans="1:6" ht="15" customHeight="1">
      <c r="A194" s="31"/>
      <c r="B194" s="82"/>
      <c r="C194" s="82"/>
      <c r="D194" s="82"/>
      <c r="E194" s="82"/>
      <c r="F194" s="82"/>
    </row>
    <row r="195" spans="1:6" ht="15" customHeight="1">
      <c r="A195" s="31"/>
      <c r="B195" s="82"/>
      <c r="C195" s="82"/>
      <c r="D195" s="82"/>
      <c r="E195" s="82"/>
      <c r="F195" s="82"/>
    </row>
    <row r="196" spans="1:6" ht="15" customHeight="1">
      <c r="A196" s="31"/>
      <c r="B196" s="82"/>
      <c r="C196" s="82"/>
      <c r="D196" s="82"/>
      <c r="E196" s="82"/>
      <c r="F196" s="82"/>
    </row>
    <row r="197" spans="1:6" ht="15" customHeight="1">
      <c r="A197" s="31"/>
      <c r="B197" s="82"/>
      <c r="C197" s="82"/>
      <c r="D197" s="82"/>
      <c r="E197" s="82"/>
      <c r="F197" s="82"/>
    </row>
    <row r="198" spans="1:6" ht="15" customHeight="1">
      <c r="A198" s="31"/>
      <c r="B198" s="82"/>
      <c r="C198" s="82"/>
      <c r="D198" s="82"/>
      <c r="E198" s="82"/>
      <c r="F198" s="82"/>
    </row>
    <row r="199" spans="1:6" ht="15" customHeight="1">
      <c r="A199" s="31"/>
      <c r="B199" s="82"/>
      <c r="C199" s="82"/>
      <c r="D199" s="82"/>
      <c r="E199" s="82"/>
      <c r="F199" s="82"/>
    </row>
    <row r="250" spans="1:4" s="32" customFormat="1" ht="15" customHeight="1">
      <c r="A250" s="35" t="s">
        <v>16</v>
      </c>
      <c r="B250" s="35">
        <v>9</v>
      </c>
      <c r="C250" s="35">
        <f>MAX(B251:B316)</f>
        <v>45</v>
      </c>
      <c r="D250" s="36"/>
    </row>
    <row r="251" spans="1:4" s="32" customFormat="1" ht="15" customHeight="1">
      <c r="A251" s="37"/>
      <c r="B251" s="38">
        <v>1</v>
      </c>
      <c r="C251" s="38" t="s">
        <v>17</v>
      </c>
      <c r="D251" s="38" t="s">
        <v>18</v>
      </c>
    </row>
    <row r="252" spans="1:4" s="32" customFormat="1" ht="15" customHeight="1">
      <c r="A252" s="37"/>
      <c r="B252" s="38">
        <v>2</v>
      </c>
      <c r="C252" s="38" t="s">
        <v>19</v>
      </c>
      <c r="D252" s="38" t="s">
        <v>20</v>
      </c>
    </row>
    <row r="253" spans="1:4" s="32" customFormat="1" ht="15" customHeight="1">
      <c r="A253" s="37"/>
      <c r="B253" s="38">
        <v>3</v>
      </c>
      <c r="C253" s="38" t="s">
        <v>21</v>
      </c>
      <c r="D253" s="38" t="s">
        <v>22</v>
      </c>
    </row>
    <row r="254" spans="1:4" s="32" customFormat="1" ht="15" customHeight="1">
      <c r="A254" s="37"/>
      <c r="B254" s="38">
        <v>4</v>
      </c>
      <c r="C254" s="38" t="s">
        <v>23</v>
      </c>
      <c r="D254" s="38" t="s">
        <v>24</v>
      </c>
    </row>
    <row r="255" spans="1:4" s="32" customFormat="1" ht="15" customHeight="1">
      <c r="A255" s="37"/>
      <c r="B255" s="38">
        <v>5</v>
      </c>
      <c r="C255" s="38" t="s">
        <v>25</v>
      </c>
      <c r="D255" s="38" t="s">
        <v>26</v>
      </c>
    </row>
    <row r="256" spans="1:4" s="32" customFormat="1" ht="15" customHeight="1">
      <c r="A256" s="37"/>
      <c r="B256" s="38">
        <v>6</v>
      </c>
      <c r="C256" s="38" t="s">
        <v>27</v>
      </c>
      <c r="D256" s="38" t="s">
        <v>28</v>
      </c>
    </row>
    <row r="257" spans="1:4" s="32" customFormat="1" ht="15" customHeight="1">
      <c r="A257" s="37"/>
      <c r="B257" s="38">
        <v>7</v>
      </c>
      <c r="C257" s="38" t="s">
        <v>29</v>
      </c>
      <c r="D257" s="38" t="s">
        <v>30</v>
      </c>
    </row>
    <row r="258" spans="1:4" s="32" customFormat="1" ht="15" customHeight="1">
      <c r="A258" s="37"/>
      <c r="B258" s="38">
        <v>8</v>
      </c>
      <c r="C258" s="38" t="s">
        <v>31</v>
      </c>
      <c r="D258" s="38" t="s">
        <v>32</v>
      </c>
    </row>
    <row r="259" spans="1:4" s="32" customFormat="1" ht="15" customHeight="1">
      <c r="A259" s="37"/>
      <c r="B259" s="38">
        <v>9</v>
      </c>
      <c r="C259" s="38" t="s">
        <v>33</v>
      </c>
      <c r="D259" s="38" t="s">
        <v>34</v>
      </c>
    </row>
    <row r="260" spans="1:4" s="32" customFormat="1" ht="15" customHeight="1">
      <c r="A260" s="37"/>
      <c r="B260" s="38">
        <v>10</v>
      </c>
      <c r="C260" s="38" t="s">
        <v>35</v>
      </c>
      <c r="D260" s="38" t="s">
        <v>36</v>
      </c>
    </row>
    <row r="261" spans="1:4" s="32" customFormat="1" ht="15" customHeight="1">
      <c r="A261" s="37"/>
      <c r="B261" s="38">
        <v>11</v>
      </c>
      <c r="C261" s="38" t="s">
        <v>37</v>
      </c>
      <c r="D261" s="38" t="s">
        <v>38</v>
      </c>
    </row>
    <row r="262" spans="1:4" s="32" customFormat="1" ht="15" customHeight="1">
      <c r="A262" s="37"/>
      <c r="B262" s="38">
        <v>12</v>
      </c>
      <c r="C262" s="38" t="s">
        <v>39</v>
      </c>
      <c r="D262" s="38" t="s">
        <v>40</v>
      </c>
    </row>
    <row r="263" spans="1:4" s="32" customFormat="1" ht="15" customHeight="1">
      <c r="A263" s="37"/>
      <c r="B263" s="38">
        <v>13</v>
      </c>
      <c r="C263" s="38" t="s">
        <v>41</v>
      </c>
      <c r="D263" s="38" t="s">
        <v>42</v>
      </c>
    </row>
    <row r="264" spans="1:4" s="32" customFormat="1" ht="15" customHeight="1">
      <c r="A264" s="37"/>
      <c r="B264" s="38">
        <v>14</v>
      </c>
      <c r="C264" s="38" t="s">
        <v>43</v>
      </c>
      <c r="D264" s="38" t="s">
        <v>44</v>
      </c>
    </row>
    <row r="265" spans="1:4" s="32" customFormat="1" ht="15" customHeight="1">
      <c r="A265" s="37"/>
      <c r="B265" s="38">
        <v>15</v>
      </c>
      <c r="C265" s="38" t="s">
        <v>45</v>
      </c>
      <c r="D265" s="38" t="s">
        <v>46</v>
      </c>
    </row>
    <row r="266" spans="1:4" s="32" customFormat="1" ht="15" customHeight="1">
      <c r="A266" s="37"/>
      <c r="B266" s="38">
        <v>16</v>
      </c>
      <c r="C266" s="38" t="s">
        <v>47</v>
      </c>
      <c r="D266" s="38" t="s">
        <v>48</v>
      </c>
    </row>
    <row r="267" spans="1:4" s="32" customFormat="1" ht="15" customHeight="1">
      <c r="A267" s="37"/>
      <c r="B267" s="38">
        <v>17</v>
      </c>
      <c r="C267" s="38" t="s">
        <v>49</v>
      </c>
      <c r="D267" s="38" t="s">
        <v>50</v>
      </c>
    </row>
    <row r="268" spans="1:4" s="32" customFormat="1" ht="15" customHeight="1">
      <c r="A268" s="37"/>
      <c r="B268" s="38">
        <v>18</v>
      </c>
      <c r="C268" s="38" t="s">
        <v>51</v>
      </c>
      <c r="D268" s="38" t="s">
        <v>52</v>
      </c>
    </row>
    <row r="269" spans="1:4" s="32" customFormat="1" ht="15" customHeight="1">
      <c r="A269" s="37"/>
      <c r="B269" s="38">
        <v>19</v>
      </c>
      <c r="C269" s="38" t="s">
        <v>53</v>
      </c>
      <c r="D269" s="38" t="s">
        <v>54</v>
      </c>
    </row>
    <row r="270" spans="1:4" s="32" customFormat="1" ht="15" customHeight="1">
      <c r="A270" s="37"/>
      <c r="B270" s="38">
        <v>20</v>
      </c>
      <c r="C270" s="38" t="s">
        <v>55</v>
      </c>
      <c r="D270" s="38" t="s">
        <v>56</v>
      </c>
    </row>
    <row r="271" spans="1:4" s="32" customFormat="1" ht="15" customHeight="1">
      <c r="A271" s="37"/>
      <c r="B271" s="38">
        <v>21</v>
      </c>
      <c r="C271" s="38" t="s">
        <v>57</v>
      </c>
      <c r="D271" s="38" t="s">
        <v>58</v>
      </c>
    </row>
    <row r="272" spans="1:4" s="32" customFormat="1" ht="15" customHeight="1">
      <c r="A272" s="37"/>
      <c r="B272" s="38">
        <v>22</v>
      </c>
      <c r="C272" s="38" t="s">
        <v>59</v>
      </c>
      <c r="D272" s="38" t="s">
        <v>60</v>
      </c>
    </row>
    <row r="273" spans="1:4" s="32" customFormat="1" ht="15" customHeight="1">
      <c r="A273" s="37"/>
      <c r="B273" s="38">
        <v>23</v>
      </c>
      <c r="C273" s="38" t="s">
        <v>61</v>
      </c>
      <c r="D273" s="38" t="s">
        <v>62</v>
      </c>
    </row>
    <row r="274" spans="1:4" s="32" customFormat="1" ht="15" customHeight="1">
      <c r="A274" s="37"/>
      <c r="B274" s="38">
        <v>24</v>
      </c>
      <c r="C274" s="38" t="s">
        <v>63</v>
      </c>
      <c r="D274" s="38" t="s">
        <v>64</v>
      </c>
    </row>
    <row r="275" spans="1:4" s="32" customFormat="1" ht="15" customHeight="1">
      <c r="A275" s="37"/>
      <c r="B275" s="38">
        <v>25</v>
      </c>
      <c r="C275" s="38" t="s">
        <v>65</v>
      </c>
      <c r="D275" s="38" t="s">
        <v>66</v>
      </c>
    </row>
    <row r="276" spans="1:4" s="32" customFormat="1" ht="15" customHeight="1">
      <c r="A276" s="37"/>
      <c r="B276" s="38">
        <v>26</v>
      </c>
      <c r="C276" s="38" t="s">
        <v>67</v>
      </c>
      <c r="D276" s="38" t="s">
        <v>68</v>
      </c>
    </row>
    <row r="277" spans="1:4" s="32" customFormat="1" ht="15" customHeight="1">
      <c r="A277" s="37"/>
      <c r="B277" s="38">
        <v>27</v>
      </c>
      <c r="C277" s="38" t="s">
        <v>69</v>
      </c>
      <c r="D277" s="38" t="s">
        <v>70</v>
      </c>
    </row>
    <row r="278" spans="1:4" s="32" customFormat="1" ht="15" customHeight="1">
      <c r="A278" s="37"/>
      <c r="B278" s="38">
        <v>28</v>
      </c>
      <c r="C278" s="38" t="s">
        <v>71</v>
      </c>
      <c r="D278" s="38" t="s">
        <v>72</v>
      </c>
    </row>
    <row r="279" spans="1:4" s="32" customFormat="1" ht="15" customHeight="1">
      <c r="A279" s="37"/>
      <c r="B279" s="38">
        <v>29</v>
      </c>
      <c r="C279" s="38" t="s">
        <v>73</v>
      </c>
      <c r="D279" s="38" t="s">
        <v>74</v>
      </c>
    </row>
    <row r="280" spans="1:4" s="32" customFormat="1" ht="15" customHeight="1">
      <c r="A280" s="37"/>
      <c r="B280" s="38">
        <v>30</v>
      </c>
      <c r="C280" s="38" t="s">
        <v>75</v>
      </c>
      <c r="D280" s="38" t="s">
        <v>76</v>
      </c>
    </row>
    <row r="281" spans="1:4" s="32" customFormat="1" ht="15" customHeight="1">
      <c r="A281" s="37"/>
      <c r="B281" s="38">
        <v>31</v>
      </c>
      <c r="C281" s="38" t="s">
        <v>77</v>
      </c>
      <c r="D281" s="38" t="s">
        <v>78</v>
      </c>
    </row>
    <row r="282" spans="1:4" s="32" customFormat="1" ht="15" customHeight="1">
      <c r="A282" s="37"/>
      <c r="B282" s="38">
        <v>32</v>
      </c>
      <c r="C282" s="38" t="s">
        <v>79</v>
      </c>
      <c r="D282" s="38" t="s">
        <v>80</v>
      </c>
    </row>
    <row r="283" spans="1:4" s="32" customFormat="1" ht="15" customHeight="1">
      <c r="A283" s="37"/>
      <c r="B283" s="38">
        <v>33</v>
      </c>
      <c r="C283" s="38" t="s">
        <v>81</v>
      </c>
      <c r="D283" s="38" t="s">
        <v>82</v>
      </c>
    </row>
    <row r="284" spans="1:4" s="32" customFormat="1" ht="15" customHeight="1">
      <c r="A284" s="37"/>
      <c r="B284" s="38">
        <v>34</v>
      </c>
      <c r="C284" s="38" t="s">
        <v>83</v>
      </c>
      <c r="D284" s="38" t="s">
        <v>84</v>
      </c>
    </row>
    <row r="285" spans="1:4" s="32" customFormat="1" ht="15" customHeight="1">
      <c r="A285" s="37"/>
      <c r="B285" s="38">
        <v>35</v>
      </c>
      <c r="C285" s="38" t="s">
        <v>85</v>
      </c>
      <c r="D285" s="38" t="s">
        <v>86</v>
      </c>
    </row>
    <row r="286" spans="1:4" s="32" customFormat="1" ht="15" customHeight="1">
      <c r="A286" s="37"/>
      <c r="B286" s="38">
        <v>36</v>
      </c>
      <c r="C286" s="38" t="s">
        <v>87</v>
      </c>
      <c r="D286" s="38" t="s">
        <v>88</v>
      </c>
    </row>
    <row r="287" spans="1:4" s="32" customFormat="1" ht="15" customHeight="1">
      <c r="A287" s="37"/>
      <c r="B287" s="38">
        <v>37</v>
      </c>
      <c r="C287" s="38" t="s">
        <v>89</v>
      </c>
      <c r="D287" s="38" t="s">
        <v>90</v>
      </c>
    </row>
    <row r="288" spans="1:4" s="32" customFormat="1" ht="15" customHeight="1">
      <c r="A288" s="37"/>
      <c r="B288" s="38">
        <v>38</v>
      </c>
      <c r="C288" s="38" t="s">
        <v>91</v>
      </c>
      <c r="D288" s="38" t="s">
        <v>92</v>
      </c>
    </row>
    <row r="289" spans="1:4" s="32" customFormat="1" ht="15" customHeight="1">
      <c r="A289" s="37"/>
      <c r="B289" s="38">
        <v>39</v>
      </c>
      <c r="C289" s="38" t="s">
        <v>93</v>
      </c>
      <c r="D289" s="38" t="s">
        <v>94</v>
      </c>
    </row>
    <row r="290" spans="1:4" s="32" customFormat="1" ht="15" customHeight="1">
      <c r="A290" s="37"/>
      <c r="B290" s="38">
        <v>40</v>
      </c>
      <c r="C290" s="38" t="s">
        <v>95</v>
      </c>
      <c r="D290" s="38" t="s">
        <v>96</v>
      </c>
    </row>
    <row r="291" spans="1:4" s="32" customFormat="1" ht="15" customHeight="1">
      <c r="A291" s="37"/>
      <c r="B291" s="38">
        <v>41</v>
      </c>
      <c r="C291" s="38" t="s">
        <v>97</v>
      </c>
      <c r="D291" s="38" t="s">
        <v>98</v>
      </c>
    </row>
    <row r="292" spans="1:4" s="32" customFormat="1" ht="15" customHeight="1">
      <c r="A292" s="37"/>
      <c r="B292" s="38">
        <v>42</v>
      </c>
      <c r="C292" s="38" t="s">
        <v>99</v>
      </c>
      <c r="D292" s="38" t="s">
        <v>100</v>
      </c>
    </row>
    <row r="293" spans="1:4" s="32" customFormat="1" ht="15" customHeight="1">
      <c r="A293" s="37"/>
      <c r="B293" s="38">
        <v>43</v>
      </c>
      <c r="C293" s="38" t="s">
        <v>101</v>
      </c>
      <c r="D293" s="38" t="s">
        <v>102</v>
      </c>
    </row>
    <row r="294" spans="1:4" s="32" customFormat="1" ht="15" customHeight="1">
      <c r="A294" s="37"/>
      <c r="B294" s="38">
        <v>44</v>
      </c>
      <c r="C294" s="38" t="s">
        <v>103</v>
      </c>
      <c r="D294" s="38" t="s">
        <v>104</v>
      </c>
    </row>
    <row r="295" spans="1:4" s="32" customFormat="1" ht="15" customHeight="1">
      <c r="A295" s="37"/>
      <c r="B295" s="38">
        <v>45</v>
      </c>
      <c r="C295" s="38" t="s">
        <v>105</v>
      </c>
      <c r="D295" s="38" t="s">
        <v>106</v>
      </c>
    </row>
    <row r="296" spans="1:4" s="32" customFormat="1" ht="15" customHeight="1">
      <c r="A296" s="37"/>
      <c r="B296" s="38"/>
      <c r="C296" s="38"/>
      <c r="D296" s="38"/>
    </row>
    <row r="297" spans="1:4" s="32" customFormat="1" ht="15" customHeight="1">
      <c r="A297" s="37"/>
      <c r="B297" s="38"/>
      <c r="C297" s="38"/>
      <c r="D297" s="38"/>
    </row>
    <row r="298" spans="1:4" s="32" customFormat="1" ht="15" customHeight="1">
      <c r="A298" s="37"/>
      <c r="B298" s="38"/>
      <c r="C298" s="38"/>
      <c r="D298" s="38"/>
    </row>
    <row r="299" spans="1:4" s="32" customFormat="1" ht="15" customHeight="1">
      <c r="A299" s="37"/>
      <c r="B299" s="38"/>
      <c r="C299" s="38"/>
      <c r="D299" s="38"/>
    </row>
    <row r="300" spans="1:4" s="32" customFormat="1" ht="15" customHeight="1">
      <c r="A300" s="37"/>
      <c r="B300" s="38"/>
      <c r="C300" s="38"/>
      <c r="D300" s="38"/>
    </row>
    <row r="301" spans="1:4" s="32" customFormat="1" ht="15" customHeight="1">
      <c r="A301" s="37"/>
      <c r="B301" s="38"/>
      <c r="C301" s="38"/>
      <c r="D301" s="38"/>
    </row>
    <row r="302" spans="1:4" s="32" customFormat="1" ht="15" customHeight="1">
      <c r="A302" s="37"/>
      <c r="B302" s="38"/>
      <c r="C302" s="38"/>
      <c r="D302" s="38"/>
    </row>
    <row r="303" spans="1:4" s="32" customFormat="1" ht="15" customHeight="1">
      <c r="A303" s="37"/>
      <c r="B303" s="38"/>
      <c r="C303" s="38"/>
      <c r="D303" s="38"/>
    </row>
    <row r="304" spans="1:4" s="32" customFormat="1" ht="15" customHeight="1">
      <c r="A304" s="37"/>
      <c r="B304" s="38"/>
      <c r="C304" s="38"/>
      <c r="D304" s="38"/>
    </row>
    <row r="305" spans="1:4" s="32" customFormat="1" ht="15" customHeight="1">
      <c r="A305" s="37"/>
      <c r="B305" s="38"/>
      <c r="C305" s="38"/>
      <c r="D305" s="38"/>
    </row>
    <row r="306" spans="1:4" s="32" customFormat="1" ht="15" customHeight="1">
      <c r="A306" s="37"/>
      <c r="B306" s="38"/>
      <c r="C306" s="38"/>
      <c r="D306" s="38"/>
    </row>
    <row r="307" spans="1:4" s="32" customFormat="1" ht="15" customHeight="1">
      <c r="A307" s="37"/>
      <c r="B307" s="38"/>
      <c r="C307" s="38"/>
      <c r="D307" s="38"/>
    </row>
    <row r="308" spans="1:4" s="32" customFormat="1" ht="15" customHeight="1">
      <c r="A308" s="37"/>
      <c r="B308" s="38"/>
      <c r="C308" s="38"/>
      <c r="D308" s="38"/>
    </row>
    <row r="309" spans="1:4" s="32" customFormat="1" ht="15" customHeight="1">
      <c r="A309" s="37"/>
      <c r="B309" s="38"/>
      <c r="C309" s="38"/>
      <c r="D309" s="38"/>
    </row>
    <row r="310" spans="1:4" s="32" customFormat="1" ht="15" customHeight="1">
      <c r="A310" s="37"/>
      <c r="B310" s="38"/>
      <c r="C310" s="38"/>
      <c r="D310" s="38"/>
    </row>
    <row r="311" spans="1:4" s="32" customFormat="1" ht="15" customHeight="1">
      <c r="A311" s="37"/>
      <c r="B311" s="38"/>
      <c r="C311" s="38"/>
      <c r="D311" s="38"/>
    </row>
    <row r="312" spans="1:4" s="32" customFormat="1" ht="15" customHeight="1">
      <c r="A312" s="37"/>
      <c r="B312" s="38"/>
      <c r="C312" s="38"/>
      <c r="D312" s="38"/>
    </row>
    <row r="313" spans="1:4" s="32" customFormat="1" ht="15" customHeight="1">
      <c r="A313" s="37"/>
      <c r="B313" s="38"/>
      <c r="C313" s="38"/>
      <c r="D313" s="38"/>
    </row>
    <row r="314" spans="1:4" s="32" customFormat="1" ht="15" customHeight="1">
      <c r="A314" s="37"/>
      <c r="B314" s="38"/>
      <c r="C314" s="38"/>
      <c r="D314" s="38"/>
    </row>
    <row r="315" spans="1:4" s="32" customFormat="1" ht="15" customHeight="1">
      <c r="A315" s="37"/>
      <c r="B315" s="38"/>
      <c r="C315" s="38"/>
      <c r="D315" s="38"/>
    </row>
    <row r="316" spans="1:4" s="32" customFormat="1" ht="15" customHeight="1">
      <c r="A316" s="37"/>
      <c r="B316" s="38">
        <v>0</v>
      </c>
      <c r="C316" s="38" t="s">
        <v>107</v>
      </c>
      <c r="D316" s="39">
        <v>0</v>
      </c>
    </row>
    <row r="317" spans="1:4" s="32" customFormat="1" ht="15" customHeight="1"/>
    <row r="318" spans="1:4" s="32" customFormat="1" ht="15" customHeight="1"/>
    <row r="319" spans="1:4" s="32" customFormat="1" ht="15" customHeight="1">
      <c r="B319" s="64" t="s">
        <v>108</v>
      </c>
      <c r="C319" s="64" t="s">
        <v>109</v>
      </c>
    </row>
    <row r="320" spans="1:4" s="32" customFormat="1" ht="15" customHeight="1">
      <c r="B320" s="64" t="s">
        <v>0</v>
      </c>
      <c r="C320" s="64" t="s">
        <v>110</v>
      </c>
    </row>
    <row r="321" spans="2:3" s="32" customFormat="1" ht="15" customHeight="1">
      <c r="B321" s="64" t="s">
        <v>111</v>
      </c>
      <c r="C321" s="64" t="s">
        <v>112</v>
      </c>
    </row>
    <row r="322" spans="2:3" s="32" customFormat="1" ht="15" customHeight="1">
      <c r="B322" s="64" t="s">
        <v>113</v>
      </c>
      <c r="C322" s="64" t="s">
        <v>114</v>
      </c>
    </row>
    <row r="323" spans="2:3" s="32" customFormat="1" ht="15" customHeight="1">
      <c r="B323" s="64" t="s">
        <v>115</v>
      </c>
      <c r="C323" s="64" t="s">
        <v>116</v>
      </c>
    </row>
    <row r="324" spans="2:3" s="32" customFormat="1" ht="15" customHeight="1">
      <c r="B324" s="64" t="s">
        <v>117</v>
      </c>
      <c r="C324" s="64" t="s">
        <v>118</v>
      </c>
    </row>
    <row r="325" spans="2:3" s="32" customFormat="1" ht="15" customHeight="1"/>
    <row r="326" spans="2:3" s="32" customFormat="1" ht="15" customHeight="1"/>
    <row r="327" spans="2:3" s="32" customFormat="1" ht="15" customHeight="1"/>
    <row r="328" spans="2:3" s="32" customFormat="1" ht="15" customHeight="1"/>
    <row r="329" spans="2:3" s="32" customFormat="1" ht="15" customHeight="1"/>
    <row r="330" spans="2:3" s="32" customFormat="1" ht="15" customHeight="1"/>
    <row r="331" spans="2:3" s="32" customFormat="1" ht="15" customHeight="1"/>
    <row r="332" spans="2:3" s="32" customFormat="1" ht="15" customHeight="1"/>
    <row r="333" spans="2:3" s="32" customFormat="1" ht="15" customHeight="1"/>
    <row r="334" spans="2:3" s="32" customFormat="1" ht="15" customHeight="1"/>
    <row r="335" spans="2:3" s="32" customFormat="1" ht="15" customHeight="1"/>
    <row r="336" spans="2:3" s="32" customFormat="1" ht="15" customHeight="1"/>
    <row r="337" s="32" customFormat="1" ht="15" customHeight="1"/>
    <row r="338" s="32" customFormat="1" ht="15" customHeight="1"/>
    <row r="339" s="32" customFormat="1" ht="15" customHeight="1"/>
    <row r="340" s="32" customFormat="1" ht="15" customHeight="1"/>
    <row r="341" s="32" customFormat="1" ht="15" customHeight="1"/>
    <row r="342" s="32" customFormat="1" ht="15" customHeight="1"/>
    <row r="343" s="32" customFormat="1" ht="15" customHeight="1"/>
    <row r="344" s="32" customFormat="1" ht="15" customHeight="1"/>
    <row r="345" s="32" customFormat="1" ht="15" customHeight="1"/>
    <row r="346" s="32" customFormat="1" ht="15" customHeight="1"/>
    <row r="347" s="32" customFormat="1" ht="15" customHeight="1"/>
    <row r="348" s="32" customFormat="1" ht="15" customHeight="1"/>
    <row r="349" s="32" customFormat="1" ht="15" customHeight="1"/>
    <row r="350" s="32" customFormat="1" ht="15" customHeight="1"/>
    <row r="351" s="32" customFormat="1" ht="15" customHeight="1"/>
    <row r="352" s="32" customFormat="1" ht="15" customHeight="1"/>
    <row r="353" s="32" customFormat="1" ht="15" customHeight="1"/>
    <row r="354" s="32" customFormat="1" ht="15" customHeight="1"/>
    <row r="355" s="32" customFormat="1" ht="15" customHeight="1"/>
    <row r="356" s="32" customFormat="1" ht="15" customHeight="1"/>
    <row r="357" s="32" customFormat="1" ht="15" customHeight="1"/>
    <row r="358" s="32" customFormat="1" ht="15" customHeight="1"/>
    <row r="359" s="32" customFormat="1" ht="15" customHeight="1"/>
    <row r="360" s="32" customFormat="1" ht="15" customHeight="1"/>
    <row r="361" s="32" customFormat="1" ht="15" customHeight="1"/>
    <row r="362" s="32" customFormat="1" ht="15" customHeight="1"/>
    <row r="363" s="32" customFormat="1" ht="15" customHeight="1"/>
    <row r="364" s="32" customFormat="1" ht="15" customHeight="1"/>
    <row r="365" s="32" customFormat="1" ht="15" customHeight="1"/>
    <row r="366" s="32" customFormat="1" ht="15" customHeight="1"/>
    <row r="367" s="32" customFormat="1" ht="15" customHeight="1"/>
    <row r="368" s="32" customFormat="1" ht="15" customHeight="1"/>
    <row r="369" spans="1:6" s="32" customFormat="1" ht="15" customHeight="1"/>
    <row r="370" spans="1:6" s="32" customFormat="1" ht="15" customHeight="1"/>
    <row r="371" spans="1:6" s="32" customFormat="1" ht="15" customHeight="1"/>
    <row r="372" spans="1:6" s="33" customFormat="1" ht="15" customHeight="1">
      <c r="A372" s="32"/>
      <c r="B372" s="32"/>
      <c r="C372" s="32"/>
      <c r="D372" s="32"/>
      <c r="E372" s="32"/>
      <c r="F372" s="32"/>
    </row>
    <row r="373" spans="1:6" s="33" customFormat="1" ht="15" customHeight="1">
      <c r="A373" s="32"/>
      <c r="B373" s="32"/>
      <c r="C373" s="32"/>
      <c r="D373" s="32"/>
      <c r="E373" s="32"/>
      <c r="F373" s="32"/>
    </row>
    <row r="374" spans="1:6" s="33" customFormat="1" ht="15" customHeight="1"/>
    <row r="375" spans="1:6" s="33" customFormat="1" ht="15" customHeight="1"/>
    <row r="376" spans="1:6" s="33" customFormat="1" ht="15" customHeight="1"/>
    <row r="377" spans="1:6" s="33" customFormat="1" ht="15" customHeight="1"/>
    <row r="378" spans="1:6" s="33" customFormat="1" ht="15" customHeight="1"/>
    <row r="379" spans="1:6" s="33" customFormat="1" ht="15" customHeight="1"/>
    <row r="380" spans="1:6" s="33" customFormat="1" ht="15" customHeight="1"/>
    <row r="381" spans="1:6" s="33" customFormat="1" ht="15" customHeight="1"/>
    <row r="382" spans="1:6" s="33" customFormat="1" ht="15" customHeight="1"/>
    <row r="383" spans="1:6" s="33" customFormat="1" ht="15" customHeight="1"/>
    <row r="384" spans="1:6" s="33" customFormat="1" ht="15" customHeight="1"/>
    <row r="385" spans="1:6" s="33" customFormat="1" ht="15" customHeight="1"/>
    <row r="386" spans="1:6" s="33" customFormat="1" ht="15" customHeight="1"/>
    <row r="387" spans="1:6" s="33" customFormat="1" ht="15" customHeight="1"/>
    <row r="388" spans="1:6" s="33" customFormat="1" ht="15" customHeight="1"/>
    <row r="389" spans="1:6" s="33" customFormat="1" ht="15" customHeight="1"/>
    <row r="390" spans="1:6" s="33" customFormat="1" ht="15" customHeight="1"/>
    <row r="391" spans="1:6" s="33" customFormat="1" ht="15" customHeight="1"/>
    <row r="392" spans="1:6" s="33" customFormat="1" ht="15" customHeight="1"/>
    <row r="393" spans="1:6" ht="15" customHeight="1">
      <c r="A393" s="33"/>
      <c r="B393" s="33"/>
      <c r="C393" s="33"/>
      <c r="D393" s="33"/>
      <c r="E393" s="33"/>
      <c r="F393" s="33"/>
    </row>
    <row r="394" spans="1:6" ht="15" customHeight="1">
      <c r="A394" s="33"/>
      <c r="B394" s="33"/>
      <c r="C394" s="33"/>
      <c r="D394" s="33"/>
      <c r="E394" s="33"/>
      <c r="F394" s="33"/>
    </row>
  </sheetData>
  <sheetProtection selectLockedCells="1"/>
  <mergeCells count="187">
    <mergeCell ref="B162:F162"/>
    <mergeCell ref="B163:F163"/>
    <mergeCell ref="B164:F164"/>
    <mergeCell ref="B165:F165"/>
    <mergeCell ref="B166:F166"/>
    <mergeCell ref="B157:F157"/>
    <mergeCell ref="B158:F158"/>
    <mergeCell ref="B159:F159"/>
    <mergeCell ref="B160:F160"/>
    <mergeCell ref="B161:F161"/>
    <mergeCell ref="B177:F177"/>
    <mergeCell ref="B172:F172"/>
    <mergeCell ref="B173:F173"/>
    <mergeCell ref="B174:F174"/>
    <mergeCell ref="B175:F175"/>
    <mergeCell ref="B176:F176"/>
    <mergeCell ref="B167:F167"/>
    <mergeCell ref="B168:F168"/>
    <mergeCell ref="B169:F169"/>
    <mergeCell ref="B170:F170"/>
    <mergeCell ref="B171:F171"/>
    <mergeCell ref="B196:F196"/>
    <mergeCell ref="B197:F197"/>
    <mergeCell ref="B198:F198"/>
    <mergeCell ref="B199:F199"/>
    <mergeCell ref="B192:F192"/>
    <mergeCell ref="B193:F193"/>
    <mergeCell ref="B194:F194"/>
    <mergeCell ref="B195:F195"/>
    <mergeCell ref="B178:F178"/>
    <mergeCell ref="B179:F179"/>
    <mergeCell ref="B180:F180"/>
    <mergeCell ref="B187:F187"/>
    <mergeCell ref="B188:F188"/>
    <mergeCell ref="B189:F189"/>
    <mergeCell ref="B190:F190"/>
    <mergeCell ref="B191:F191"/>
    <mergeCell ref="B182:F182"/>
    <mergeCell ref="B183:F183"/>
    <mergeCell ref="B184:F184"/>
    <mergeCell ref="B185:F185"/>
    <mergeCell ref="B186:F186"/>
    <mergeCell ref="B181:F181"/>
    <mergeCell ref="B154:F154"/>
    <mergeCell ref="B155:F155"/>
    <mergeCell ref="B156:F156"/>
    <mergeCell ref="B147:F147"/>
    <mergeCell ref="B148:F148"/>
    <mergeCell ref="B149:F149"/>
    <mergeCell ref="B150:F150"/>
    <mergeCell ref="B151:F151"/>
    <mergeCell ref="B142:F142"/>
    <mergeCell ref="B143:F143"/>
    <mergeCell ref="B144:F144"/>
    <mergeCell ref="B145:F145"/>
    <mergeCell ref="B146:F146"/>
    <mergeCell ref="B152:F152"/>
    <mergeCell ref="B153:F153"/>
    <mergeCell ref="B137:F137"/>
    <mergeCell ref="B138:F138"/>
    <mergeCell ref="B139:F139"/>
    <mergeCell ref="B140:F140"/>
    <mergeCell ref="B141:F141"/>
    <mergeCell ref="B132:F132"/>
    <mergeCell ref="B133:F133"/>
    <mergeCell ref="B134:F134"/>
    <mergeCell ref="B135:F135"/>
    <mergeCell ref="B136:F136"/>
    <mergeCell ref="B127:F127"/>
    <mergeCell ref="B128:F128"/>
    <mergeCell ref="B129:F129"/>
    <mergeCell ref="B130:F130"/>
    <mergeCell ref="B131:F131"/>
    <mergeCell ref="B122:F122"/>
    <mergeCell ref="B123:F123"/>
    <mergeCell ref="B124:F124"/>
    <mergeCell ref="B125:F125"/>
    <mergeCell ref="B126:F126"/>
    <mergeCell ref="B117:F117"/>
    <mergeCell ref="B118:F118"/>
    <mergeCell ref="B119:F119"/>
    <mergeCell ref="B120:F120"/>
    <mergeCell ref="B121:F121"/>
    <mergeCell ref="B112:F112"/>
    <mergeCell ref="B113:F113"/>
    <mergeCell ref="B114:F114"/>
    <mergeCell ref="B115:F115"/>
    <mergeCell ref="B116:F116"/>
    <mergeCell ref="B107:F107"/>
    <mergeCell ref="B108:F108"/>
    <mergeCell ref="B109:F109"/>
    <mergeCell ref="B110:F110"/>
    <mergeCell ref="B111:F111"/>
    <mergeCell ref="B102:F102"/>
    <mergeCell ref="B103:F103"/>
    <mergeCell ref="B104:F104"/>
    <mergeCell ref="B105:F105"/>
    <mergeCell ref="B106:F106"/>
    <mergeCell ref="B97:F97"/>
    <mergeCell ref="B98:F98"/>
    <mergeCell ref="B99:F99"/>
    <mergeCell ref="B100:F100"/>
    <mergeCell ref="B101:F101"/>
    <mergeCell ref="B92:F92"/>
    <mergeCell ref="B93:F93"/>
    <mergeCell ref="B94:F94"/>
    <mergeCell ref="B95:F95"/>
    <mergeCell ref="B96:F96"/>
    <mergeCell ref="B87:F87"/>
    <mergeCell ref="B88:F88"/>
    <mergeCell ref="B89:F89"/>
    <mergeCell ref="B90:F90"/>
    <mergeCell ref="B91:F91"/>
    <mergeCell ref="B82:F82"/>
    <mergeCell ref="B83:F83"/>
    <mergeCell ref="B84:F84"/>
    <mergeCell ref="B85:F85"/>
    <mergeCell ref="B86:F86"/>
    <mergeCell ref="B77:F77"/>
    <mergeCell ref="B78:F78"/>
    <mergeCell ref="B79:F79"/>
    <mergeCell ref="B80:F80"/>
    <mergeCell ref="B81:F81"/>
    <mergeCell ref="B72:F72"/>
    <mergeCell ref="B73:F73"/>
    <mergeCell ref="B74:F74"/>
    <mergeCell ref="B75:F75"/>
    <mergeCell ref="B76:F76"/>
    <mergeCell ref="B67:F67"/>
    <mergeCell ref="B68:F68"/>
    <mergeCell ref="B69:F69"/>
    <mergeCell ref="B70:F70"/>
    <mergeCell ref="B71:F71"/>
    <mergeCell ref="B62:F62"/>
    <mergeCell ref="B63:F63"/>
    <mergeCell ref="B64:F64"/>
    <mergeCell ref="B65:F65"/>
    <mergeCell ref="B66:F66"/>
    <mergeCell ref="B57:F57"/>
    <mergeCell ref="B58:F58"/>
    <mergeCell ref="B59:F59"/>
    <mergeCell ref="B60:F60"/>
    <mergeCell ref="B61:F61"/>
    <mergeCell ref="B52:F52"/>
    <mergeCell ref="B53:F53"/>
    <mergeCell ref="B54:F54"/>
    <mergeCell ref="B55:F55"/>
    <mergeCell ref="B56:F56"/>
    <mergeCell ref="B26:F26"/>
    <mergeCell ref="B25:F25"/>
    <mergeCell ref="A28:F28"/>
    <mergeCell ref="B49:F49"/>
    <mergeCell ref="B50:F50"/>
    <mergeCell ref="B15:F15"/>
    <mergeCell ref="C2:G2"/>
    <mergeCell ref="C3:G4"/>
    <mergeCell ref="B14:I14"/>
    <mergeCell ref="A8:F8"/>
    <mergeCell ref="A10:F10"/>
    <mergeCell ref="A11:F11"/>
    <mergeCell ref="A6:F6"/>
    <mergeCell ref="A7:F7"/>
    <mergeCell ref="B20:F20"/>
    <mergeCell ref="B16:F16"/>
    <mergeCell ref="A22:F22"/>
    <mergeCell ref="A23:B23"/>
    <mergeCell ref="A31:F31"/>
    <mergeCell ref="B32:F32"/>
    <mergeCell ref="B33:F33"/>
    <mergeCell ref="B17:F17"/>
    <mergeCell ref="A29:F29"/>
    <mergeCell ref="B51:F51"/>
    <mergeCell ref="B44:F44"/>
    <mergeCell ref="B45:F45"/>
    <mergeCell ref="B46:F46"/>
    <mergeCell ref="B47:F47"/>
    <mergeCell ref="B48:F48"/>
    <mergeCell ref="B34:F34"/>
    <mergeCell ref="B35:F35"/>
    <mergeCell ref="B36:F36"/>
    <mergeCell ref="B37:F37"/>
    <mergeCell ref="B38:F38"/>
    <mergeCell ref="B39:F39"/>
    <mergeCell ref="B40:F40"/>
    <mergeCell ref="B41:F41"/>
    <mergeCell ref="B43:F43"/>
    <mergeCell ref="B42:F42"/>
  </mergeCells>
  <phoneticPr fontId="8" type="noConversion"/>
  <conditionalFormatting sqref="A20">
    <cfRule type="containsBlanks" dxfId="6" priority="1">
      <formula>LEN(TRIM(A20))=0</formula>
    </cfRule>
  </conditionalFormatting>
  <hyperlinks>
    <hyperlink ref="A17" location="Guidance!A1" display="Guidance" xr:uid="{00000000-0004-0000-0000-000000000000}"/>
    <hyperlink ref="A15" location="'HS1'!A1" display="HS1" xr:uid="{00000000-0004-0000-0000-000002000000}"/>
    <hyperlink ref="A16" location="'HS2'!A1" display="HS2" xr:uid="{00000000-0004-0000-0000-000003000000}"/>
  </hyperlinks>
  <pageMargins left="0.75" right="0.75" top="1" bottom="1" header="0.5" footer="0.5"/>
  <pageSetup paperSize="9" scale="74" orientation="landscape" r:id="rId1"/>
  <headerFooter alignWithMargins="0">
    <oddHeader>&amp;C&amp;"Aptos"&amp;10&amp;K000000 OFFICIAL&amp;1#_x000D_</oddHeader>
    <oddFooter>&amp;C_x000D_&amp;1#&amp;"Aptos"&amp;10&amp;K000000 OFFICIAL</oddFooter>
  </headerFooter>
  <ignoredErrors>
    <ignoredError sqref="C250" formulaRange="1"/>
  </ignoredError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M93"/>
  <sheetViews>
    <sheetView showGridLines="0" zoomScale="85" zoomScaleNormal="85" zoomScaleSheetLayoutView="85" workbookViewId="0">
      <selection sqref="A1:B1"/>
    </sheetView>
  </sheetViews>
  <sheetFormatPr defaultColWidth="9.42578125" defaultRowHeight="12.75"/>
  <cols>
    <col min="1" max="1" width="27.42578125" style="6" customWidth="1"/>
    <col min="2" max="2" width="93.42578125" style="6" customWidth="1"/>
    <col min="3" max="16384" width="9.42578125" style="5"/>
  </cols>
  <sheetData>
    <row r="1" spans="1:2" ht="48" customHeight="1">
      <c r="A1" s="113" t="s">
        <v>119</v>
      </c>
      <c r="B1" s="113"/>
    </row>
    <row r="2" spans="1:2" ht="15">
      <c r="A2" s="19"/>
    </row>
    <row r="3" spans="1:2" ht="35.25" customHeight="1">
      <c r="A3" s="114" t="s">
        <v>120</v>
      </c>
      <c r="B3" s="114"/>
    </row>
    <row r="4" spans="1:2" ht="15">
      <c r="A4" s="19"/>
    </row>
    <row r="5" spans="1:2" ht="16.5" customHeight="1">
      <c r="A5" s="114" t="s">
        <v>121</v>
      </c>
      <c r="B5" s="114"/>
    </row>
    <row r="6" spans="1:2" ht="15">
      <c r="A6" s="19"/>
    </row>
    <row r="7" spans="1:2" ht="15">
      <c r="A7" s="114" t="s">
        <v>122</v>
      </c>
      <c r="B7" s="114"/>
    </row>
    <row r="8" spans="1:2" ht="15">
      <c r="A8" s="114" t="s">
        <v>123</v>
      </c>
      <c r="B8" s="114"/>
    </row>
    <row r="9" spans="1:2" ht="15">
      <c r="A9" s="114" t="s">
        <v>124</v>
      </c>
      <c r="B9" s="114"/>
    </row>
    <row r="10" spans="1:2" ht="15">
      <c r="A10" s="114" t="s">
        <v>125</v>
      </c>
      <c r="B10" s="114"/>
    </row>
    <row r="11" spans="1:2" ht="15">
      <c r="A11" s="114" t="s">
        <v>126</v>
      </c>
      <c r="B11" s="114"/>
    </row>
    <row r="12" spans="1:2" ht="15">
      <c r="A12" s="7"/>
    </row>
    <row r="13" spans="1:2" ht="35.25" customHeight="1">
      <c r="A13" s="114" t="s">
        <v>127</v>
      </c>
      <c r="B13" s="114"/>
    </row>
    <row r="14" spans="1:2" ht="15" customHeight="1">
      <c r="A14" s="115" t="s">
        <v>128</v>
      </c>
      <c r="B14" s="115"/>
    </row>
    <row r="15" spans="1:2" ht="15">
      <c r="A15" s="7"/>
    </row>
    <row r="16" spans="1:2" ht="15">
      <c r="A16" s="8" t="s">
        <v>129</v>
      </c>
    </row>
    <row r="17" spans="1:13" ht="15">
      <c r="A17" s="8"/>
    </row>
    <row r="18" spans="1:13" ht="32.1" customHeight="1">
      <c r="A18" s="48" t="s">
        <v>130</v>
      </c>
      <c r="B18" s="50" t="s">
        <v>131</v>
      </c>
      <c r="C18" s="50"/>
      <c r="D18" s="50"/>
      <c r="E18" s="50"/>
      <c r="F18" s="50"/>
      <c r="G18" s="50"/>
      <c r="H18" s="50"/>
      <c r="I18" s="50"/>
      <c r="J18" s="50"/>
      <c r="K18" s="50"/>
      <c r="L18" s="50"/>
      <c r="M18" s="50"/>
    </row>
    <row r="19" spans="1:13" ht="15">
      <c r="A19" s="49"/>
      <c r="B19" s="50"/>
      <c r="C19" s="50"/>
      <c r="D19" s="50"/>
      <c r="E19" s="50"/>
      <c r="F19" s="50"/>
      <c r="G19" s="50"/>
      <c r="H19" s="50"/>
      <c r="I19" s="50"/>
      <c r="J19" s="50"/>
      <c r="K19" s="50"/>
      <c r="L19" s="51"/>
      <c r="M19" s="51"/>
    </row>
    <row r="20" spans="1:13" ht="93.75" customHeight="1">
      <c r="A20" s="48" t="s">
        <v>132</v>
      </c>
      <c r="B20" s="50" t="s">
        <v>133</v>
      </c>
      <c r="C20" s="50"/>
      <c r="D20" s="50"/>
      <c r="E20" s="50"/>
      <c r="F20" s="50"/>
      <c r="G20" s="50"/>
      <c r="H20" s="50"/>
      <c r="I20" s="50"/>
      <c r="J20" s="50"/>
      <c r="K20" s="50"/>
      <c r="L20" s="50"/>
      <c r="M20" s="50"/>
    </row>
    <row r="21" spans="1:13" ht="15.75">
      <c r="A21" s="20"/>
      <c r="B21" s="7"/>
    </row>
    <row r="22" spans="1:13" ht="18.600000000000001" customHeight="1">
      <c r="A22" s="112" t="s">
        <v>134</v>
      </c>
      <c r="B22" s="58" t="s">
        <v>135</v>
      </c>
    </row>
    <row r="23" spans="1:13" ht="15">
      <c r="A23" s="112"/>
      <c r="B23" s="7"/>
    </row>
    <row r="24" spans="1:13" ht="55.5" customHeight="1">
      <c r="A24" s="112"/>
      <c r="B24" s="20" t="s">
        <v>136</v>
      </c>
    </row>
    <row r="25" spans="1:13" ht="6" customHeight="1">
      <c r="A25" s="112"/>
      <c r="B25" s="7"/>
    </row>
    <row r="26" spans="1:13" ht="48" customHeight="1">
      <c r="A26" s="112"/>
      <c r="B26" s="7" t="s">
        <v>137</v>
      </c>
    </row>
    <row r="27" spans="1:13" ht="7.5" customHeight="1">
      <c r="A27" s="20"/>
    </row>
    <row r="28" spans="1:13" ht="50.25" customHeight="1">
      <c r="A28" s="18" t="s">
        <v>138</v>
      </c>
      <c r="B28" s="7" t="s">
        <v>139</v>
      </c>
    </row>
    <row r="29" spans="1:13" ht="15">
      <c r="A29" s="19"/>
      <c r="B29" s="7"/>
    </row>
    <row r="30" spans="1:13" ht="15">
      <c r="B30" s="7" t="s">
        <v>140</v>
      </c>
    </row>
    <row r="31" spans="1:13" ht="15">
      <c r="B31" s="7" t="s">
        <v>141</v>
      </c>
    </row>
    <row r="32" spans="1:13" ht="15">
      <c r="B32" s="7" t="s">
        <v>142</v>
      </c>
    </row>
    <row r="33" spans="1:2" ht="15">
      <c r="B33" s="7" t="s">
        <v>143</v>
      </c>
    </row>
    <row r="34" spans="1:2" ht="15">
      <c r="B34" s="7" t="s">
        <v>144</v>
      </c>
    </row>
    <row r="35" spans="1:2" ht="10.5" customHeight="1">
      <c r="B35" s="7"/>
    </row>
    <row r="36" spans="1:2" ht="56.25" customHeight="1">
      <c r="B36" s="7" t="s">
        <v>145</v>
      </c>
    </row>
    <row r="37" spans="1:2" ht="15">
      <c r="A37" s="7"/>
    </row>
    <row r="38" spans="1:2" ht="64.349999999999994" customHeight="1">
      <c r="A38" s="18" t="s">
        <v>146</v>
      </c>
      <c r="B38" s="19" t="s">
        <v>147</v>
      </c>
    </row>
    <row r="39" spans="1:2" ht="15">
      <c r="A39" s="7"/>
    </row>
    <row r="40" spans="1:2" ht="30.75">
      <c r="A40" s="20" t="s">
        <v>148</v>
      </c>
      <c r="B40" s="7" t="s">
        <v>149</v>
      </c>
    </row>
    <row r="41" spans="1:2" ht="15">
      <c r="A41" s="7"/>
    </row>
    <row r="42" spans="1:2" ht="288.75" customHeight="1">
      <c r="B42" s="7" t="s">
        <v>150</v>
      </c>
    </row>
    <row r="43" spans="1:2" ht="9.75" customHeight="1">
      <c r="A43" s="20"/>
    </row>
    <row r="44" spans="1:2" ht="15.75">
      <c r="A44" s="20"/>
      <c r="B44" s="7"/>
    </row>
    <row r="45" spans="1:2" ht="29.25" customHeight="1">
      <c r="A45" s="20" t="s">
        <v>151</v>
      </c>
      <c r="B45" s="7" t="s">
        <v>152</v>
      </c>
    </row>
    <row r="46" spans="1:2" ht="15">
      <c r="A46" s="7"/>
    </row>
    <row r="47" spans="1:2" ht="96.75" customHeight="1">
      <c r="B47" s="7" t="s">
        <v>153</v>
      </c>
    </row>
    <row r="48" spans="1:2" ht="10.5" customHeight="1">
      <c r="B48" s="7"/>
    </row>
    <row r="49" spans="1:2" ht="52.5" customHeight="1">
      <c r="B49" s="7" t="s">
        <v>154</v>
      </c>
    </row>
    <row r="50" spans="1:2" ht="15">
      <c r="A50" s="7"/>
    </row>
    <row r="51" spans="1:2" ht="15.75">
      <c r="A51" s="18" t="s">
        <v>155</v>
      </c>
      <c r="B51" s="19" t="s">
        <v>156</v>
      </c>
    </row>
    <row r="52" spans="1:2" ht="10.5" customHeight="1">
      <c r="A52" s="7"/>
    </row>
    <row r="53" spans="1:2" ht="12" customHeight="1">
      <c r="A53" s="18"/>
    </row>
    <row r="54" spans="1:2" ht="48" customHeight="1">
      <c r="A54" s="18" t="s">
        <v>157</v>
      </c>
      <c r="B54" s="19" t="s">
        <v>158</v>
      </c>
    </row>
    <row r="55" spans="1:2" ht="9" customHeight="1">
      <c r="A55" s="9"/>
    </row>
    <row r="56" spans="1:2" ht="31.5">
      <c r="A56" s="18" t="s">
        <v>159</v>
      </c>
      <c r="B56" s="19" t="s">
        <v>160</v>
      </c>
    </row>
    <row r="57" spans="1:2" ht="16.5" customHeight="1">
      <c r="B57" s="10" t="s">
        <v>161</v>
      </c>
    </row>
    <row r="58" spans="1:2" ht="15.75" customHeight="1">
      <c r="B58" s="10" t="s">
        <v>162</v>
      </c>
    </row>
    <row r="59" spans="1:2" ht="15.75" customHeight="1">
      <c r="B59" s="10" t="s">
        <v>163</v>
      </c>
    </row>
    <row r="60" spans="1:2" ht="15.75" customHeight="1">
      <c r="B60" s="10" t="s">
        <v>164</v>
      </c>
    </row>
    <row r="61" spans="1:2" ht="15.75" customHeight="1">
      <c r="B61" s="10" t="s">
        <v>165</v>
      </c>
    </row>
    <row r="62" spans="1:2" ht="15.75" customHeight="1">
      <c r="B62" s="10" t="s">
        <v>166</v>
      </c>
    </row>
    <row r="63" spans="1:2" ht="15.75" customHeight="1">
      <c r="B63" s="10" t="s">
        <v>167</v>
      </c>
    </row>
    <row r="64" spans="1:2" ht="15.75" customHeight="1">
      <c r="B64" s="10" t="s">
        <v>168</v>
      </c>
    </row>
    <row r="65" spans="1:2" ht="15.75" customHeight="1">
      <c r="B65" s="10" t="s">
        <v>169</v>
      </c>
    </row>
    <row r="66" spans="1:2" ht="15.75" customHeight="1">
      <c r="B66" s="10" t="s">
        <v>170</v>
      </c>
    </row>
    <row r="67" spans="1:2" ht="15.75" customHeight="1">
      <c r="B67" s="10" t="s">
        <v>171</v>
      </c>
    </row>
    <row r="68" spans="1:2" ht="15.75" customHeight="1">
      <c r="B68" s="10" t="s">
        <v>172</v>
      </c>
    </row>
    <row r="69" spans="1:2" ht="15.75" customHeight="1">
      <c r="B69" s="10" t="s">
        <v>173</v>
      </c>
    </row>
    <row r="70" spans="1:2" ht="15.75" customHeight="1">
      <c r="B70" s="10" t="s">
        <v>174</v>
      </c>
    </row>
    <row r="71" spans="1:2" ht="15.75" customHeight="1">
      <c r="B71" s="10" t="s">
        <v>175</v>
      </c>
    </row>
    <row r="72" spans="1:2" ht="15.75" customHeight="1">
      <c r="B72" s="10" t="s">
        <v>176</v>
      </c>
    </row>
    <row r="73" spans="1:2" ht="15.75" customHeight="1">
      <c r="B73" s="10" t="s">
        <v>177</v>
      </c>
    </row>
    <row r="74" spans="1:2" ht="15.75" customHeight="1">
      <c r="B74" s="10" t="s">
        <v>178</v>
      </c>
    </row>
    <row r="75" spans="1:2" ht="15">
      <c r="A75" s="7"/>
    </row>
    <row r="76" spans="1:2" ht="31.5" customHeight="1">
      <c r="A76" s="20" t="s">
        <v>179</v>
      </c>
      <c r="B76" s="7" t="s">
        <v>180</v>
      </c>
    </row>
    <row r="77" spans="1:2" ht="10.5" customHeight="1">
      <c r="A77" s="7"/>
    </row>
    <row r="78" spans="1:2" ht="33" customHeight="1">
      <c r="B78" s="7" t="s">
        <v>181</v>
      </c>
    </row>
    <row r="79" spans="1:2" ht="8.25" customHeight="1">
      <c r="B79" s="7"/>
    </row>
    <row r="80" spans="1:2" ht="31.5" customHeight="1">
      <c r="B80" s="7" t="s">
        <v>182</v>
      </c>
    </row>
    <row r="81" spans="1:2" ht="15">
      <c r="A81" s="7"/>
    </row>
    <row r="82" spans="1:2" ht="36" customHeight="1">
      <c r="A82" s="20" t="s">
        <v>183</v>
      </c>
      <c r="B82" s="7" t="s">
        <v>184</v>
      </c>
    </row>
    <row r="83" spans="1:2" ht="5.25" customHeight="1">
      <c r="A83" s="20"/>
      <c r="B83" s="7"/>
    </row>
    <row r="84" spans="1:2" ht="30.75" customHeight="1">
      <c r="B84" s="10" t="s">
        <v>185</v>
      </c>
    </row>
    <row r="85" spans="1:2" ht="16.5" customHeight="1">
      <c r="B85" s="10" t="s">
        <v>186</v>
      </c>
    </row>
    <row r="86" spans="1:2" ht="48.75" customHeight="1">
      <c r="B86" s="10" t="s">
        <v>187</v>
      </c>
    </row>
    <row r="87" spans="1:2" ht="8.25" customHeight="1">
      <c r="A87" s="20"/>
    </row>
    <row r="88" spans="1:2" ht="33" customHeight="1">
      <c r="A88" s="20" t="s">
        <v>188</v>
      </c>
      <c r="B88" s="7" t="s">
        <v>189</v>
      </c>
    </row>
    <row r="89" spans="1:2" ht="7.5" customHeight="1">
      <c r="A89" s="20"/>
    </row>
    <row r="90" spans="1:2" ht="33.75" customHeight="1">
      <c r="A90" s="20" t="s">
        <v>190</v>
      </c>
      <c r="B90" s="7" t="s">
        <v>191</v>
      </c>
    </row>
    <row r="93" spans="1:2" ht="14.25">
      <c r="A93" s="11"/>
    </row>
  </sheetData>
  <sheetProtection selectLockedCells="1"/>
  <mergeCells count="11">
    <mergeCell ref="A22:A26"/>
    <mergeCell ref="A1:B1"/>
    <mergeCell ref="A3:B3"/>
    <mergeCell ref="A5:B5"/>
    <mergeCell ref="A7:B7"/>
    <mergeCell ref="A8:B8"/>
    <mergeCell ref="A9:B9"/>
    <mergeCell ref="A10:B10"/>
    <mergeCell ref="A11:B11"/>
    <mergeCell ref="A13:B13"/>
    <mergeCell ref="A14:B14"/>
  </mergeCells>
  <hyperlinks>
    <hyperlink ref="A14:B14" r:id="rId1" display="http://www.hse.gov.uk/riddor/key-definitions.htm" xr:uid="{00000000-0004-0000-0300-000000000000}"/>
  </hyperlinks>
  <pageMargins left="0.66" right="0.34" top="0.66" bottom="0.45" header="0.5" footer="0.56999999999999995"/>
  <pageSetup paperSize="9" scale="84" orientation="portrait" r:id="rId2"/>
  <headerFooter alignWithMargins="0">
    <oddHeader>&amp;C&amp;"Aptos"&amp;10&amp;K000000 OFFICIAL&amp;1#_x000D_</oddHeader>
    <oddFooter>&amp;C_x000D_&amp;1#&amp;"Aptos"&amp;10&amp;K000000 OFFICIAL</oddFooter>
  </headerFooter>
  <rowBreaks count="2" manualBreakCount="2">
    <brk id="39" max="1" man="1"/>
    <brk id="50" max="1"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66E5BA-3F80-4972-9A8D-41F490E206C0}">
  <sheetPr codeName="Sheet6"/>
  <dimension ref="A1:H23"/>
  <sheetViews>
    <sheetView showGridLines="0" zoomScale="90" zoomScaleNormal="90" workbookViewId="0">
      <selection activeCell="C20" sqref="C20"/>
    </sheetView>
  </sheetViews>
  <sheetFormatPr defaultColWidth="9.42578125" defaultRowHeight="12.75"/>
  <cols>
    <col min="1" max="1" width="34.5703125" style="2" customWidth="1"/>
    <col min="2" max="8" width="23.42578125" style="2" customWidth="1"/>
    <col min="9" max="9" width="10" style="2" customWidth="1"/>
    <col min="10" max="16384" width="9.42578125" style="2"/>
  </cols>
  <sheetData>
    <row r="1" spans="1:8" ht="27" customHeight="1">
      <c r="A1" s="1"/>
      <c r="B1" s="1"/>
    </row>
    <row r="2" spans="1:8" ht="36" customHeight="1">
      <c r="A2" s="1"/>
      <c r="B2" s="1"/>
      <c r="C2" s="57"/>
      <c r="D2" s="57"/>
      <c r="E2" s="57"/>
      <c r="F2" s="57"/>
      <c r="G2" s="57"/>
    </row>
    <row r="3" spans="1:8" ht="27" customHeight="1">
      <c r="A3" s="1"/>
      <c r="B3" s="1"/>
      <c r="C3" s="57"/>
      <c r="D3" s="57"/>
    </row>
    <row r="4" spans="1:8" ht="27" customHeight="1" thickBot="1">
      <c r="A4" s="1"/>
      <c r="B4" s="1"/>
    </row>
    <row r="5" spans="1:8" s="1" customFormat="1" ht="18.75" customHeight="1" thickBot="1">
      <c r="A5" s="118" t="s">
        <v>192</v>
      </c>
      <c r="B5" s="119"/>
      <c r="C5" s="119"/>
      <c r="D5" s="119"/>
      <c r="E5" s="119"/>
      <c r="F5" s="119"/>
      <c r="G5" s="119"/>
      <c r="H5" s="120"/>
    </row>
    <row r="6" spans="1:8" ht="27" customHeight="1" thickBot="1">
      <c r="A6" s="3"/>
      <c r="B6" s="4"/>
      <c r="C6" s="4"/>
      <c r="D6" s="1"/>
      <c r="E6" s="1"/>
      <c r="F6" s="1"/>
      <c r="G6" s="1"/>
    </row>
    <row r="7" spans="1:8" ht="25.35" customHeight="1" thickBot="1">
      <c r="A7" s="121"/>
      <c r="B7" s="123" t="s">
        <v>193</v>
      </c>
      <c r="C7" s="124"/>
      <c r="D7" s="125" t="s">
        <v>194</v>
      </c>
      <c r="E7" s="126"/>
      <c r="F7" s="127" t="s">
        <v>195</v>
      </c>
      <c r="G7" s="128"/>
      <c r="H7" s="129" t="s">
        <v>196</v>
      </c>
    </row>
    <row r="8" spans="1:8" ht="25.35" customHeight="1" thickBot="1">
      <c r="A8" s="122"/>
      <c r="B8" s="13" t="s">
        <v>197</v>
      </c>
      <c r="C8" s="14" t="s">
        <v>198</v>
      </c>
      <c r="D8" s="13" t="s">
        <v>197</v>
      </c>
      <c r="E8" s="14" t="s">
        <v>198</v>
      </c>
      <c r="F8" s="13" t="s">
        <v>197</v>
      </c>
      <c r="G8" s="14" t="s">
        <v>198</v>
      </c>
      <c r="H8" s="130"/>
    </row>
    <row r="9" spans="1:8" ht="25.35" customHeight="1" thickBot="1">
      <c r="A9" s="15" t="s">
        <v>199</v>
      </c>
      <c r="B9" s="40"/>
      <c r="C9" s="46"/>
      <c r="D9" s="40"/>
      <c r="E9" s="46"/>
      <c r="F9" s="40"/>
      <c r="G9" s="43"/>
      <c r="H9" s="56">
        <f>SUM(B9:G9)</f>
        <v>0</v>
      </c>
    </row>
    <row r="10" spans="1:8" ht="25.35" customHeight="1" thickBot="1">
      <c r="A10" s="16" t="s">
        <v>200</v>
      </c>
      <c r="B10" s="41"/>
      <c r="C10" s="46"/>
      <c r="D10" s="41"/>
      <c r="E10" s="46"/>
      <c r="F10" s="41"/>
      <c r="G10" s="44"/>
      <c r="H10" s="56">
        <f>SUM(B10:G10)</f>
        <v>0</v>
      </c>
    </row>
    <row r="11" spans="1:8" ht="25.35" customHeight="1" thickBot="1">
      <c r="A11" s="16" t="s">
        <v>201</v>
      </c>
      <c r="B11" s="41"/>
      <c r="C11" s="46"/>
      <c r="D11" s="41"/>
      <c r="E11" s="46"/>
      <c r="F11" s="41"/>
      <c r="G11" s="44"/>
      <c r="H11" s="56">
        <f>SUM(B11:G11)</f>
        <v>0</v>
      </c>
    </row>
    <row r="12" spans="1:8" ht="25.35" customHeight="1" thickBot="1">
      <c r="A12" s="52" t="s">
        <v>202</v>
      </c>
      <c r="B12" s="42"/>
      <c r="C12" s="47"/>
      <c r="D12" s="42"/>
      <c r="E12" s="47"/>
      <c r="F12" s="42"/>
      <c r="G12" s="45"/>
      <c r="H12" s="56">
        <f>SUM(B12:G12)</f>
        <v>0</v>
      </c>
    </row>
    <row r="13" spans="1:8">
      <c r="A13" s="1"/>
    </row>
    <row r="14" spans="1:8">
      <c r="A14" s="1"/>
      <c r="F14" s="55"/>
    </row>
    <row r="15" spans="1:8" ht="13.5" thickBot="1">
      <c r="A15" s="1"/>
    </row>
    <row r="16" spans="1:8" ht="13.5" thickBot="1">
      <c r="A16" s="80" t="s">
        <v>203</v>
      </c>
      <c r="B16" s="81"/>
      <c r="C16" s="81"/>
      <c r="D16" s="81"/>
      <c r="E16" s="81"/>
      <c r="F16" s="81"/>
      <c r="G16" s="81"/>
      <c r="H16" s="81"/>
    </row>
    <row r="17" spans="1:8" ht="82.5" customHeight="1" thickBot="1">
      <c r="A17" s="116"/>
      <c r="B17" s="117"/>
      <c r="C17" s="117"/>
      <c r="D17" s="117"/>
      <c r="E17" s="117"/>
      <c r="F17" s="117"/>
      <c r="G17" s="117"/>
      <c r="H17" s="117"/>
    </row>
    <row r="18" spans="1:8">
      <c r="A18" s="1"/>
    </row>
    <row r="19" spans="1:8">
      <c r="A19" s="1"/>
    </row>
    <row r="20" spans="1:8">
      <c r="A20" s="1"/>
    </row>
    <row r="21" spans="1:8">
      <c r="A21" s="1"/>
    </row>
    <row r="22" spans="1:8">
      <c r="A22" s="1"/>
    </row>
    <row r="23" spans="1:8" ht="74.25" customHeight="1"/>
  </sheetData>
  <sheetProtection selectLockedCells="1"/>
  <mergeCells count="7">
    <mergeCell ref="A17:H17"/>
    <mergeCell ref="A5:H5"/>
    <mergeCell ref="A7:A8"/>
    <mergeCell ref="B7:C7"/>
    <mergeCell ref="D7:E7"/>
    <mergeCell ref="F7:G7"/>
    <mergeCell ref="H7:H8"/>
  </mergeCells>
  <dataValidations count="8">
    <dataValidation type="whole" operator="greaterThanOrEqual" allowBlank="1" showInputMessage="1" showErrorMessage="1" errorTitle="Error" error="The total number of injuries must be a whole number greater than or equal to the sum of the subcategories of injury types (i.e. B9 must be &gt;= B10+B11+B12)" sqref="B9" xr:uid="{CD07C242-B2BD-436D-A650-E7A981A1E0A5}">
      <formula1>SUM(B10:B12)</formula1>
    </dataValidation>
    <dataValidation type="whole" operator="greaterThanOrEqual" allowBlank="1" showInputMessage="1" showErrorMessage="1" errorTitle="Error" error="The total number of injuries must be a whole number greater than or equal to the sum of the subcategories of injury types (i.e. G9 must be &gt;= G10+G11+G12)" sqref="G9" xr:uid="{39E3956C-E805-4383-AD35-922EF0CB3ACE}">
      <formula1>SUM(G10:G12)</formula1>
    </dataValidation>
    <dataValidation type="whole" operator="greaterThanOrEqual" allowBlank="1" showInputMessage="1" showErrorMessage="1" errorTitle="Error" error="The total number of injuries must be a whole number greater than or equal to the sum of the subcategories of injury types (i.e. C9 must be &gt;= C10+C11+C12)" sqref="C9" xr:uid="{AB143C91-06D7-4C62-ADAB-418A71F89CAB}">
      <formula1>SUM(C10:C12)</formula1>
    </dataValidation>
    <dataValidation type="whole" operator="greaterThanOrEqual" allowBlank="1" showInputMessage="1" showErrorMessage="1" errorTitle="Error" error="The total number of injuries must be a whole number greater than or equal to the sum of the subcategories of injury types (i.e. D9 must be &gt;= D10+D11+D12)" sqref="D9" xr:uid="{F687A546-8CA1-4998-8CBF-77540ED976AA}">
      <formula1>SUM(D10:D12)</formula1>
    </dataValidation>
    <dataValidation type="whole" operator="greaterThanOrEqual" allowBlank="1" showInputMessage="1" showErrorMessage="1" errorTitle="Error" error="The total number of injuries must be a whole number greater than or equal to the sum of the subcategories of injury types (i.e. E9 must be &gt;= E10+E11+E12)" sqref="E9" xr:uid="{7980363A-0122-417B-9F9A-BA2E6BB3E679}">
      <formula1>SUM(E10:E12)</formula1>
    </dataValidation>
    <dataValidation type="whole" operator="greaterThanOrEqual" allowBlank="1" showInputMessage="1" showErrorMessage="1" errorTitle="Error" error="The total number of injuries must be a whole number greater than or equal to the sum of the subcategories of injury types (i.e. F9 must be &gt;= F10+F11+F12)" sqref="F9" xr:uid="{261DB877-E01B-46AD-98AF-329EB0FE0766}">
      <formula1>SUM(F10:F12)</formula1>
    </dataValidation>
    <dataValidation type="whole" errorStyle="warning" operator="lessThanOrEqual" allowBlank="1" showInputMessage="1" showErrorMessage="1" error="This number is unusually high relative to entries in previous years. Please double check before submitting." sqref="H9" xr:uid="{4A32B093-DA50-40C4-B130-A54B60A6ECA3}">
      <formula1>150</formula1>
    </dataValidation>
    <dataValidation type="whole" operator="lessThanOrEqual" showInputMessage="1" showErrorMessage="1" errorTitle="Error" error="The total number of injuries must be a whole number greater than or equal to the sum of the subcategories of injury types (i.e. B9 must be &gt;= B10+B11+B12)" sqref="B10:G12" xr:uid="{6C9DF5DA-62FE-43EF-AEB7-683EA9C3E2F2}">
      <formula1>B$9</formula1>
    </dataValidation>
  </dataValidations>
  <printOptions horizontalCentered="1"/>
  <pageMargins left="0.74803149606299213" right="0.74803149606299213" top="0.98425196850393704" bottom="0.98425196850393704" header="0.51181102362204722" footer="0.51181102362204722"/>
  <pageSetup paperSize="9" scale="84" orientation="landscape" r:id="rId1"/>
  <headerFooter alignWithMargins="0">
    <oddHeader>&amp;LAnnual Returns 2016-17&amp;C&amp;"Aptos"&amp;10&amp;K000000 OFFICIAL&amp;1#_x000D_&amp;RHS1 - Health and Safety - Injuries during operational incidents&amp;LAnnual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7" id="{CE8CDC5B-795A-4FED-BF9B-9BC6B0CA3253}">
            <xm:f>IF(AND(H9&gt;'HS1 PY'!H9+'QA check thresholds'!$A$6,H9&gt;'HS1 PY'!H9*'QA check thresholds'!$A$9),TRUE,FALSE)</xm:f>
            <x14:dxf>
              <font>
                <color rgb="FF9C5700"/>
              </font>
              <fill>
                <patternFill>
                  <bgColor rgb="FFFFEB9C"/>
                </patternFill>
              </fill>
            </x14:dxf>
          </x14:cfRule>
          <x14:cfRule type="expression" priority="8" id="{65E86F7C-1F25-40E0-BDE5-0B6073935B0F}">
            <xm:f>IF(AND(H9&lt;'HS1 PY'!H9-'QA check thresholds'!$A$6,H9&lt;'HS1 PY'!H9*'QA check thresholds'!$A$8),TRUE,FALSE)</xm:f>
            <x14:dxf>
              <font>
                <color rgb="FF9C5700"/>
              </font>
              <fill>
                <patternFill>
                  <bgColor rgb="FFFFEB9C"/>
                </patternFill>
              </fill>
            </x14:dxf>
          </x14:cfRule>
          <xm:sqref>H9:H12</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37178F-AE21-4D3C-A46B-B8829BF71319}">
  <sheetPr codeName="Sheet7"/>
  <dimension ref="A1:H23"/>
  <sheetViews>
    <sheetView showGridLines="0" zoomScale="90" zoomScaleNormal="90" workbookViewId="0">
      <selection activeCell="J17" sqref="J17"/>
    </sheetView>
  </sheetViews>
  <sheetFormatPr defaultColWidth="9.42578125" defaultRowHeight="12.75"/>
  <cols>
    <col min="1" max="1" width="34.5703125" style="2" customWidth="1"/>
    <col min="2" max="8" width="23.42578125" style="2" customWidth="1"/>
    <col min="9" max="13" width="10" style="2" customWidth="1"/>
    <col min="14" max="16384" width="9.42578125" style="2"/>
  </cols>
  <sheetData>
    <row r="1" spans="1:8" ht="27" customHeight="1">
      <c r="A1" s="1"/>
      <c r="B1" s="1"/>
    </row>
    <row r="2" spans="1:8" ht="36" customHeight="1">
      <c r="A2" s="1"/>
      <c r="B2" s="1"/>
      <c r="C2" s="131"/>
      <c r="D2" s="131"/>
      <c r="E2" s="131"/>
      <c r="F2" s="131"/>
      <c r="G2" s="131"/>
    </row>
    <row r="3" spans="1:8" ht="27" customHeight="1">
      <c r="A3" s="1"/>
      <c r="B3" s="1"/>
    </row>
    <row r="4" spans="1:8" ht="27" customHeight="1" thickBot="1">
      <c r="A4" s="1"/>
      <c r="B4" s="1"/>
    </row>
    <row r="5" spans="1:8" s="1" customFormat="1" ht="18.75" customHeight="1" thickBot="1">
      <c r="A5" s="118" t="s">
        <v>204</v>
      </c>
      <c r="B5" s="119"/>
      <c r="C5" s="119"/>
      <c r="D5" s="119"/>
      <c r="E5" s="119"/>
      <c r="F5" s="119"/>
      <c r="G5" s="119"/>
      <c r="H5" s="120"/>
    </row>
    <row r="6" spans="1:8" ht="27" customHeight="1" thickBot="1">
      <c r="A6" s="3"/>
      <c r="B6" s="4"/>
      <c r="C6" s="4"/>
      <c r="D6" s="1"/>
      <c r="E6" s="1"/>
      <c r="F6" s="1"/>
      <c r="G6" s="1"/>
    </row>
    <row r="7" spans="1:8" ht="25.35" customHeight="1" thickBot="1">
      <c r="A7" s="121"/>
      <c r="B7" s="123" t="s">
        <v>205</v>
      </c>
      <c r="C7" s="124"/>
      <c r="D7" s="125" t="s">
        <v>206</v>
      </c>
      <c r="E7" s="126"/>
      <c r="F7" s="127" t="s">
        <v>207</v>
      </c>
      <c r="G7" s="128"/>
      <c r="H7" s="129" t="s">
        <v>196</v>
      </c>
    </row>
    <row r="8" spans="1:8" ht="25.35" customHeight="1" thickBot="1">
      <c r="A8" s="122"/>
      <c r="B8" s="13" t="s">
        <v>197</v>
      </c>
      <c r="C8" s="14" t="s">
        <v>198</v>
      </c>
      <c r="D8" s="13" t="s">
        <v>197</v>
      </c>
      <c r="E8" s="14" t="s">
        <v>198</v>
      </c>
      <c r="F8" s="13" t="s">
        <v>197</v>
      </c>
      <c r="G8" s="14" t="s">
        <v>198</v>
      </c>
      <c r="H8" s="130"/>
    </row>
    <row r="9" spans="1:8" ht="25.35" customHeight="1" thickBot="1">
      <c r="A9" s="15" t="s">
        <v>199</v>
      </c>
      <c r="B9" s="40"/>
      <c r="C9" s="46"/>
      <c r="D9" s="40"/>
      <c r="E9" s="46"/>
      <c r="F9" s="40"/>
      <c r="G9" s="43"/>
      <c r="H9" s="12">
        <f>SUM(B9:G9)</f>
        <v>0</v>
      </c>
    </row>
    <row r="10" spans="1:8" ht="25.35" customHeight="1" thickBot="1">
      <c r="A10" s="16" t="s">
        <v>200</v>
      </c>
      <c r="B10" s="41"/>
      <c r="C10" s="46"/>
      <c r="D10" s="41"/>
      <c r="E10" s="46"/>
      <c r="F10" s="41"/>
      <c r="G10" s="44"/>
      <c r="H10" s="12">
        <f>SUM(B10:G10)</f>
        <v>0</v>
      </c>
    </row>
    <row r="11" spans="1:8" ht="25.35" customHeight="1" thickBot="1">
      <c r="A11" s="16" t="s">
        <v>201</v>
      </c>
      <c r="B11" s="41"/>
      <c r="C11" s="46"/>
      <c r="D11" s="41"/>
      <c r="E11" s="46"/>
      <c r="F11" s="41"/>
      <c r="G11" s="44"/>
      <c r="H11" s="12">
        <f>SUM(B11:G11)</f>
        <v>0</v>
      </c>
    </row>
    <row r="12" spans="1:8" ht="25.35" customHeight="1" thickBot="1">
      <c r="A12" s="52" t="s">
        <v>202</v>
      </c>
      <c r="B12" s="42"/>
      <c r="C12" s="47"/>
      <c r="D12" s="42"/>
      <c r="E12" s="47"/>
      <c r="F12" s="42"/>
      <c r="G12" s="45"/>
      <c r="H12" s="56">
        <f>SUM(B12:G12)</f>
        <v>0</v>
      </c>
    </row>
    <row r="13" spans="1:8">
      <c r="A13" s="1"/>
    </row>
    <row r="14" spans="1:8">
      <c r="A14" s="1"/>
      <c r="F14" s="55"/>
    </row>
    <row r="15" spans="1:8" ht="13.5" thickBot="1">
      <c r="A15" s="1"/>
    </row>
    <row r="16" spans="1:8" ht="13.5" thickBot="1">
      <c r="A16" s="80" t="s">
        <v>203</v>
      </c>
      <c r="B16" s="81"/>
      <c r="C16" s="81"/>
      <c r="D16" s="81"/>
      <c r="E16" s="81"/>
      <c r="F16" s="81"/>
      <c r="G16" s="81"/>
      <c r="H16" s="81"/>
    </row>
    <row r="17" spans="1:8" ht="98.25" customHeight="1" thickBot="1">
      <c r="A17" s="116"/>
      <c r="B17" s="117"/>
      <c r="C17" s="117"/>
      <c r="D17" s="117"/>
      <c r="E17" s="117"/>
      <c r="F17" s="117"/>
      <c r="G17" s="117"/>
      <c r="H17" s="117"/>
    </row>
    <row r="18" spans="1:8">
      <c r="A18" s="1"/>
    </row>
    <row r="19" spans="1:8">
      <c r="A19" s="1"/>
    </row>
    <row r="20" spans="1:8">
      <c r="A20" s="1"/>
    </row>
    <row r="21" spans="1:8">
      <c r="A21" s="1"/>
    </row>
    <row r="22" spans="1:8">
      <c r="A22" s="1"/>
    </row>
    <row r="23" spans="1:8">
      <c r="A23" s="1"/>
    </row>
  </sheetData>
  <sheetProtection selectLockedCells="1"/>
  <mergeCells count="8">
    <mergeCell ref="A17:H17"/>
    <mergeCell ref="C2:G2"/>
    <mergeCell ref="A5:H5"/>
    <mergeCell ref="A7:A8"/>
    <mergeCell ref="B7:C7"/>
    <mergeCell ref="D7:E7"/>
    <mergeCell ref="F7:G7"/>
    <mergeCell ref="H7:H8"/>
  </mergeCells>
  <dataValidations count="2">
    <dataValidation type="whole" operator="greaterThanOrEqual" allowBlank="1" showInputMessage="1" showErrorMessage="1" errorTitle="Error" error="The total number of injuries must be a whole number greater than or equal to the sum of the subcategories of injury types (i.e. B9 must be &gt;= B10+B11+B12)" sqref="B9:G9" xr:uid="{DACF9F57-A6EA-404B-BD6A-22431F10E7DE}">
      <formula1>SUM(B10:B12)</formula1>
    </dataValidation>
    <dataValidation type="whole" operator="lessThanOrEqual" showInputMessage="1" showErrorMessage="1" errorTitle="Error" error="The total number of injuries must be a whole number greater than or equal to the sum of the subcategories of injury types (i.e. B9 must be &gt;= B10+B11+B12)" sqref="B10:G12" xr:uid="{718557CF-1AF0-45B2-82C8-0C8CFCBFCF14}">
      <formula1>B$9</formula1>
    </dataValidation>
  </dataValidations>
  <printOptions horizontalCentered="1"/>
  <pageMargins left="0.74803149606299213" right="0.74803149606299213" top="0.98425196850393704" bottom="0.98425196850393704" header="0.51181102362204722" footer="0.51181102362204722"/>
  <pageSetup paperSize="9" scale="84" orientation="landscape" r:id="rId1"/>
  <headerFooter alignWithMargins="0">
    <oddHeader>&amp;LAnnual Returns 2016-17&amp;C&amp;"Aptos"&amp;10&amp;K000000 OFFICIAL&amp;1#_x000D_&amp;RHS1 - Health and Safety - Injuries during operational incidents&amp;LAnnual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7" id="{7FA3E135-82BE-49B6-BB5A-D4F0B2103E0A}">
            <xm:f>IF(AND(H9&gt;'HS2 PY'!H9+'QA check thresholds'!$A$6,H9&gt;'HS2 PY'!H9*'QA check thresholds'!$A$9),TRUE,FALSE)</xm:f>
            <x14:dxf>
              <font>
                <color rgb="FF9C5700"/>
              </font>
              <fill>
                <patternFill>
                  <bgColor rgb="FFFFEB9C"/>
                </patternFill>
              </fill>
            </x14:dxf>
          </x14:cfRule>
          <x14:cfRule type="expression" priority="8" id="{3DB5EBF1-7769-45F7-84AF-6FDEBAC7546A}">
            <xm:f>IF(AND(H9&lt;'HS2 PY'!H9-'QA check thresholds'!$A$6,H9&lt;'HS2 PY'!H9*'QA check thresholds'!$A$8),TRUE,FALSE)</xm:f>
            <x14:dxf>
              <font>
                <color rgb="FF9C5700"/>
              </font>
              <fill>
                <patternFill>
                  <bgColor rgb="FFFFEB9C"/>
                </patternFill>
              </fill>
            </x14:dxf>
          </x14:cfRule>
          <xm:sqref>H9:H12</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713422-6568-413D-AD92-AEC908EADD77}">
  <sheetPr codeName="Sheet9">
    <tabColor rgb="FFFFC000"/>
  </sheetPr>
  <dimension ref="A1:G4"/>
  <sheetViews>
    <sheetView workbookViewId="0">
      <selection activeCell="E2" sqref="E2"/>
    </sheetView>
  </sheetViews>
  <sheetFormatPr defaultRowHeight="12.75"/>
  <cols>
    <col min="1" max="1" width="18.28515625" customWidth="1"/>
    <col min="3" max="3" width="9.140625" customWidth="1"/>
    <col min="4" max="4" width="30" customWidth="1"/>
  </cols>
  <sheetData>
    <row r="1" spans="1:7" ht="15">
      <c r="A1" s="132" t="s">
        <v>208</v>
      </c>
      <c r="B1" s="132"/>
      <c r="D1" s="132" t="s">
        <v>209</v>
      </c>
      <c r="E1" s="132"/>
      <c r="F1" s="132"/>
      <c r="G1" s="132"/>
    </row>
    <row r="2" spans="1:7" ht="51">
      <c r="A2" s="78" t="s">
        <v>210</v>
      </c>
      <c r="B2" s="79" t="s">
        <v>211</v>
      </c>
      <c r="D2" s="78" t="s">
        <v>212</v>
      </c>
      <c r="E2" s="79" t="s">
        <v>211</v>
      </c>
    </row>
    <row r="3" spans="1:7" ht="51">
      <c r="A3" s="78" t="s">
        <v>213</v>
      </c>
      <c r="B3" s="79"/>
      <c r="D3" s="78" t="s">
        <v>214</v>
      </c>
    </row>
    <row r="4" spans="1:7" ht="63.75">
      <c r="A4" s="78" t="s">
        <v>215</v>
      </c>
      <c r="B4" s="79"/>
      <c r="D4" s="78" t="s">
        <v>216</v>
      </c>
    </row>
  </sheetData>
  <mergeCells count="2">
    <mergeCell ref="A1:B1"/>
    <mergeCell ref="D1:G1"/>
  </mergeCells>
  <pageMargins left="0.7" right="0.7" top="0.75" bottom="0.75" header="0.3" footer="0.3"/>
  <headerFooter>
    <oddHeader>&amp;C&amp;"Aptos"&amp;10&amp;K000000 OFFICIAL&amp;1#_x000D_</oddHeader>
    <oddFooter>&amp;C_x000D_&amp;1#&amp;"Aptos"&amp;10&amp;K000000 OFFICIAL</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E05449-37F4-4C9A-BBD1-3DB28298E134}">
  <sheetPr codeName="Sheet5">
    <tabColor rgb="FFFF0000"/>
  </sheetPr>
  <dimension ref="A1:G1"/>
  <sheetViews>
    <sheetView workbookViewId="0">
      <selection activeCell="F36" sqref="F36"/>
    </sheetView>
  </sheetViews>
  <sheetFormatPr defaultRowHeight="12.75"/>
  <cols>
    <col min="1" max="1" width="7.140625" bestFit="1" customWidth="1"/>
    <col min="2" max="2" width="16.7109375" bestFit="1" customWidth="1"/>
    <col min="3" max="3" width="11.140625" bestFit="1" customWidth="1"/>
    <col min="4" max="4" width="25.5703125" bestFit="1" customWidth="1"/>
    <col min="5" max="5" width="19.140625" bestFit="1" customWidth="1"/>
    <col min="6" max="6" width="29.140625" bestFit="1" customWidth="1"/>
    <col min="7" max="7" width="6.7109375" style="77" bestFit="1" customWidth="1"/>
  </cols>
  <sheetData>
    <row r="1" spans="1:7">
      <c r="A1" t="s">
        <v>217</v>
      </c>
      <c r="B1" t="s">
        <v>218</v>
      </c>
      <c r="C1" t="s">
        <v>219</v>
      </c>
      <c r="D1" t="s">
        <v>220</v>
      </c>
      <c r="E1" t="s">
        <v>221</v>
      </c>
      <c r="F1" t="s">
        <v>222</v>
      </c>
      <c r="G1" s="77" t="s">
        <v>223</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A1:H23"/>
  <sheetViews>
    <sheetView showGridLines="0" zoomScale="90" zoomScaleNormal="90" workbookViewId="0">
      <selection activeCell="F29" sqref="F29"/>
    </sheetView>
  </sheetViews>
  <sheetFormatPr defaultColWidth="9.42578125" defaultRowHeight="12.75"/>
  <cols>
    <col min="1" max="1" width="34.5703125" style="2" customWidth="1"/>
    <col min="2" max="8" width="23.42578125" style="2" customWidth="1"/>
    <col min="9" max="13" width="10" style="2" customWidth="1"/>
    <col min="14" max="16384" width="9.42578125" style="2"/>
  </cols>
  <sheetData>
    <row r="1" spans="1:8" ht="27" customHeight="1">
      <c r="A1" s="1"/>
      <c r="B1" s="1"/>
    </row>
    <row r="2" spans="1:8" ht="36" customHeight="1">
      <c r="A2" s="1"/>
      <c r="B2" s="1"/>
      <c r="C2" s="131"/>
      <c r="D2" s="131"/>
      <c r="E2" s="131"/>
      <c r="F2" s="131"/>
      <c r="G2" s="131"/>
    </row>
    <row r="3" spans="1:8" ht="27" customHeight="1">
      <c r="A3" s="1"/>
      <c r="B3" s="1"/>
    </row>
    <row r="4" spans="1:8" ht="27" customHeight="1">
      <c r="A4" s="1"/>
      <c r="B4" s="1"/>
      <c r="C4" s="65" t="s">
        <v>5</v>
      </c>
      <c r="D4" s="66" t="str">
        <f>VLOOKUP(Cover!A6,Cover!B319:D331,2,FALSE)</f>
        <v>2024/25</v>
      </c>
      <c r="E4" s="67" t="str">
        <f>Cover!A10</f>
        <v>Cumbria</v>
      </c>
    </row>
    <row r="5" spans="1:8" s="1" customFormat="1" ht="18.75" customHeight="1">
      <c r="A5" s="71"/>
      <c r="B5" s="71"/>
      <c r="C5" s="71"/>
      <c r="D5" s="71"/>
      <c r="E5" s="71"/>
      <c r="F5" s="71"/>
      <c r="G5" s="71"/>
      <c r="H5" s="71"/>
    </row>
    <row r="6" spans="1:8" ht="27" customHeight="1">
      <c r="A6" s="3"/>
      <c r="B6" s="4"/>
      <c r="C6" s="4"/>
      <c r="D6" s="1"/>
      <c r="E6" s="1"/>
      <c r="F6" s="1"/>
      <c r="G6" s="1"/>
    </row>
    <row r="7" spans="1:8" s="73" customFormat="1" ht="25.35" customHeight="1">
      <c r="A7" s="72"/>
      <c r="B7" s="72" t="s">
        <v>224</v>
      </c>
      <c r="C7" s="72" t="s">
        <v>224</v>
      </c>
      <c r="D7" s="75" t="s">
        <v>225</v>
      </c>
      <c r="E7" s="75" t="s">
        <v>225</v>
      </c>
      <c r="F7" s="75" t="s">
        <v>226</v>
      </c>
      <c r="G7" s="75" t="s">
        <v>226</v>
      </c>
      <c r="H7" s="73" t="s">
        <v>196</v>
      </c>
    </row>
    <row r="8" spans="1:8" s="72" customFormat="1" ht="25.35" customHeight="1">
      <c r="B8" s="74" t="s">
        <v>197</v>
      </c>
      <c r="C8" s="74" t="s">
        <v>198</v>
      </c>
      <c r="D8" s="74" t="s">
        <v>197</v>
      </c>
      <c r="E8" s="74" t="s">
        <v>198</v>
      </c>
      <c r="F8" s="74" t="s">
        <v>197</v>
      </c>
      <c r="G8" s="74" t="s">
        <v>198</v>
      </c>
      <c r="H8" s="73"/>
    </row>
    <row r="9" spans="1:8" ht="25.35" customHeight="1">
      <c r="A9" s="3" t="s">
        <v>199</v>
      </c>
      <c r="B9" s="69" cm="1">
        <f t="array" ref="B9">SUMPRODUCT(('HS - PY data'!$A$2:$A$49952=$C$4)*('HS - PY data'!$B$2:$B$49952=$D$4)*('HS - PY data'!$C$2:$C$49952=$E$4)*('HS - PY data'!$D$2:$D$49952=B$7)*('HS - PY data'!$F$2:$F$49952=$A9)*('HS - PY data'!$E$2:$E$49952=B$8)*('HS - PY data'!$G$2:$G$49952))</f>
        <v>0</v>
      </c>
      <c r="C9" s="69" cm="1">
        <f t="array" ref="C9">SUMPRODUCT(('HS - PY data'!$A$2:$A$49952=$C$4)*('HS - PY data'!$B$2:$B$49952=$D$4)*('HS - PY data'!$C$2:$C$49952=$E$4)*('HS - PY data'!$D$2:$D$49952=C$7)*('HS - PY data'!$F$2:$F$49952=$A9)*('HS - PY data'!$E$2:$E$49952=C$8)*('HS - PY data'!$G$2:$G$49952))</f>
        <v>0</v>
      </c>
      <c r="D9" s="69" cm="1">
        <f t="array" ref="D9">SUMPRODUCT(('HS - PY data'!$A$2:$A$49952=$C$4)*('HS - PY data'!$B$2:$B$49952=$D$4)*('HS - PY data'!$C$2:$C$49952=$E$4)*('HS - PY data'!$D$2:$D$49952=D$7)*('HS - PY data'!$F$2:$F$49952=$A9)*('HS - PY data'!$E$2:$E$49952=D$8)*('HS - PY data'!$G$2:$G$49952))</f>
        <v>0</v>
      </c>
      <c r="E9" s="69" cm="1">
        <f t="array" ref="E9">SUMPRODUCT(('HS - PY data'!$A$2:$A$49952=$C$4)*('HS - PY data'!$B$2:$B$49952=$D$4)*('HS - PY data'!$C$2:$C$49952=$E$4)*('HS - PY data'!$D$2:$D$49952=E$7)*('HS - PY data'!$F$2:$F$49952=$A9)*('HS - PY data'!$E$2:$E$49952=E$8)*('HS - PY data'!$G$2:$G$49952))</f>
        <v>0</v>
      </c>
      <c r="F9" s="69" cm="1">
        <f t="array" ref="F9">SUMPRODUCT(('HS - PY data'!$A$2:$A$49952=$C$4)*('HS - PY data'!$B$2:$B$49952=$D$4)*('HS - PY data'!$C$2:$C$49952=$E$4)*('HS - PY data'!$D$2:$D$49952=F$7)*('HS - PY data'!$F$2:$F$49952=$A9)*('HS - PY data'!$E$2:$E$49952=F$8)*('HS - PY data'!$G$2:$G$49952))</f>
        <v>0</v>
      </c>
      <c r="G9" s="69" cm="1">
        <f t="array" ref="G9">SUMPRODUCT(('HS - PY data'!$A$2:$A$49952=$C$4)*('HS - PY data'!$B$2:$B$49952=$D$4)*('HS - PY data'!$C$2:$C$49952=$E$4)*('HS - PY data'!$D$2:$D$49952=G$7)*('HS - PY data'!$F$2:$F$49952=$A9)*('HS - PY data'!$E$2:$E$49952=G$8)*('HS - PY data'!$G$2:$G$49952))</f>
        <v>0</v>
      </c>
      <c r="H9" s="70">
        <f>SUM(B9:G9)</f>
        <v>0</v>
      </c>
    </row>
    <row r="10" spans="1:8" ht="25.35" customHeight="1">
      <c r="A10" t="s">
        <v>227</v>
      </c>
      <c r="B10" s="69" cm="1">
        <f t="array" ref="B10">SUMPRODUCT(('HS - PY data'!$A$2:$A$49952=$C$4)*('HS - PY data'!$B$2:$B$49952=$D$4)*('HS - PY data'!$C$2:$C$49952=$E$4)*('HS - PY data'!$D$2:$D$49952=B$7)*('HS - PY data'!$F$2:$F$49952=$A10)*('HS - PY data'!$E$2:$E$49952=B$8)*('HS - PY data'!$G$2:$G$49952))</f>
        <v>0</v>
      </c>
      <c r="C10" s="69" cm="1">
        <f t="array" ref="C10">SUMPRODUCT(('HS - PY data'!$A$2:$A$49952=$C$4)*('HS - PY data'!$B$2:$B$49952=$D$4)*('HS - PY data'!$C$2:$C$49952=$E$4)*('HS - PY data'!$D$2:$D$49952=C$7)*('HS - PY data'!$F$2:$F$49952=$A10)*('HS - PY data'!$E$2:$E$49952=C$8)*('HS - PY data'!$G$2:$G$49952))</f>
        <v>0</v>
      </c>
      <c r="D10" s="69" cm="1">
        <f t="array" ref="D10">SUMPRODUCT(('HS - PY data'!$A$2:$A$49952=$C$4)*('HS - PY data'!$B$2:$B$49952=$D$4)*('HS - PY data'!$C$2:$C$49952=$E$4)*('HS - PY data'!$D$2:$D$49952=D$7)*('HS - PY data'!$F$2:$F$49952=$A10)*('HS - PY data'!$E$2:$E$49952=D$8)*('HS - PY data'!$G$2:$G$49952))</f>
        <v>0</v>
      </c>
      <c r="E10" s="69" cm="1">
        <f t="array" ref="E10">SUMPRODUCT(('HS - PY data'!$A$2:$A$49952=$C$4)*('HS - PY data'!$B$2:$B$49952=$D$4)*('HS - PY data'!$C$2:$C$49952=$E$4)*('HS - PY data'!$D$2:$D$49952=E$7)*('HS - PY data'!$F$2:$F$49952=$A10)*('HS - PY data'!$E$2:$E$49952=E$8)*('HS - PY data'!$G$2:$G$49952))</f>
        <v>0</v>
      </c>
      <c r="F10" s="69" cm="1">
        <f t="array" ref="F10">SUMPRODUCT(('HS - PY data'!$A$2:$A$49952=$C$4)*('HS - PY data'!$B$2:$B$49952=$D$4)*('HS - PY data'!$C$2:$C$49952=$E$4)*('HS - PY data'!$D$2:$D$49952=F$7)*('HS - PY data'!$F$2:$F$49952=$A10)*('HS - PY data'!$E$2:$E$49952=F$8)*('HS - PY data'!$G$2:$G$49952))</f>
        <v>0</v>
      </c>
      <c r="G10" s="69" cm="1">
        <f t="array" ref="G10">SUMPRODUCT(('HS - PY data'!$A$2:$A$49952=$C$4)*('HS - PY data'!$B$2:$B$49952=$D$4)*('HS - PY data'!$C$2:$C$49952=$E$4)*('HS - PY data'!$D$2:$D$49952=G$7)*('HS - PY data'!$F$2:$F$49952=$A10)*('HS - PY data'!$E$2:$E$49952=G$8)*('HS - PY data'!$G$2:$G$49952))</f>
        <v>0</v>
      </c>
      <c r="H10" s="70">
        <f>SUM(B10:G10)</f>
        <v>0</v>
      </c>
    </row>
    <row r="11" spans="1:8" ht="25.35" customHeight="1">
      <c r="A11" t="s">
        <v>201</v>
      </c>
      <c r="B11" s="69" cm="1">
        <f t="array" ref="B11">SUMPRODUCT(('HS - PY data'!$A$2:$A$49952=$C$4)*('HS - PY data'!$B$2:$B$49952=$D$4)*('HS - PY data'!$C$2:$C$49952=$E$4)*('HS - PY data'!$D$2:$D$49952=B$7)*('HS - PY data'!$F$2:$F$49952=$A11)*('HS - PY data'!$E$2:$E$49952=B$8)*('HS - PY data'!$G$2:$G$49952))</f>
        <v>0</v>
      </c>
      <c r="C11" s="69" cm="1">
        <f t="array" ref="C11">SUMPRODUCT(('HS - PY data'!$A$2:$A$49952=$C$4)*('HS - PY data'!$B$2:$B$49952=$D$4)*('HS - PY data'!$C$2:$C$49952=$E$4)*('HS - PY data'!$D$2:$D$49952=C$7)*('HS - PY data'!$F$2:$F$49952=$A11)*('HS - PY data'!$E$2:$E$49952=C$8)*('HS - PY data'!$G$2:$G$49952))</f>
        <v>0</v>
      </c>
      <c r="D11" s="69" cm="1">
        <f t="array" ref="D11">SUMPRODUCT(('HS - PY data'!$A$2:$A$49952=$C$4)*('HS - PY data'!$B$2:$B$49952=$D$4)*('HS - PY data'!$C$2:$C$49952=$E$4)*('HS - PY data'!$D$2:$D$49952=D$7)*('HS - PY data'!$F$2:$F$49952=$A11)*('HS - PY data'!$E$2:$E$49952=D$8)*('HS - PY data'!$G$2:$G$49952))</f>
        <v>0</v>
      </c>
      <c r="E11" s="69" cm="1">
        <f t="array" ref="E11">SUMPRODUCT(('HS - PY data'!$A$2:$A$49952=$C$4)*('HS - PY data'!$B$2:$B$49952=$D$4)*('HS - PY data'!$C$2:$C$49952=$E$4)*('HS - PY data'!$D$2:$D$49952=E$7)*('HS - PY data'!$F$2:$F$49952=$A11)*('HS - PY data'!$E$2:$E$49952=E$8)*('HS - PY data'!$G$2:$G$49952))</f>
        <v>0</v>
      </c>
      <c r="F11" s="69" cm="1">
        <f t="array" ref="F11">SUMPRODUCT(('HS - PY data'!$A$2:$A$49952=$C$4)*('HS - PY data'!$B$2:$B$49952=$D$4)*('HS - PY data'!$C$2:$C$49952=$E$4)*('HS - PY data'!$D$2:$D$49952=F$7)*('HS - PY data'!$F$2:$F$49952=$A11)*('HS - PY data'!$E$2:$E$49952=F$8)*('HS - PY data'!$G$2:$G$49952))</f>
        <v>0</v>
      </c>
      <c r="G11" s="69" cm="1">
        <f t="array" ref="G11">SUMPRODUCT(('HS - PY data'!$A$2:$A$49952=$C$4)*('HS - PY data'!$B$2:$B$49952=$D$4)*('HS - PY data'!$C$2:$C$49952=$E$4)*('HS - PY data'!$D$2:$D$49952=G$7)*('HS - PY data'!$F$2:$F$49952=$A11)*('HS - PY data'!$E$2:$E$49952=G$8)*('HS - PY data'!$G$2:$G$49952))</f>
        <v>0</v>
      </c>
      <c r="H11" s="70">
        <f>SUM(B11:G11)</f>
        <v>0</v>
      </c>
    </row>
    <row r="12" spans="1:8" ht="25.35" customHeight="1">
      <c r="A12" t="s">
        <v>202</v>
      </c>
      <c r="B12" s="69" cm="1">
        <f t="array" ref="B12">SUMPRODUCT(('HS - PY data'!$A$2:$A$49952=$C$4)*('HS - PY data'!$B$2:$B$49952=$D$4)*('HS - PY data'!$C$2:$C$49952=$E$4)*('HS - PY data'!$D$2:$D$49952=B$7)*('HS - PY data'!$F$2:$F$49952=$A12)*('HS - PY data'!$E$2:$E$49952=B$8)*('HS - PY data'!$G$2:$G$49952))</f>
        <v>0</v>
      </c>
      <c r="C12" s="69" cm="1">
        <f t="array" ref="C12">SUMPRODUCT(('HS - PY data'!$A$2:$A$49952=$C$4)*('HS - PY data'!$B$2:$B$49952=$D$4)*('HS - PY data'!$C$2:$C$49952=$E$4)*('HS - PY data'!$D$2:$D$49952=C$7)*('HS - PY data'!$F$2:$F$49952=$A12)*('HS - PY data'!$E$2:$E$49952=C$8)*('HS - PY data'!$G$2:$G$49952))</f>
        <v>0</v>
      </c>
      <c r="D12" s="69" cm="1">
        <f t="array" ref="D12">SUMPRODUCT(('HS - PY data'!$A$2:$A$49952=$C$4)*('HS - PY data'!$B$2:$B$49952=$D$4)*('HS - PY data'!$C$2:$C$49952=$E$4)*('HS - PY data'!$D$2:$D$49952=D$7)*('HS - PY data'!$F$2:$F$49952=$A12)*('HS - PY data'!$E$2:$E$49952=D$8)*('HS - PY data'!$G$2:$G$49952))</f>
        <v>0</v>
      </c>
      <c r="E12" s="69" cm="1">
        <f t="array" ref="E12">SUMPRODUCT(('HS - PY data'!$A$2:$A$49952=$C$4)*('HS - PY data'!$B$2:$B$49952=$D$4)*('HS - PY data'!$C$2:$C$49952=$E$4)*('HS - PY data'!$D$2:$D$49952=E$7)*('HS - PY data'!$F$2:$F$49952=$A12)*('HS - PY data'!$E$2:$E$49952=E$8)*('HS - PY data'!$G$2:$G$49952))</f>
        <v>0</v>
      </c>
      <c r="F12" s="69" cm="1">
        <f t="array" ref="F12">SUMPRODUCT(('HS - PY data'!$A$2:$A$49952=$C$4)*('HS - PY data'!$B$2:$B$49952=$D$4)*('HS - PY data'!$C$2:$C$49952=$E$4)*('HS - PY data'!$D$2:$D$49952=F$7)*('HS - PY data'!$F$2:$F$49952=$A12)*('HS - PY data'!$E$2:$E$49952=F$8)*('HS - PY data'!$G$2:$G$49952))</f>
        <v>0</v>
      </c>
      <c r="G12" s="69" cm="1">
        <f t="array" ref="G12">SUMPRODUCT(('HS - PY data'!$A$2:$A$49952=$C$4)*('HS - PY data'!$B$2:$B$49952=$D$4)*('HS - PY data'!$C$2:$C$49952=$E$4)*('HS - PY data'!$D$2:$D$49952=G$7)*('HS - PY data'!$F$2:$F$49952=$A12)*('HS - PY data'!$E$2:$E$49952=G$8)*('HS - PY data'!$G$2:$G$49952))</f>
        <v>0</v>
      </c>
      <c r="H12" s="70">
        <f>SUM(B12:G12)</f>
        <v>0</v>
      </c>
    </row>
    <row r="13" spans="1:8">
      <c r="A13" s="1"/>
    </row>
    <row r="14" spans="1:8">
      <c r="A14"/>
    </row>
    <row r="15" spans="1:8">
      <c r="A15"/>
    </row>
    <row r="16" spans="1:8">
      <c r="A16"/>
    </row>
    <row r="17" spans="1:1">
      <c r="A17"/>
    </row>
    <row r="18" spans="1:1">
      <c r="A18" s="1"/>
    </row>
    <row r="19" spans="1:1">
      <c r="A19" s="1"/>
    </row>
    <row r="20" spans="1:1">
      <c r="A20" s="1"/>
    </row>
    <row r="21" spans="1:1">
      <c r="A21" s="1"/>
    </row>
    <row r="22" spans="1:1">
      <c r="A22" s="1"/>
    </row>
    <row r="23" spans="1:1">
      <c r="A23" s="1"/>
    </row>
  </sheetData>
  <sheetProtection selectLockedCells="1"/>
  <mergeCells count="1">
    <mergeCell ref="C2:G2"/>
  </mergeCells>
  <conditionalFormatting sqref="H9:H12">
    <cfRule type="expression" dxfId="1" priority="9" stopIfTrue="1">
      <formula>IF(#REF!=1,TRUE, FALSE)</formula>
    </cfRule>
  </conditionalFormatting>
  <dataValidations count="1">
    <dataValidation type="whole" allowBlank="1" showInputMessage="1" showErrorMessage="1" errorTitle="Error" error="Please enter a whole number greater than zero and less than 2,000." sqref="B9:G12" xr:uid="{BF16DC99-7E08-457E-9A60-017EC69A1C1C}">
      <formula1>0</formula1>
      <formula2>2000</formula2>
    </dataValidation>
  </dataValidations>
  <printOptions horizontalCentered="1"/>
  <pageMargins left="0.74803149606299213" right="0.74803149606299213" top="0.98425196850393704" bottom="0.98425196850393704" header="0.51181102362204722" footer="0.51181102362204722"/>
  <pageSetup paperSize="9" scale="84" orientation="landscape" r:id="rId1"/>
  <headerFooter alignWithMargins="0">
    <oddHeader>&amp;LAnnual Returns 2016-17&amp;C&amp;"Aptos"&amp;10&amp;K000000 OFFICIAL&amp;1#_x000D_&amp;RHS1 - Health and Safety - Injuries during operational incidents&amp;LAnnual Returns 2016-17</oddHeader>
    <oddFooter>&amp;C_x000D_&amp;1#&amp;"Aptos"&amp;10&amp;K000000 OFFICIAL</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tabColor rgb="FFFF0000"/>
  </sheetPr>
  <dimension ref="A1:H23"/>
  <sheetViews>
    <sheetView showGridLines="0" zoomScale="90" zoomScaleNormal="90" workbookViewId="0"/>
  </sheetViews>
  <sheetFormatPr defaultColWidth="9.42578125" defaultRowHeight="12.75"/>
  <cols>
    <col min="1" max="1" width="34.5703125" style="2" customWidth="1"/>
    <col min="2" max="8" width="23.42578125" style="2" customWidth="1"/>
    <col min="9" max="13" width="10" style="2" customWidth="1"/>
    <col min="14" max="16384" width="9.42578125" style="2"/>
  </cols>
  <sheetData>
    <row r="1" spans="1:8" ht="27" customHeight="1">
      <c r="A1" s="1"/>
      <c r="B1" s="1"/>
    </row>
    <row r="2" spans="1:8" ht="36" customHeight="1">
      <c r="A2" s="1"/>
      <c r="B2" s="1"/>
      <c r="C2" s="131"/>
      <c r="D2" s="131"/>
      <c r="E2" s="131"/>
      <c r="F2" s="131"/>
      <c r="G2" s="131"/>
    </row>
    <row r="3" spans="1:8" ht="27" customHeight="1">
      <c r="A3" s="1"/>
      <c r="B3" s="1"/>
    </row>
    <row r="4" spans="1:8" ht="27" customHeight="1">
      <c r="A4" s="1"/>
      <c r="B4" s="1"/>
      <c r="C4" s="65" t="s">
        <v>7</v>
      </c>
      <c r="D4" s="66" t="str">
        <f>VLOOKUP(Cover!A6,Cover!B319:D331,2,FALSE)</f>
        <v>2024/25</v>
      </c>
      <c r="E4" s="67" t="str">
        <f>Cover!A10</f>
        <v>Cumbria</v>
      </c>
    </row>
    <row r="5" spans="1:8" s="1" customFormat="1" ht="18.75" customHeight="1">
      <c r="A5" s="71"/>
      <c r="B5" s="71"/>
      <c r="C5" s="71"/>
      <c r="D5" s="71"/>
      <c r="E5" s="71"/>
      <c r="F5" s="71"/>
      <c r="G5" s="71"/>
      <c r="H5" s="71"/>
    </row>
    <row r="6" spans="1:8" ht="27" customHeight="1">
      <c r="A6" s="3"/>
      <c r="B6" s="4"/>
      <c r="C6" s="4"/>
      <c r="D6" s="1"/>
      <c r="E6" s="1"/>
      <c r="F6" s="1"/>
      <c r="G6" s="1"/>
    </row>
    <row r="7" spans="1:8" s="73" customFormat="1" ht="25.35" customHeight="1">
      <c r="A7" s="72"/>
      <c r="B7" s="76" t="s">
        <v>205</v>
      </c>
      <c r="C7" s="76" t="s">
        <v>205</v>
      </c>
      <c r="D7" s="76" t="s">
        <v>206</v>
      </c>
      <c r="E7" s="76" t="s">
        <v>206</v>
      </c>
      <c r="F7" s="76" t="s">
        <v>228</v>
      </c>
      <c r="G7" s="76" t="s">
        <v>228</v>
      </c>
      <c r="H7" s="73" t="s">
        <v>196</v>
      </c>
    </row>
    <row r="8" spans="1:8" s="72" customFormat="1" ht="25.35" customHeight="1">
      <c r="B8" s="68" t="s">
        <v>197</v>
      </c>
      <c r="C8" s="68" t="s">
        <v>198</v>
      </c>
      <c r="D8" s="68" t="s">
        <v>197</v>
      </c>
      <c r="E8" s="68" t="s">
        <v>198</v>
      </c>
      <c r="F8" s="68" t="s">
        <v>197</v>
      </c>
      <c r="G8" s="68" t="s">
        <v>198</v>
      </c>
      <c r="H8" s="73"/>
    </row>
    <row r="9" spans="1:8" ht="25.35" customHeight="1">
      <c r="A9" s="3" t="s">
        <v>199</v>
      </c>
      <c r="B9" s="69" cm="1">
        <f t="array" ref="B9">SUMPRODUCT(('HS - PY data'!$A$2:$A$49952=$C$4)*('HS - PY data'!$B$2:$B$49952=$D$4)*('HS - PY data'!$C$2:$C$49952=$E$4)*('HS - PY data'!$D$2:$D$49952=B$7)*('HS - PY data'!$F$2:$F$49952=$A9)*('HS - PY data'!$E$2:$E$49952=B$8)*('HS - PY data'!$G$2:$G$49952))</f>
        <v>0</v>
      </c>
      <c r="C9" s="69" cm="1">
        <f t="array" ref="C9">SUMPRODUCT(('HS - PY data'!$A$2:$A$49952=$C$4)*('HS - PY data'!$B$2:$B$49952=$D$4)*('HS - PY data'!$C$2:$C$49952=$E$4)*('HS - PY data'!$D$2:$D$49952=C$7)*('HS - PY data'!$F$2:$F$49952=$A9)*('HS - PY data'!$E$2:$E$49952=C$8)*('HS - PY data'!$G$2:$G$49952))</f>
        <v>0</v>
      </c>
      <c r="D9" s="69" cm="1">
        <f t="array" ref="D9">SUMPRODUCT(('HS - PY data'!$A$2:$A$49952=$C$4)*('HS - PY data'!$B$2:$B$49952=$D$4)*('HS - PY data'!$C$2:$C$49952=$E$4)*('HS - PY data'!$D$2:$D$49952=D$7)*('HS - PY data'!$F$2:$F$49952=$A9)*('HS - PY data'!$E$2:$E$49952=D$8)*('HS - PY data'!$G$2:$G$49952))</f>
        <v>0</v>
      </c>
      <c r="E9" s="69" cm="1">
        <f t="array" ref="E9">SUMPRODUCT(('HS - PY data'!$A$2:$A$49952=$C$4)*('HS - PY data'!$B$2:$B$49952=$D$4)*('HS - PY data'!$C$2:$C$49952=$E$4)*('HS - PY data'!$D$2:$D$49952=E$7)*('HS - PY data'!$F$2:$F$49952=$A9)*('HS - PY data'!$E$2:$E$49952=E$8)*('HS - PY data'!$G$2:$G$49952))</f>
        <v>0</v>
      </c>
      <c r="F9" s="69" cm="1">
        <f t="array" ref="F9">SUMPRODUCT(('HS - PY data'!$A$2:$A$49952=$C$4)*('HS - PY data'!$B$2:$B$49952=$D$4)*('HS - PY data'!$C$2:$C$49952=$E$4)*('HS - PY data'!$D$2:$D$49952=F$7)*('HS - PY data'!$F$2:$F$49952=$A9)*('HS - PY data'!$E$2:$E$49952=F$8)*('HS - PY data'!$G$2:$G$49952))</f>
        <v>0</v>
      </c>
      <c r="G9" s="69" cm="1">
        <f t="array" ref="G9">SUMPRODUCT(('HS - PY data'!$A$2:$A$49952=$C$4)*('HS - PY data'!$B$2:$B$49952=$D$4)*('HS - PY data'!$C$2:$C$49952=$E$4)*('HS - PY data'!$D$2:$D$49952=G$7)*('HS - PY data'!$F$2:$F$49952=$A9)*('HS - PY data'!$E$2:$E$49952=G$8)*('HS - PY data'!$G$2:$G$49952))</f>
        <v>0</v>
      </c>
      <c r="H9" s="70">
        <f>SUM(B9:G9)</f>
        <v>0</v>
      </c>
    </row>
    <row r="10" spans="1:8" ht="25.35" customHeight="1">
      <c r="A10" t="s">
        <v>227</v>
      </c>
      <c r="B10" s="69" cm="1">
        <f t="array" ref="B10">SUMPRODUCT(('HS - PY data'!$A$2:$A$49952=$C$4)*('HS - PY data'!$B$2:$B$49952=$D$4)*('HS - PY data'!$C$2:$C$49952=$E$4)*('HS - PY data'!$D$2:$D$49952=B$7)*('HS - PY data'!$F$2:$F$49952=$A10)*('HS - PY data'!$E$2:$E$49952=B$8)*('HS - PY data'!$G$2:$G$49952))</f>
        <v>0</v>
      </c>
      <c r="C10" s="69" cm="1">
        <f t="array" ref="C10">SUMPRODUCT(('HS - PY data'!$A$2:$A$49952=$C$4)*('HS - PY data'!$B$2:$B$49952=$D$4)*('HS - PY data'!$C$2:$C$49952=$E$4)*('HS - PY data'!$D$2:$D$49952=C$7)*('HS - PY data'!$F$2:$F$49952=$A10)*('HS - PY data'!$E$2:$E$49952=C$8)*('HS - PY data'!$G$2:$G$49952))</f>
        <v>0</v>
      </c>
      <c r="D10" s="69" cm="1">
        <f t="array" ref="D10">SUMPRODUCT(('HS - PY data'!$A$2:$A$49952=$C$4)*('HS - PY data'!$B$2:$B$49952=$D$4)*('HS - PY data'!$C$2:$C$49952=$E$4)*('HS - PY data'!$D$2:$D$49952=D$7)*('HS - PY data'!$F$2:$F$49952=$A10)*('HS - PY data'!$E$2:$E$49952=D$8)*('HS - PY data'!$G$2:$G$49952))</f>
        <v>0</v>
      </c>
      <c r="E10" s="69" cm="1">
        <f t="array" ref="E10">SUMPRODUCT(('HS - PY data'!$A$2:$A$49952=$C$4)*('HS - PY data'!$B$2:$B$49952=$D$4)*('HS - PY data'!$C$2:$C$49952=$E$4)*('HS - PY data'!$D$2:$D$49952=E$7)*('HS - PY data'!$F$2:$F$49952=$A10)*('HS - PY data'!$E$2:$E$49952=E$8)*('HS - PY data'!$G$2:$G$49952))</f>
        <v>0</v>
      </c>
      <c r="F10" s="69" cm="1">
        <f t="array" ref="F10">SUMPRODUCT(('HS - PY data'!$A$2:$A$49952=$C$4)*('HS - PY data'!$B$2:$B$49952=$D$4)*('HS - PY data'!$C$2:$C$49952=$E$4)*('HS - PY data'!$D$2:$D$49952=F$7)*('HS - PY data'!$F$2:$F$49952=$A10)*('HS - PY data'!$E$2:$E$49952=F$8)*('HS - PY data'!$G$2:$G$49952))</f>
        <v>0</v>
      </c>
      <c r="G10" s="69" cm="1">
        <f t="array" ref="G10">SUMPRODUCT(('HS - PY data'!$A$2:$A$49952=$C$4)*('HS - PY data'!$B$2:$B$49952=$D$4)*('HS - PY data'!$C$2:$C$49952=$E$4)*('HS - PY data'!$D$2:$D$49952=G$7)*('HS - PY data'!$F$2:$F$49952=$A10)*('HS - PY data'!$E$2:$E$49952=G$8)*('HS - PY data'!$G$2:$G$49952))</f>
        <v>0</v>
      </c>
      <c r="H10" s="70">
        <f>SUM(B10:G10)</f>
        <v>0</v>
      </c>
    </row>
    <row r="11" spans="1:8" ht="25.35" customHeight="1">
      <c r="A11" t="s">
        <v>201</v>
      </c>
      <c r="B11" s="69" cm="1">
        <f t="array" ref="B11">SUMPRODUCT(('HS - PY data'!$A$2:$A$49952=$C$4)*('HS - PY data'!$B$2:$B$49952=$D$4)*('HS - PY data'!$C$2:$C$49952=$E$4)*('HS - PY data'!$D$2:$D$49952=B$7)*('HS - PY data'!$F$2:$F$49952=$A11)*('HS - PY data'!$E$2:$E$49952=B$8)*('HS - PY data'!$G$2:$G$49952))</f>
        <v>0</v>
      </c>
      <c r="C11" s="69" cm="1">
        <f t="array" ref="C11">SUMPRODUCT(('HS - PY data'!$A$2:$A$49952=$C$4)*('HS - PY data'!$B$2:$B$49952=$D$4)*('HS - PY data'!$C$2:$C$49952=$E$4)*('HS - PY data'!$D$2:$D$49952=C$7)*('HS - PY data'!$F$2:$F$49952=$A11)*('HS - PY data'!$E$2:$E$49952=C$8)*('HS - PY data'!$G$2:$G$49952))</f>
        <v>0</v>
      </c>
      <c r="D11" s="69" cm="1">
        <f t="array" ref="D11">SUMPRODUCT(('HS - PY data'!$A$2:$A$49952=$C$4)*('HS - PY data'!$B$2:$B$49952=$D$4)*('HS - PY data'!$C$2:$C$49952=$E$4)*('HS - PY data'!$D$2:$D$49952=D$7)*('HS - PY data'!$F$2:$F$49952=$A11)*('HS - PY data'!$E$2:$E$49952=D$8)*('HS - PY data'!$G$2:$G$49952))</f>
        <v>0</v>
      </c>
      <c r="E11" s="69" cm="1">
        <f t="array" ref="E11">SUMPRODUCT(('HS - PY data'!$A$2:$A$49952=$C$4)*('HS - PY data'!$B$2:$B$49952=$D$4)*('HS - PY data'!$C$2:$C$49952=$E$4)*('HS - PY data'!$D$2:$D$49952=E$7)*('HS - PY data'!$F$2:$F$49952=$A11)*('HS - PY data'!$E$2:$E$49952=E$8)*('HS - PY data'!$G$2:$G$49952))</f>
        <v>0</v>
      </c>
      <c r="F11" s="69" cm="1">
        <f t="array" ref="F11">SUMPRODUCT(('HS - PY data'!$A$2:$A$49952=$C$4)*('HS - PY data'!$B$2:$B$49952=$D$4)*('HS - PY data'!$C$2:$C$49952=$E$4)*('HS - PY data'!$D$2:$D$49952=F$7)*('HS - PY data'!$F$2:$F$49952=$A11)*('HS - PY data'!$E$2:$E$49952=F$8)*('HS - PY data'!$G$2:$G$49952))</f>
        <v>0</v>
      </c>
      <c r="G11" s="69" cm="1">
        <f t="array" ref="G11">SUMPRODUCT(('HS - PY data'!$A$2:$A$49952=$C$4)*('HS - PY data'!$B$2:$B$49952=$D$4)*('HS - PY data'!$C$2:$C$49952=$E$4)*('HS - PY data'!$D$2:$D$49952=G$7)*('HS - PY data'!$F$2:$F$49952=$A11)*('HS - PY data'!$E$2:$E$49952=G$8)*('HS - PY data'!$G$2:$G$49952))</f>
        <v>0</v>
      </c>
      <c r="H11" s="70">
        <f>SUM(B11:G11)</f>
        <v>0</v>
      </c>
    </row>
    <row r="12" spans="1:8" ht="25.35" customHeight="1">
      <c r="A12" t="s">
        <v>202</v>
      </c>
      <c r="B12" s="69" cm="1">
        <f t="array" ref="B12">SUMPRODUCT(('HS - PY data'!$A$2:$A$49952=$C$4)*('HS - PY data'!$B$2:$B$49952=$D$4)*('HS - PY data'!$C$2:$C$49952=$E$4)*('HS - PY data'!$D$2:$D$49952=B$7)*('HS - PY data'!$F$2:$F$49952=$A12)*('HS - PY data'!$E$2:$E$49952=B$8)*('HS - PY data'!$G$2:$G$49952))</f>
        <v>0</v>
      </c>
      <c r="C12" s="69" cm="1">
        <f t="array" ref="C12">SUMPRODUCT(('HS - PY data'!$A$2:$A$49952=$C$4)*('HS - PY data'!$B$2:$B$49952=$D$4)*('HS - PY data'!$C$2:$C$49952=$E$4)*('HS - PY data'!$D$2:$D$49952=C$7)*('HS - PY data'!$F$2:$F$49952=$A12)*('HS - PY data'!$E$2:$E$49952=C$8)*('HS - PY data'!$G$2:$G$49952))</f>
        <v>0</v>
      </c>
      <c r="D12" s="69" cm="1">
        <f t="array" ref="D12">SUMPRODUCT(('HS - PY data'!$A$2:$A$49952=$C$4)*('HS - PY data'!$B$2:$B$49952=$D$4)*('HS - PY data'!$C$2:$C$49952=$E$4)*('HS - PY data'!$D$2:$D$49952=D$7)*('HS - PY data'!$F$2:$F$49952=$A12)*('HS - PY data'!$E$2:$E$49952=D$8)*('HS - PY data'!$G$2:$G$49952))</f>
        <v>0</v>
      </c>
      <c r="E12" s="69" cm="1">
        <f t="array" ref="E12">SUMPRODUCT(('HS - PY data'!$A$2:$A$49952=$C$4)*('HS - PY data'!$B$2:$B$49952=$D$4)*('HS - PY data'!$C$2:$C$49952=$E$4)*('HS - PY data'!$D$2:$D$49952=E$7)*('HS - PY data'!$F$2:$F$49952=$A12)*('HS - PY data'!$E$2:$E$49952=E$8)*('HS - PY data'!$G$2:$G$49952))</f>
        <v>0</v>
      </c>
      <c r="F12" s="69" cm="1">
        <f t="array" ref="F12">SUMPRODUCT(('HS - PY data'!$A$2:$A$49952=$C$4)*('HS - PY data'!$B$2:$B$49952=$D$4)*('HS - PY data'!$C$2:$C$49952=$E$4)*('HS - PY data'!$D$2:$D$49952=F$7)*('HS - PY data'!$F$2:$F$49952=$A12)*('HS - PY data'!$E$2:$E$49952=F$8)*('HS - PY data'!$G$2:$G$49952))</f>
        <v>0</v>
      </c>
      <c r="G12" s="69" cm="1">
        <f t="array" ref="G12">SUMPRODUCT(('HS - PY data'!$A$2:$A$49952=$C$4)*('HS - PY data'!$B$2:$B$49952=$D$4)*('HS - PY data'!$C$2:$C$49952=$E$4)*('HS - PY data'!$D$2:$D$49952=G$7)*('HS - PY data'!$F$2:$F$49952=$A12)*('HS - PY data'!$E$2:$E$49952=G$8)*('HS - PY data'!$G$2:$G$49952))</f>
        <v>0</v>
      </c>
      <c r="H12" s="70">
        <f>SUM(B12:G12)</f>
        <v>0</v>
      </c>
    </row>
    <row r="13" spans="1:8">
      <c r="A13" s="1"/>
    </row>
    <row r="14" spans="1:8">
      <c r="A14"/>
    </row>
    <row r="15" spans="1:8">
      <c r="A15"/>
    </row>
    <row r="16" spans="1:8">
      <c r="A16"/>
    </row>
    <row r="17" spans="1:1">
      <c r="A17"/>
    </row>
    <row r="18" spans="1:1">
      <c r="A18" s="1"/>
    </row>
    <row r="19" spans="1:1">
      <c r="A19" s="1"/>
    </row>
    <row r="20" spans="1:1">
      <c r="A20" s="1"/>
    </row>
    <row r="21" spans="1:1">
      <c r="A21" s="1"/>
    </row>
    <row r="22" spans="1:1">
      <c r="A22" s="1"/>
    </row>
    <row r="23" spans="1:1">
      <c r="A23" s="1"/>
    </row>
  </sheetData>
  <sheetProtection selectLockedCells="1"/>
  <mergeCells count="1">
    <mergeCell ref="C2:G2"/>
  </mergeCells>
  <conditionalFormatting sqref="H9:H12">
    <cfRule type="expression" dxfId="0" priority="1" stopIfTrue="1">
      <formula>IF(#REF!=1,TRUE, FALSE)</formula>
    </cfRule>
  </conditionalFormatting>
  <dataValidations count="1">
    <dataValidation type="whole" allowBlank="1" showInputMessage="1" showErrorMessage="1" errorTitle="Error" error="Please enter a whole number greater than zero and less than 2,000." sqref="B9:G12" xr:uid="{BED7AE56-0A16-4515-B7A2-C1FB0267CC31}">
      <formula1>0</formula1>
      <formula2>2000</formula2>
    </dataValidation>
  </dataValidations>
  <printOptions horizontalCentered="1"/>
  <pageMargins left="0.74803149606299213" right="0.74803149606299213" top="0.98425196850393704" bottom="0.98425196850393704" header="0.51181102362204722" footer="0.51181102362204722"/>
  <pageSetup paperSize="9" scale="84" orientation="landscape" r:id="rId1"/>
  <headerFooter alignWithMargins="0">
    <oddHeader>&amp;LAnnual Returns 2016-17&amp;C&amp;"Aptos"&amp;10&amp;K000000 OFFICIAL&amp;1#_x000D_&amp;RHS1 - Health and Safety - Injuries during operational incidents&amp;LAnnual Returns 2016-17</oddHeader>
    <oddFooter>&amp;C_x000D_&amp;1#&amp;"Aptos"&amp;10&amp;K000000 OFFICIAL</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D3DDE5-3D86-4D04-A1A6-97D3C09CBEB2}">
  <sheetPr codeName="Sheet8">
    <tabColor rgb="FFFF0000"/>
  </sheetPr>
  <dimension ref="A5:A9"/>
  <sheetViews>
    <sheetView workbookViewId="0"/>
  </sheetViews>
  <sheetFormatPr defaultColWidth="9.140625" defaultRowHeight="12.75"/>
  <cols>
    <col min="1" max="1" width="23.85546875" style="54" customWidth="1"/>
    <col min="2" max="16384" width="9.140625" style="54"/>
  </cols>
  <sheetData>
    <row r="5" spans="1:1">
      <c r="A5" s="53" t="s">
        <v>229</v>
      </c>
    </row>
    <row r="6" spans="1:1">
      <c r="A6" s="54">
        <v>40</v>
      </c>
    </row>
    <row r="7" spans="1:1">
      <c r="A7" s="53" t="s">
        <v>230</v>
      </c>
    </row>
    <row r="8" spans="1:1">
      <c r="A8" s="54">
        <v>0.5</v>
      </c>
    </row>
    <row r="9" spans="1:1">
      <c r="A9" s="54">
        <v>1.5</v>
      </c>
    </row>
  </sheetData>
  <pageMargins left="0.7" right="0.7" top="0.75" bottom="0.75" header="0.3" footer="0.3"/>
  <headerFooter>
    <oddHeader>&amp;C&amp;"Aptos"&amp;10&amp;K000000 OFFICIAL&amp;1#_x000D_</oddHeader>
    <oddFooter>&amp;C_x000D_&amp;1#&amp;"Aptos"&amp;10&amp;K000000 OFFICIAL</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HOMigrated xmlns="f2aea08d-7fae-41c6-92ff-91df552a059b">false</HOMigrated>
    <lcf76f155ced4ddcb4097134ff3c332f xmlns="f8e9d96c-a07e-4933-9220-38ca5ec96d4e">
      <Terms xmlns="http://schemas.microsoft.com/office/infopath/2007/PartnerControls"/>
    </lcf76f155ced4ddcb4097134ff3c332f>
    <lae2bfa7b6474897ab4a53f76ea236c7 xmlns="f2aea08d-7fae-41c6-92ff-91df552a059b">
      <Terms xmlns="http://schemas.microsoft.com/office/infopath/2007/PartnerControls">
        <TermInfo xmlns="http://schemas.microsoft.com/office/infopath/2007/PartnerControls">
          <TermName xmlns="http://schemas.microsoft.com/office/infopath/2007/PartnerControls">Official</TermName>
          <TermId xmlns="http://schemas.microsoft.com/office/infopath/2007/PartnerControls">14c80daa-741b-422c-9722-f71693c9ede4</TermId>
        </TermInfo>
      </Terms>
    </lae2bfa7b6474897ab4a53f76ea236c7>
    <TaxCatchAll xmlns="f2aea08d-7fae-41c6-92ff-91df552a059b">
      <Value>3</Value>
      <Value>2</Value>
      <Value>1</Value>
    </TaxCatchAll>
    <HOworkspaceType xmlns="f2aea08d-7fae-41c6-92ff-91df552a059b">Continuous Teamwork</HOworkspaceType>
    <id2a76e1917c4be6961e12b425f79256 xmlns="f2aea08d-7fae-41c6-92ff-91df552a059b">
      <Terms xmlns="http://schemas.microsoft.com/office/infopath/2007/PartnerControls">
        <TermInfo xmlns="http://schemas.microsoft.com/office/infopath/2007/PartnerControls">
          <TermName xmlns="http://schemas.microsoft.com/office/infopath/2007/PartnerControls">Police and Fire Analysis Unit (A)</TermName>
          <TermId xmlns="http://schemas.microsoft.com/office/infopath/2007/PartnerControls">755c0ad7-1cd3-4e30-b1c3-86b5a4ff9bf7</TermId>
        </TermInfo>
      </Terms>
    </id2a76e1917c4be6961e12b425f79256>
    <ie640504e2964b25856743efbfa846d6 xmlns="f2aea08d-7fae-41c6-92ff-91df552a059b">
      <Terms xmlns="http://schemas.microsoft.com/office/infopath/2007/PartnerControls">
        <TermInfo xmlns="http://schemas.microsoft.com/office/infopath/2007/PartnerControls">
          <TermName xmlns="http://schemas.microsoft.com/office/infopath/2007/PartnerControls">Crown</TermName>
          <TermId xmlns="http://schemas.microsoft.com/office/infopath/2007/PartnerControls">69589897-2828-4761-976e-717fd8e631c9</TermId>
        </TermInfo>
      </Terms>
    </ie640504e2964b25856743efbfa846d6>
    <i8d248d2f27048728597da4d9cc9bde9 xmlns="f2aea08d-7fae-41c6-92ff-91df552a059b" xsi:nil="true"/>
    <TaxCatchAllLabel xmlns="f2aea08d-7fae-41c6-92ff-91df552a059b" xsi:nil="true"/>
  </documentManagement>
</p:properties>
</file>

<file path=customXml/item2.xml><?xml version="1.0" encoding="utf-8"?>
<?mso-contentType ?>
<FormTemplates xmlns="http://schemas.microsoft.com/sharepoint/v3/contenttype/forms"/>
</file>

<file path=customXml/item3.xml><?xml version="1.0" encoding="utf-8"?>
<ct:contentTypeSchema xmlns:ct="http://schemas.microsoft.com/office/2006/metadata/contentType" xmlns:ma="http://schemas.microsoft.com/office/2006/metadata/properties/metaAttributes" ct:_="" ma:_="" ma:contentTypeName="HO document" ma:contentTypeID="0x010100B49A4B2752467149B314925194543C540100BA87D6D06E82E64EBECCFEC12E2E263E" ma:contentTypeVersion="47" ma:contentTypeDescription="Create a new document." ma:contentTypeScope="" ma:versionID="9520cb303aee352842bd1bcbd0bb13f4">
  <xsd:schema xmlns:xsd="http://www.w3.org/2001/XMLSchema" xmlns:xs="http://www.w3.org/2001/XMLSchema" xmlns:p="http://schemas.microsoft.com/office/2006/metadata/properties" xmlns:ns2="f2aea08d-7fae-41c6-92ff-91df552a059b" xmlns:ns3="f8e9d96c-a07e-4933-9220-38ca5ec96d4e" targetNamespace="http://schemas.microsoft.com/office/2006/metadata/properties" ma:root="true" ma:fieldsID="ccc15b9e1335e42b2f8779d952448836" ns2:_="" ns3:_="">
    <xsd:import namespace="f2aea08d-7fae-41c6-92ff-91df552a059b"/>
    <xsd:import namespace="f8e9d96c-a07e-4933-9220-38ca5ec96d4e"/>
    <xsd:element name="properties">
      <xsd:complexType>
        <xsd:sequence>
          <xsd:element name="documentManagement">
            <xsd:complexType>
              <xsd:all>
                <xsd:element ref="ns2:i8d248d2f27048728597da4d9cc9bde9" minOccurs="0"/>
                <xsd:element ref="ns2:TaxCatchAll" minOccurs="0"/>
                <xsd:element ref="ns2:HOworkspaceType" minOccurs="0"/>
                <xsd:element ref="ns2:HOMigrated" minOccurs="0"/>
                <xsd:element ref="ns2:TaxCatchAllLabel" minOccurs="0"/>
                <xsd:element ref="ns2:ie640504e2964b25856743efbfa846d6" minOccurs="0"/>
                <xsd:element ref="ns2:id2a76e1917c4be6961e12b425f79256" minOccurs="0"/>
                <xsd:element ref="ns2:lae2bfa7b6474897ab4a53f76ea236c7" minOccurs="0"/>
                <xsd:element ref="ns3:MediaServiceMetadata" minOccurs="0"/>
                <xsd:element ref="ns3:MediaServiceFastMetadata" minOccurs="0"/>
                <xsd:element ref="ns3:MediaServiceSearchProperties" minOccurs="0"/>
                <xsd:element ref="ns3:MediaServiceDateTaken" minOccurs="0"/>
                <xsd:element ref="ns3:MediaServiceGenerationTime" minOccurs="0"/>
                <xsd:element ref="ns3:MediaServiceEventHashCode" minOccurs="0"/>
                <xsd:element ref="ns3:MediaLengthInSeconds" minOccurs="0"/>
                <xsd:element ref="ns3:MediaServiceOCR" minOccurs="0"/>
                <xsd:element ref="ns3:lcf76f155ced4ddcb4097134ff3c332f"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2aea08d-7fae-41c6-92ff-91df552a059b" elementFormDefault="qualified">
    <xsd:import namespace="http://schemas.microsoft.com/office/2006/documentManagement/types"/>
    <xsd:import namespace="http://schemas.microsoft.com/office/infopath/2007/PartnerControls"/>
    <xsd:element name="i8d248d2f27048728597da4d9cc9bde9" ma:index="8" nillable="true" ma:displayName="Government Security Classification_0" ma:hidden="true" ma:internalName="i8d248d2f27048728597da4d9cc9bde9" ma:readOnly="false">
      <xsd:simpleType>
        <xsd:restriction base="dms:Note"/>
      </xsd:simpleType>
    </xsd:element>
    <xsd:element name="TaxCatchAll" ma:index="9" nillable="true" ma:displayName="Taxonomy Catch All Column" ma:hidden="true" ma:list="{1d06f445-af8f-4fa1-b139-95757d447b16}" ma:internalName="TaxCatchAll" ma:readOnly="false" ma:showField="CatchAllData"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HOworkspaceType" ma:index="13" nillable="true" ma:displayName="Workspace Type" ma:default="Continuous Teamwork" ma:internalName="HOworkspaceType" ma:readOnly="false">
      <xsd:simpleType>
        <xsd:restriction base="dms:Text"/>
      </xsd:simpleType>
    </xsd:element>
    <xsd:element name="HOMigrated" ma:index="14" nillable="true" ma:displayName="Migrated" ma:default="0" ma:internalName="HOMigrated" ma:readOnly="false">
      <xsd:simpleType>
        <xsd:restriction base="dms:Boolean"/>
      </xsd:simpleType>
    </xsd:element>
    <xsd:element name="TaxCatchAllLabel" ma:index="15" nillable="true" ma:displayName="Taxonomy Catch All Column1" ma:hidden="true" ma:list="{1d06f445-af8f-4fa1-b139-95757d447b16}" ma:internalName="TaxCatchAllLabel" ma:readOnly="false" ma:showField="CatchAllDataLabel"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ie640504e2964b25856743efbfa846d6" ma:index="16" ma:taxonomy="true" ma:internalName="ie640504e2964b25856743efbfa846d6" ma:taxonomyFieldName="HOCopyrightLevel" ma:displayName="Copyright level" ma:readOnly="false" ma:default="2;#Crown|69589897-2828-4761-976e-717fd8e631c9" ma:fieldId="{cf401361-b24e-474c-b011-be6eb76c0e76}" ma:sspId="756ca3a0-e5c0-40d7-8522-e7aae8be603d" ma:termSetId="bdd694c6-7266-48f2-93d6-d15992cd203e" ma:anchorId="00000000-0000-0000-0000-000000000000" ma:open="false" ma:isKeyword="false">
      <xsd:complexType>
        <xsd:sequence>
          <xsd:element ref="pc:Terms" minOccurs="0" maxOccurs="1"/>
        </xsd:sequence>
      </xsd:complexType>
    </xsd:element>
    <xsd:element name="id2a76e1917c4be6961e12b425f79256" ma:index="17" nillable="true" ma:taxonomy="true" ma:internalName="id2a76e1917c4be6961e12b425f79256" ma:taxonomyFieldName="HOBusinessUnit" ma:displayName="Business unit" ma:readOnly="false" ma:default="1;#Police and Fire Analysis Unit (A)|755c0ad7-1cd3-4e30-b1c3-86b5a4ff9bf7" ma:fieldId="{3b5e598a-f171-4153-9648-acf311d7477b}" ma:sspId="756ca3a0-e5c0-40d7-8522-e7aae8be603d" ma:termSetId="55eb802e-fbca-455b-a7d2-d5919d4ea3d2" ma:anchorId="00000000-0000-0000-0000-000000000000" ma:open="false" ma:isKeyword="false">
      <xsd:complexType>
        <xsd:sequence>
          <xsd:element ref="pc:Terms" minOccurs="0" maxOccurs="1"/>
        </xsd:sequence>
      </xsd:complexType>
    </xsd:element>
    <xsd:element name="lae2bfa7b6474897ab4a53f76ea236c7" ma:index="18" ma:taxonomy="true" ma:internalName="lae2bfa7b6474897ab4a53f76ea236c7" ma:taxonomyFieldName="HOGovernmentSecurityClassification" ma:displayName="Government Security Classification" ma:readOnly="false" ma:default="3;#Official|14c80daa-741b-422c-9722-f71693c9ede4" ma:fieldId="{5ae2bfa7-b647-4897-ab4a-53f76ea236c7}" ma:sspId="756ca3a0-e5c0-40d7-8522-e7aae8be603d" ma:termSetId="56209604-fc17-4ace-9b7b-f45f0f17d50b"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f8e9d96c-a07e-4933-9220-38ca5ec96d4e" elementFormDefault="qualified">
    <xsd:import namespace="http://schemas.microsoft.com/office/2006/documentManagement/types"/>
    <xsd:import namespace="http://schemas.microsoft.com/office/infopath/2007/PartnerControls"/>
    <xsd:element name="MediaServiceMetadata" ma:index="19" nillable="true" ma:displayName="MediaServiceMetadata" ma:hidden="true" ma:internalName="MediaServiceMetadata" ma:readOnly="true">
      <xsd:simpleType>
        <xsd:restriction base="dms:Note"/>
      </xsd:simpleType>
    </xsd:element>
    <xsd:element name="MediaServiceFastMetadata" ma:index="20" nillable="true" ma:displayName="MediaServiceFastMetadata" ma:hidden="true" ma:internalName="MediaServiceFastMetadata" ma:readOnly="true">
      <xsd:simpleType>
        <xsd:restriction base="dms:Note"/>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DateTaken" ma:index="22" nillable="true" ma:displayName="MediaServiceDateTaken" ma:hidden="true" ma:indexed="true" ma:internalName="MediaServiceDateTaken" ma:readOnly="true">
      <xsd:simpleType>
        <xsd:restriction base="dms:Text"/>
      </xsd:simpleType>
    </xsd:element>
    <xsd:element name="MediaServiceGenerationTime" ma:index="23" nillable="true" ma:displayName="MediaServiceGenerationTime" ma:hidden="true" ma:internalName="MediaServiceGenerationTime" ma:readOnly="true">
      <xsd:simpleType>
        <xsd:restriction base="dms:Text"/>
      </xsd:simpleType>
    </xsd:element>
    <xsd:element name="MediaServiceEventHashCode" ma:index="24" nillable="true" ma:displayName="MediaServiceEventHashCode" ma:hidden="true" ma:internalName="MediaServiceEventHashCode" ma:readOnly="true">
      <xsd:simpleType>
        <xsd:restriction base="dms:Text"/>
      </xsd:simpleType>
    </xsd:element>
    <xsd:element name="MediaLengthInSeconds" ma:index="25" nillable="true" ma:displayName="MediaLengthInSeconds" ma:hidden="true" ma:internalName="MediaLengthInSeconds" ma:readOnly="true">
      <xsd:simpleType>
        <xsd:restriction base="dms:Unknown"/>
      </xsd:simpleType>
    </xsd:element>
    <xsd:element name="MediaServiceOCR" ma:index="26" nillable="true" ma:displayName="Extracted Text" ma:internalName="MediaServiceOCR" ma:readOnly="true">
      <xsd:simpleType>
        <xsd:restriction base="dms:Note">
          <xsd:maxLength value="255"/>
        </xsd:restriction>
      </xsd:simpleType>
    </xsd:element>
    <xsd:element name="lcf76f155ced4ddcb4097134ff3c332f" ma:index="28" nillable="true" ma:taxonomy="true" ma:internalName="lcf76f155ced4ddcb4097134ff3c332f" ma:taxonomyFieldName="MediaServiceImageTags" ma:displayName="Image Tags" ma:readOnly="false" ma:fieldId="{5cf76f15-5ced-4ddc-b409-7134ff3c332f}" ma:taxonomyMulti="true" ma:sspId="756ca3a0-e5c0-40d7-8522-e7aae8be603d" ma:termSetId="09814cd3-568e-fe90-9814-8d621ff8fb84" ma:anchorId="fba54fb3-c3e1-fe81-a776-ca4b69148c4d" ma:open="true" ma:isKeyword="false">
      <xsd:complexType>
        <xsd:sequence>
          <xsd:element ref="pc:Terms" minOccurs="0" maxOccurs="1"/>
        </xsd:sequence>
      </xsd:complexType>
    </xsd:element>
    <xsd:element name="MediaServiceBillingMetadata" ma:index="29"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sisl xmlns:xsi="http://www.w3.org/2001/XMLSchema-instance" xmlns:xsd="http://www.w3.org/2001/XMLSchema" xmlns="http://www.boldonjames.com/2008/01/sie/internal/label" sislVersion="0" policy="8270c081-d9f3-48ae-83c7-c2320a8ca25c"/>
</file>

<file path=customXml/itemProps1.xml><?xml version="1.0" encoding="utf-8"?>
<ds:datastoreItem xmlns:ds="http://schemas.openxmlformats.org/officeDocument/2006/customXml" ds:itemID="{D51AD6EF-B221-46DE-A1D3-FE75359808D8}">
  <ds:schemaRefs>
    <ds:schemaRef ds:uri="http://schemas.microsoft.com/office/2006/documentManagement/types"/>
    <ds:schemaRef ds:uri="f8e9d96c-a07e-4933-9220-38ca5ec96d4e"/>
    <ds:schemaRef ds:uri="http://purl.org/dc/dcmitype/"/>
    <ds:schemaRef ds:uri="http://schemas.microsoft.com/office/2006/metadata/properties"/>
    <ds:schemaRef ds:uri="f2aea08d-7fae-41c6-92ff-91df552a059b"/>
    <ds:schemaRef ds:uri="http://schemas.microsoft.com/office/infopath/2007/PartnerControls"/>
    <ds:schemaRef ds:uri="http://www.w3.org/XML/1998/namespace"/>
    <ds:schemaRef ds:uri="http://schemas.openxmlformats.org/package/2006/metadata/core-properties"/>
    <ds:schemaRef ds:uri="http://purl.org/dc/terms/"/>
    <ds:schemaRef ds:uri="http://purl.org/dc/elements/1.1/"/>
  </ds:schemaRefs>
</ds:datastoreItem>
</file>

<file path=customXml/itemProps2.xml><?xml version="1.0" encoding="utf-8"?>
<ds:datastoreItem xmlns:ds="http://schemas.openxmlformats.org/officeDocument/2006/customXml" ds:itemID="{55002D8D-67D0-4599-88B8-55FF260F6B1E}">
  <ds:schemaRefs>
    <ds:schemaRef ds:uri="http://schemas.microsoft.com/sharepoint/v3/contenttype/forms"/>
  </ds:schemaRefs>
</ds:datastoreItem>
</file>

<file path=customXml/itemProps3.xml><?xml version="1.0" encoding="utf-8"?>
<ds:datastoreItem xmlns:ds="http://schemas.openxmlformats.org/officeDocument/2006/customXml" ds:itemID="{B7853CB5-0C54-415D-B977-3D6C82C8590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2aea08d-7fae-41c6-92ff-91df552a059b"/>
    <ds:schemaRef ds:uri="f8e9d96c-a07e-4933-9220-38ca5ec96d4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DA60CF03-D763-49AE-8E31-38973C11BF48}">
  <ds:schemaRefs>
    <ds:schemaRef ds:uri="http://www.w3.org/2001/XMLSchema"/>
    <ds:schemaRef ds:uri="http://www.boldonjames.com/2008/01/sie/internal/label"/>
  </ds:schemaRefs>
</ds:datastoreItem>
</file>

<file path=docMetadata/LabelInfo.xml><?xml version="1.0" encoding="utf-8"?>
<clbl:labelList xmlns:clbl="http://schemas.microsoft.com/office/2020/mipLabelMetadata">
  <clbl:label id="{fbd41ebe-fca6-4f2c-aecb-bf3a17e72416}" enabled="1" method="Privileged" siteId="{bf346810-9c7d-43de-a872-24a2ef3995a8}"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9</vt:i4>
      </vt:variant>
      <vt:variant>
        <vt:lpstr>Named Ranges</vt:lpstr>
      </vt:variant>
      <vt:variant>
        <vt:i4>8</vt:i4>
      </vt:variant>
    </vt:vector>
  </HeadingPairs>
  <TitlesOfParts>
    <vt:vector size="17" baseType="lpstr">
      <vt:lpstr>Cover</vt:lpstr>
      <vt:lpstr>Guidance</vt:lpstr>
      <vt:lpstr>HS1</vt:lpstr>
      <vt:lpstr>HS2</vt:lpstr>
      <vt:lpstr>QA checks</vt:lpstr>
      <vt:lpstr>HS - PY data</vt:lpstr>
      <vt:lpstr>HS1 PY</vt:lpstr>
      <vt:lpstr>HS2 PY</vt:lpstr>
      <vt:lpstr>QA check thresholds</vt:lpstr>
      <vt:lpstr>Guidance!_ftnref1</vt:lpstr>
      <vt:lpstr>Guidance!_Toc257106260</vt:lpstr>
      <vt:lpstr>Cover!Print_Area</vt:lpstr>
      <vt:lpstr>Guidance!Print_Area</vt:lpstr>
      <vt:lpstr>'HS1'!Print_Area</vt:lpstr>
      <vt:lpstr>'HS1 PY'!Print_Area</vt:lpstr>
      <vt:lpstr>'HS2'!Print_Area</vt:lpstr>
      <vt:lpstr>'HS2 PY'!Print_Area</vt:lpstr>
    </vt:vector>
  </TitlesOfParts>
  <Manager/>
  <Company>Home Office</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Ben Burak</dc:creator>
  <cp:keywords/>
  <dc:description/>
  <cp:lastModifiedBy>Katrina Ihebunezie</cp:lastModifiedBy>
  <cp:revision/>
  <dcterms:created xsi:type="dcterms:W3CDTF">2010-12-02T10:38:27Z</dcterms:created>
  <dcterms:modified xsi:type="dcterms:W3CDTF">2026-01-13T18:13:29Z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ocIndexRef">
    <vt:lpwstr>f542ebec-0b53-4199-a566-ba1379c6c6af</vt:lpwstr>
  </property>
  <property fmtid="{D5CDD505-2E9C-101B-9397-08002B2CF9AE}" pid="3" name="bjSaver">
    <vt:lpwstr>ig6IkrDXgt7J2rnu42lyCuKlHypbKmMh</vt:lpwstr>
  </property>
  <property fmtid="{D5CDD505-2E9C-101B-9397-08002B2CF9AE}" pid="4" name="bjDocumentSecurityLabel">
    <vt:lpwstr>No Marking</vt:lpwstr>
  </property>
  <property fmtid="{D5CDD505-2E9C-101B-9397-08002B2CF9AE}" pid="5" name="ContentTypeId">
    <vt:lpwstr>0x010100B49A4B2752467149B314925194543C540100BA87D6D06E82E64EBECCFEC12E2E263E</vt:lpwstr>
  </property>
  <property fmtid="{D5CDD505-2E9C-101B-9397-08002B2CF9AE}" pid="6" name="HOCopyrightLevel">
    <vt:lpwstr>2;#Crown|69589897-2828-4761-976e-717fd8e631c9</vt:lpwstr>
  </property>
  <property fmtid="{D5CDD505-2E9C-101B-9397-08002B2CF9AE}" pid="7" name="HOGovernmentSecurityClassification">
    <vt:lpwstr>3;#Official|14c80daa-741b-422c-9722-f71693c9ede4</vt:lpwstr>
  </property>
  <property fmtid="{D5CDD505-2E9C-101B-9397-08002B2CF9AE}" pid="8" name="HOBusinessUnit">
    <vt:lpwstr>1;#Police and Fire Analysis Unit (A)|755c0ad7-1cd3-4e30-b1c3-86b5a4ff9bf7</vt:lpwstr>
  </property>
  <property fmtid="{D5CDD505-2E9C-101B-9397-08002B2CF9AE}" pid="9" name="MediaServiceImageTags">
    <vt:lpwstr/>
  </property>
</Properties>
</file>