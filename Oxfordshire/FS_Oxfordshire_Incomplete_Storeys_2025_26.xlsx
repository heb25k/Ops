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Oxfordshire/"/>
    </mc:Choice>
  </mc:AlternateContent>
  <xr:revisionPtr revIDLastSave="0" documentId="8_{F17EB8F9-7DF9-42CE-BC05-E232EF268401}" xr6:coauthVersionLast="47" xr6:coauthVersionMax="47" xr10:uidLastSave="{00000000-0000-0000-0000-000000000000}"/>
  <bookViews>
    <workbookView xWindow="-110" yWindow="-110" windowWidth="22780" windowHeight="14540" tabRatio="779" xr2:uid="{2CB56CD4-DFBF-4DD9-957B-53B61C0F8851}"/>
  </bookViews>
  <sheets>
    <sheet name="Cover" sheetId="18" r:id="rId1"/>
    <sheet name="Guidance" sheetId="46" r:id="rId2"/>
    <sheet name="FS1 PY" sheetId="41" r:id="rId3"/>
    <sheet name="FS1 - PY data" sheetId="48" r:id="rId4"/>
    <sheet name="FS1" sheetId="27" r:id="rId5"/>
    <sheet name="FS2 - PY data" sheetId="43" r:id="rId6"/>
    <sheet name="FS2 PY" sheetId="42" r:id="rId7"/>
    <sheet name="FS2" sheetId="3" r:id="rId8"/>
    <sheet name="FS6a" sheetId="7" r:id="rId9"/>
    <sheet name="FS6b" sheetId="13" r:id="rId10"/>
    <sheet name="FS7" sheetId="8" r:id="rId11"/>
    <sheet name="FS7 PY" sheetId="49" r:id="rId12"/>
    <sheet name="FS7 - PY data" sheetId="44" r:id="rId13"/>
    <sheet name="FS8a" sheetId="9" r:id="rId14"/>
    <sheet name="FS8b" sheetId="10" r:id="rId15"/>
    <sheet name="FS8c" sheetId="15" r:id="rId16"/>
    <sheet name="FS8d" sheetId="14" r:id="rId17"/>
    <sheet name="FS9" sheetId="11" r:id="rId18"/>
    <sheet name="FS10" sheetId="39" r:id="rId19"/>
    <sheet name="QA checks" sheetId="47" r:id="rId20"/>
    <sheet name="QA check thresholds" sheetId="38" r:id="rId21"/>
  </sheets>
  <externalReferences>
    <externalReference r:id="rId22"/>
  </externalReferences>
  <definedNames>
    <definedName name="_xlnm._FilterDatabase" localSheetId="5" hidden="1">'FS2 - PY data'!$A$1:$F$199</definedName>
    <definedName name="_xlnm._FilterDatabase" localSheetId="12" hidden="1">'FS7 - PY data'!$A$1:$F$198</definedName>
    <definedName name="Data">#REF!</definedName>
    <definedName name="FS1_formula">#REF!</definedName>
    <definedName name="FS2_f">#REF!</definedName>
    <definedName name="FS3_f">#REF!</definedName>
    <definedName name="FS3_formula">#REF!</definedName>
    <definedName name="FS4_formula">#REF!</definedName>
    <definedName name="FS5_formula">#REF!</definedName>
    <definedName name="FS6_f">#REF!</definedName>
    <definedName name="FS6B_f">#REF!</definedName>
    <definedName name="FS7_f">#REF!</definedName>
    <definedName name="FS7_formula" localSheetId="11">'FS7 PY'!$AE$4:$AW$26</definedName>
    <definedName name="FS7_formula">#REF!</definedName>
    <definedName name="FS8_f">#REF!</definedName>
    <definedName name="FS8B_f">#REF!</definedName>
    <definedName name="FS8C_f">#REF!</definedName>
    <definedName name="FS8D_f">#REF!</definedName>
    <definedName name="FS9_f">#REF!</definedName>
    <definedName name="FS9_formula">[1]FS9!#REF!</definedName>
    <definedName name="HR2_f">#REF!</definedName>
    <definedName name="HR2_formula">#REF!</definedName>
    <definedName name="HR3_formula">#REF!</definedName>
    <definedName name="HR4_formula">#REF!</definedName>
    <definedName name="HR5_formula">#REF!</definedName>
    <definedName name="_xlnm.Print_Area" localSheetId="0">Cover!$A$1:$I$33</definedName>
    <definedName name="_xlnm.Print_Area" localSheetId="4">'FS1'!$A$1:$N$39</definedName>
    <definedName name="_xlnm.Print_Area" localSheetId="18">'FS10'!$A$1:$B$16</definedName>
    <definedName name="_xlnm.Print_Area" localSheetId="7">'FS2'!$A$1:$L$37</definedName>
    <definedName name="_xlnm.Print_Area" localSheetId="8">FS6a!$A$1:$N$37</definedName>
    <definedName name="_xlnm.Print_Area" localSheetId="10">'FS7'!$A$1:$I$38</definedName>
    <definedName name="_xlnm.Print_Area" localSheetId="11">'FS7 PY'!$A$1:$I$31</definedName>
    <definedName name="_xlnm.Print_Area" localSheetId="13">FS8a!$A$1:$N$38</definedName>
    <definedName name="_xlnm.Print_Area" localSheetId="14">FS8b!$A$1:$N$38</definedName>
    <definedName name="_xlnm.Print_Area" localSheetId="16">FS8d!$A$1:$N$38</definedName>
    <definedName name="_xlnm.Print_Area" localSheetId="17">'FS9'!$A$1:$F$23</definedName>
    <definedName name="_xlnm.Print_Area" localSheetId="1">Guidance!$A$1:$C$179</definedName>
    <definedName name="Z_C0288C5C_A803_495F_B0CA_42FBBD5677AA_.wvu.PrintArea" localSheetId="4" hidden="1">'FS1'!$A$7:$K$39</definedName>
    <definedName name="Z_C0288C5C_A803_495F_B0CA_42FBBD5677AA_.wvu.PrintArea" localSheetId="18" hidden="1">'FS10'!$A$6:$B$16</definedName>
    <definedName name="Z_C0288C5C_A803_495F_B0CA_42FBBD5677AA_.wvu.PrintArea" localSheetId="7" hidden="1">'FS2'!$A$7:$G$36</definedName>
    <definedName name="Z_C0288C5C_A803_495F_B0CA_42FBBD5677AA_.wvu.PrintArea" localSheetId="8" hidden="1">FS6a!$A$6:$N$37</definedName>
    <definedName name="Z_C0288C5C_A803_495F_B0CA_42FBBD5677AA_.wvu.PrintArea" localSheetId="10" hidden="1">'FS7'!$A$6:$I$38</definedName>
    <definedName name="Z_C0288C5C_A803_495F_B0CA_42FBBD5677AA_.wvu.PrintArea" localSheetId="11" hidden="1">'FS7 PY'!$A$1:$I$31</definedName>
    <definedName name="Z_C0288C5C_A803_495F_B0CA_42FBBD5677AA_.wvu.PrintArea" localSheetId="13" hidden="1">FS8a!$A$6:$N$38</definedName>
    <definedName name="Z_C0288C5C_A803_495F_B0CA_42FBBD5677AA_.wvu.PrintArea" localSheetId="14" hidden="1">FS8b!$A$6:$N$38</definedName>
    <definedName name="Z_C0288C5C_A803_495F_B0CA_42FBBD5677AA_.wvu.PrintArea" localSheetId="17" hidden="1">'FS9'!$A$6:$F$23</definedName>
  </definedNames>
  <calcPr calcId="191028"/>
  <customWorkbookViews>
    <customWorkbookView name="dbega - Personal View" guid="{C0288C5C-A803-495F-B0CA-42FBBD5677AA}" mergeInterval="0" personalView="1" maximized="1" windowWidth="1276" windowHeight="826"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9" i="8" l="1"/>
  <c r="D25" i="49" a="1"/>
  <c r="D25" i="49" s="1"/>
  <c r="E25" i="49" a="1"/>
  <c r="E25" i="49" s="1"/>
  <c r="F25" i="49" a="1"/>
  <c r="F25" i="49" s="1"/>
  <c r="G25" i="49" a="1"/>
  <c r="G25" i="49" s="1"/>
  <c r="H25" i="49" a="1"/>
  <c r="H25" i="49" s="1"/>
  <c r="I25" i="49" a="1"/>
  <c r="I25" i="49" s="1"/>
  <c r="C25" i="49" a="1"/>
  <c r="C25" i="49" s="1"/>
  <c r="Q5" i="47" l="1"/>
  <c r="AF5" i="47" l="1"/>
  <c r="AC5" i="47"/>
  <c r="Z5" i="47"/>
  <c r="W5" i="47"/>
  <c r="T5" i="47"/>
  <c r="Q6" i="47"/>
  <c r="Q4" i="47"/>
  <c r="N5" i="47"/>
  <c r="K5" i="47"/>
  <c r="F7" i="47"/>
  <c r="B8" i="47"/>
  <c r="B7" i="47"/>
  <c r="I12" i="8"/>
  <c r="I13" i="8"/>
  <c r="I14" i="8"/>
  <c r="I15" i="8"/>
  <c r="I16" i="8"/>
  <c r="I17" i="8"/>
  <c r="I18" i="8"/>
  <c r="I19" i="8"/>
  <c r="I20" i="8"/>
  <c r="I21" i="8"/>
  <c r="I22" i="8"/>
  <c r="I23" i="8"/>
  <c r="I24" i="8"/>
  <c r="I25" i="8"/>
  <c r="I26" i="8"/>
  <c r="I27" i="8"/>
  <c r="I28" i="8"/>
  <c r="I29" i="8"/>
  <c r="I30" i="8"/>
  <c r="I31" i="8"/>
  <c r="I11" i="8"/>
  <c r="C32" i="10"/>
  <c r="E4" i="42"/>
  <c r="E4" i="41"/>
  <c r="C250" i="18" l="1"/>
  <c r="A11" i="18"/>
  <c r="A10" i="18"/>
  <c r="F4" i="42" l="1"/>
  <c r="F4" i="41"/>
  <c r="B3" i="39"/>
  <c r="B20" i="39"/>
  <c r="H32" i="41" l="1" a="1"/>
  <c r="H32" i="41" s="1"/>
  <c r="M32" i="41" a="1"/>
  <c r="M32" i="41" s="1"/>
  <c r="K32" i="41" a="1"/>
  <c r="K32" i="41" s="1"/>
  <c r="G32" i="41" a="1"/>
  <c r="G32" i="41" s="1"/>
  <c r="B32" i="41" a="1"/>
  <c r="B32" i="41" s="1"/>
  <c r="B5" i="47" s="1"/>
  <c r="J32" i="41" a="1"/>
  <c r="J32" i="41" s="1"/>
  <c r="N32" i="41" a="1"/>
  <c r="N32" i="41" s="1"/>
  <c r="C32" i="41" a="1"/>
  <c r="C32" i="41" s="1"/>
  <c r="E32" i="41" a="1"/>
  <c r="E32" i="41" s="1"/>
  <c r="L32" i="41" a="1"/>
  <c r="L32" i="41" s="1"/>
  <c r="B4" i="47" s="1"/>
  <c r="D32" i="41" a="1"/>
  <c r="D32" i="41" s="1"/>
  <c r="B6" i="47" s="1"/>
  <c r="F32" i="41" a="1"/>
  <c r="F32" i="41" s="1"/>
  <c r="I32" i="41" a="1"/>
  <c r="I32" i="41" s="1"/>
  <c r="L24" i="42" a="1"/>
  <c r="L24" i="42" s="1"/>
  <c r="E28" i="42" a="1"/>
  <c r="E28" i="42" s="1"/>
  <c r="J22" i="42" a="1"/>
  <c r="J22" i="42" s="1"/>
  <c r="B30" i="42" a="1"/>
  <c r="B30" i="42" s="1"/>
  <c r="H31" i="42" a="1"/>
  <c r="H31" i="42" s="1"/>
  <c r="E32" i="42" a="1"/>
  <c r="E32" i="42" s="1"/>
  <c r="C24" i="42" a="1"/>
  <c r="C24" i="42" s="1"/>
  <c r="G19" i="42" a="1"/>
  <c r="G19" i="42" s="1"/>
  <c r="H17" i="42" a="1"/>
  <c r="H17" i="42" s="1"/>
  <c r="H25" i="42" a="1"/>
  <c r="H25" i="42" s="1"/>
  <c r="D28" i="42" a="1"/>
  <c r="D28" i="42" s="1"/>
  <c r="B25" i="42" a="1"/>
  <c r="B25" i="42" s="1"/>
  <c r="F21" i="42" a="1"/>
  <c r="F21" i="42" s="1"/>
  <c r="H12" i="42" a="1"/>
  <c r="H12" i="42" s="1"/>
  <c r="L18" i="42" a="1"/>
  <c r="L18" i="42" s="1"/>
  <c r="E12" i="42" a="1"/>
  <c r="E12" i="42" s="1"/>
  <c r="C23" i="42" a="1"/>
  <c r="C23" i="42" s="1"/>
  <c r="D14" i="42" a="1"/>
  <c r="D14" i="42" s="1"/>
  <c r="G13" i="42" a="1"/>
  <c r="G13" i="42" s="1"/>
  <c r="C26" i="42" a="1"/>
  <c r="C26" i="42" s="1"/>
  <c r="K14" i="42" a="1"/>
  <c r="K14" i="42" s="1"/>
  <c r="C25" i="42" a="1"/>
  <c r="C25" i="42" s="1"/>
  <c r="G32" i="42" a="1"/>
  <c r="G32" i="42" s="1"/>
  <c r="B12" i="42" a="1"/>
  <c r="B12" i="42" s="1"/>
  <c r="L14" i="42" a="1"/>
  <c r="L14" i="42" s="1"/>
  <c r="J29" i="42" a="1"/>
  <c r="J29" i="42" s="1"/>
  <c r="K11" i="42" a="1"/>
  <c r="K11" i="42" s="1"/>
  <c r="K30" i="42" a="1"/>
  <c r="K30" i="42" s="1"/>
  <c r="D13" i="42" a="1"/>
  <c r="D13" i="42" s="1"/>
  <c r="K32" i="42" a="1"/>
  <c r="K32" i="42" s="1"/>
  <c r="B14" i="42" a="1"/>
  <c r="B14" i="42" s="1"/>
  <c r="F17" i="42" a="1"/>
  <c r="F17" i="42" s="1"/>
  <c r="K28" i="42" a="1"/>
  <c r="K28" i="42" s="1"/>
  <c r="C22" i="42" a="1"/>
  <c r="C22" i="42" s="1"/>
  <c r="I22" i="42" a="1"/>
  <c r="I22" i="42" s="1"/>
  <c r="B21" i="42" a="1"/>
  <c r="B21" i="42" s="1"/>
  <c r="D25" i="42" a="1"/>
  <c r="D25" i="42" s="1"/>
  <c r="J30" i="42" a="1"/>
  <c r="J30" i="42" s="1"/>
  <c r="H15" i="42" a="1"/>
  <c r="H15" i="42" s="1"/>
  <c r="K27" i="42" a="1"/>
  <c r="K27" i="42" s="1"/>
  <c r="E17" i="42" a="1"/>
  <c r="E17" i="42" s="1"/>
  <c r="E15" i="42" a="1"/>
  <c r="E15" i="42" s="1"/>
  <c r="I23" i="42" a="1"/>
  <c r="I23" i="42" s="1"/>
  <c r="L11" i="42" a="1"/>
  <c r="L11" i="42" s="1"/>
  <c r="K22" i="42" a="1"/>
  <c r="K22" i="42" s="1"/>
  <c r="E20" i="42" a="1"/>
  <c r="E20" i="42" s="1"/>
  <c r="I32" i="42" a="1"/>
  <c r="I32" i="42" s="1"/>
  <c r="K17" i="42" a="1"/>
  <c r="K17" i="42" s="1"/>
  <c r="F32" i="42" a="1"/>
  <c r="F32" i="42" s="1"/>
  <c r="B22" i="42" a="1"/>
  <c r="B22" i="42" s="1"/>
  <c r="J18" i="42" a="1"/>
  <c r="J18" i="42" s="1"/>
  <c r="F29" i="42" a="1"/>
  <c r="F29" i="42" s="1"/>
  <c r="D21" i="42" a="1"/>
  <c r="D21" i="42" s="1"/>
  <c r="B31" i="42" a="1"/>
  <c r="B31" i="42" s="1"/>
  <c r="C32" i="42" a="1"/>
  <c r="C32" i="42" s="1"/>
  <c r="H16" i="42" a="1"/>
  <c r="H16" i="42" s="1"/>
  <c r="K21" i="42" a="1"/>
  <c r="K21" i="42" s="1"/>
  <c r="B19" i="42" a="1"/>
  <c r="B19" i="42" s="1"/>
  <c r="L22" i="42" a="1"/>
  <c r="L22" i="42" s="1"/>
  <c r="J28" i="42" a="1"/>
  <c r="J28" i="42" s="1"/>
  <c r="E13" i="42" a="1"/>
  <c r="E13" i="42" s="1"/>
  <c r="H11" i="42" a="1"/>
  <c r="H11" i="42" s="1"/>
  <c r="J15" i="42" a="1"/>
  <c r="J15" i="42" s="1"/>
  <c r="J21" i="42" a="1"/>
  <c r="J21" i="42" s="1"/>
  <c r="F16" i="42" a="1"/>
  <c r="F16" i="42" s="1"/>
  <c r="F25" i="42" a="1"/>
  <c r="F25" i="42" s="1"/>
  <c r="F30" i="42" a="1"/>
  <c r="F30" i="42" s="1"/>
  <c r="H13" i="42" a="1"/>
  <c r="H13" i="42" s="1"/>
  <c r="G11" i="42" a="1"/>
  <c r="G11" i="42" s="1"/>
  <c r="G12" i="42" a="1"/>
  <c r="G12" i="42" s="1"/>
  <c r="C29" i="42" a="1"/>
  <c r="C29" i="42" s="1"/>
  <c r="H32" i="42" a="1"/>
  <c r="H32" i="42" s="1"/>
  <c r="C12" i="42" a="1"/>
  <c r="C12" i="42" s="1"/>
  <c r="L19" i="42" a="1"/>
  <c r="L19" i="42" s="1"/>
  <c r="K15" i="42" a="1"/>
  <c r="K15" i="42" s="1"/>
  <c r="B24" i="42" a="1"/>
  <c r="B24" i="42" s="1"/>
  <c r="B15" i="42" a="1"/>
  <c r="B15" i="42" s="1"/>
  <c r="L12" i="42" a="1"/>
  <c r="L12" i="42" s="1"/>
  <c r="G21" i="42" a="1"/>
  <c r="G21" i="42" s="1"/>
  <c r="F20" i="42" a="1"/>
  <c r="F20" i="42" s="1"/>
  <c r="I20" i="42" a="1"/>
  <c r="I20" i="42" s="1"/>
  <c r="D19" i="42" a="1"/>
  <c r="D19" i="42" s="1"/>
  <c r="G24" i="42" a="1"/>
  <c r="G24" i="42" s="1"/>
  <c r="J16" i="42" a="1"/>
  <c r="J16" i="42" s="1"/>
  <c r="C11" i="42" a="1"/>
  <c r="C11" i="42" s="1"/>
  <c r="L20" i="42" a="1"/>
  <c r="L20" i="42" s="1"/>
  <c r="E22" i="42" a="1"/>
  <c r="E22" i="42" s="1"/>
  <c r="I27" i="42" a="1"/>
  <c r="I27" i="42" s="1"/>
  <c r="F19" i="42" a="1"/>
  <c r="F19" i="42" s="1"/>
  <c r="L13" i="42" a="1"/>
  <c r="L13" i="42" s="1"/>
  <c r="H26" i="42" a="1"/>
  <c r="H26" i="42" s="1"/>
  <c r="D17" i="42" a="1"/>
  <c r="D17" i="42" s="1"/>
  <c r="B27" i="42" a="1"/>
  <c r="B27" i="42" s="1"/>
  <c r="F24" i="42" a="1"/>
  <c r="F24" i="42" s="1"/>
  <c r="E14" i="42" a="1"/>
  <c r="E14" i="42" s="1"/>
  <c r="J13" i="42" a="1"/>
  <c r="J13" i="42" s="1"/>
  <c r="G15" i="42" a="1"/>
  <c r="G15" i="42" s="1"/>
  <c r="C16" i="42" a="1"/>
  <c r="C16" i="42" s="1"/>
  <c r="L17" i="42" a="1"/>
  <c r="L17" i="42" s="1"/>
  <c r="I28" i="42" a="1"/>
  <c r="I28" i="42" s="1"/>
  <c r="F18" i="42" a="1"/>
  <c r="F18" i="42" s="1"/>
  <c r="J12" i="42" a="1"/>
  <c r="J12" i="42" s="1"/>
  <c r="D11" i="42" a="1"/>
  <c r="D11" i="42" s="1"/>
  <c r="H27" i="42" a="1"/>
  <c r="H27" i="42" s="1"/>
  <c r="F27" i="42" a="1"/>
  <c r="F27" i="42" s="1"/>
  <c r="G23" i="42" a="1"/>
  <c r="G23" i="42" s="1"/>
  <c r="E18" i="42" a="1"/>
  <c r="E18" i="42" s="1"/>
  <c r="D31" i="42" a="1"/>
  <c r="D31" i="42" s="1"/>
  <c r="E21" i="42" a="1"/>
  <c r="E21" i="42" s="1"/>
  <c r="H20" i="42" a="1"/>
  <c r="H20" i="42" s="1"/>
  <c r="B29" i="42" a="1"/>
  <c r="B29" i="42" s="1"/>
  <c r="G16" i="42" a="1"/>
  <c r="G16" i="42" s="1"/>
  <c r="F26" i="42" a="1"/>
  <c r="F26" i="42" s="1"/>
  <c r="G17" i="42" a="1"/>
  <c r="G17" i="42" s="1"/>
  <c r="H30" i="42" a="1"/>
  <c r="H30" i="42" s="1"/>
  <c r="J11" i="42" a="1"/>
  <c r="J11" i="42" s="1"/>
  <c r="E19" i="42" a="1"/>
  <c r="E19" i="42" s="1"/>
  <c r="J31" i="42" a="1"/>
  <c r="J31" i="42" s="1"/>
  <c r="G18" i="42" a="1"/>
  <c r="G18" i="42" s="1"/>
  <c r="C18" i="42" a="1"/>
  <c r="C18" i="42" s="1"/>
  <c r="F23" i="42" a="1"/>
  <c r="F23" i="42" s="1"/>
  <c r="I15" i="42" a="1"/>
  <c r="I15" i="42" s="1"/>
  <c r="K29" i="42" a="1"/>
  <c r="K29" i="42" s="1"/>
  <c r="K19" i="42" a="1"/>
  <c r="K19" i="42" s="1"/>
  <c r="B17" i="42" a="1"/>
  <c r="B17" i="42" s="1"/>
  <c r="H14" i="42" a="1"/>
  <c r="H14" i="42" s="1"/>
  <c r="G28" i="42" a="1"/>
  <c r="G28" i="42" s="1"/>
  <c r="L15" i="42" a="1"/>
  <c r="L15" i="42" s="1"/>
  <c r="I17" i="42" a="1"/>
  <c r="I17" i="42" s="1"/>
  <c r="B32" i="42" a="1"/>
  <c r="B32" i="42" s="1"/>
  <c r="F12" i="42" a="1"/>
  <c r="F12" i="42" s="1"/>
  <c r="E29" i="42" a="1"/>
  <c r="E29" i="42" s="1"/>
  <c r="B16" i="42" a="1"/>
  <c r="B16" i="42" s="1"/>
  <c r="L31" i="42" a="1"/>
  <c r="L31" i="42" s="1"/>
  <c r="I19" i="42" a="1"/>
  <c r="I19" i="42" s="1"/>
  <c r="I12" i="42" a="1"/>
  <c r="I12" i="42" s="1"/>
  <c r="F14" i="42" a="1"/>
  <c r="F14" i="42" s="1"/>
  <c r="L23" i="42" a="1"/>
  <c r="L23" i="42" s="1"/>
  <c r="H18" i="42" a="1"/>
  <c r="H18" i="42" s="1"/>
  <c r="G26" i="42" a="1"/>
  <c r="G26" i="42" s="1"/>
  <c r="I30" i="42" a="1"/>
  <c r="I30" i="42" s="1"/>
  <c r="H24" i="42" a="1"/>
  <c r="H24" i="42" s="1"/>
  <c r="K24" i="42" a="1"/>
  <c r="K24" i="42" s="1"/>
  <c r="F11" i="42" a="1"/>
  <c r="F11" i="42" s="1"/>
  <c r="D32" i="42" a="1"/>
  <c r="D32" i="42" s="1"/>
  <c r="B11" i="42" a="1"/>
  <c r="B11" i="42" s="1"/>
  <c r="C30" i="42" a="1"/>
  <c r="C30" i="42" s="1"/>
  <c r="K31" i="42" a="1"/>
  <c r="K31" i="42" s="1"/>
  <c r="C28" i="42" a="1"/>
  <c r="C28" i="42" s="1"/>
  <c r="D30" i="42" a="1"/>
  <c r="D30" i="42" s="1"/>
  <c r="K12" i="42" a="1"/>
  <c r="K12" i="42" s="1"/>
  <c r="H21" i="42" a="1"/>
  <c r="H21" i="42" s="1"/>
  <c r="C31" i="42" a="1"/>
  <c r="C31" i="42" s="1"/>
  <c r="C17" i="42" a="1"/>
  <c r="C17" i="42" s="1"/>
  <c r="E30" i="42" a="1"/>
  <c r="E30" i="42" s="1"/>
  <c r="E16" i="42" a="1"/>
  <c r="E16" i="42" s="1"/>
  <c r="I11" i="42" a="1"/>
  <c r="I11" i="42" s="1"/>
  <c r="C20" i="42" a="1"/>
  <c r="C20" i="42" s="1"/>
  <c r="G31" i="42" a="1"/>
  <c r="G31" i="42" s="1"/>
  <c r="J27" i="42" a="1"/>
  <c r="J27" i="42" s="1"/>
  <c r="E23" i="42" a="1"/>
  <c r="E23" i="42" s="1"/>
  <c r="D12" i="42" a="1"/>
  <c r="D12" i="42" s="1"/>
  <c r="H19" i="42" a="1"/>
  <c r="H19" i="42" s="1"/>
  <c r="E24" i="42" a="1"/>
  <c r="E24" i="42" s="1"/>
  <c r="C15" i="42" a="1"/>
  <c r="C15" i="42" s="1"/>
  <c r="E27" i="42" a="1"/>
  <c r="E27" i="42" s="1"/>
  <c r="B26" i="42" a="1"/>
  <c r="B26" i="42" s="1"/>
  <c r="J26" i="42" a="1"/>
  <c r="J26" i="42" s="1"/>
  <c r="D15" i="42" a="1"/>
  <c r="D15" i="42" s="1"/>
  <c r="H22" i="42" a="1"/>
  <c r="H22" i="42" s="1"/>
  <c r="J20" i="42" a="1"/>
  <c r="J20" i="42" s="1"/>
  <c r="K13" i="42" a="1"/>
  <c r="K13" i="42" s="1"/>
  <c r="J32" i="42" a="1"/>
  <c r="J32" i="42" s="1"/>
  <c r="K16" i="42" a="1"/>
  <c r="K16" i="42" s="1"/>
  <c r="I25" i="42" a="1"/>
  <c r="I25" i="42" s="1"/>
  <c r="I14" i="42" a="1"/>
  <c r="I14" i="42" s="1"/>
  <c r="D23" i="42" a="1"/>
  <c r="D23" i="42" s="1"/>
  <c r="H29" i="42" a="1"/>
  <c r="H29" i="42" s="1"/>
  <c r="D20" i="42" a="1"/>
  <c r="D20" i="42" s="1"/>
  <c r="D16" i="42" a="1"/>
  <c r="D16" i="42" s="1"/>
  <c r="L29" i="42" a="1"/>
  <c r="L29" i="42" s="1"/>
  <c r="D18" i="42" a="1"/>
  <c r="D18" i="42" s="1"/>
  <c r="K25" i="42" a="1"/>
  <c r="K25" i="42" s="1"/>
  <c r="B23" i="42" a="1"/>
  <c r="B23" i="42" s="1"/>
  <c r="F15" i="42" a="1"/>
  <c r="F15" i="42" s="1"/>
  <c r="L27" i="42" a="1"/>
  <c r="L27" i="42" s="1"/>
  <c r="C19" i="42" a="1"/>
  <c r="C19" i="42" s="1"/>
  <c r="K18" i="42" a="1"/>
  <c r="K18" i="42" s="1"/>
  <c r="I29" i="42" a="1"/>
  <c r="I29" i="42" s="1"/>
  <c r="H28" i="42" a="1"/>
  <c r="H28" i="42" s="1"/>
  <c r="G29" i="42" a="1"/>
  <c r="G29" i="42" s="1"/>
  <c r="I18" i="42" a="1"/>
  <c r="I18" i="42" s="1"/>
  <c r="J25" i="42" a="1"/>
  <c r="J25" i="42" s="1"/>
  <c r="G25" i="42" a="1"/>
  <c r="G25" i="42" s="1"/>
  <c r="G27" i="42" a="1"/>
  <c r="G27" i="42" s="1"/>
  <c r="D26" i="42" a="1"/>
  <c r="D26" i="42" s="1"/>
  <c r="I24" i="42" a="1"/>
  <c r="I24" i="42" s="1"/>
  <c r="I26" i="42" a="1"/>
  <c r="I26" i="42" s="1"/>
  <c r="C13" i="42" a="1"/>
  <c r="C13" i="42" s="1"/>
  <c r="B13" i="42" a="1"/>
  <c r="B13" i="42" s="1"/>
  <c r="J23" i="42" a="1"/>
  <c r="J23" i="42" s="1"/>
  <c r="K20" i="42" a="1"/>
  <c r="K20" i="42" s="1"/>
  <c r="B28" i="42" a="1"/>
  <c r="B28" i="42" s="1"/>
  <c r="K26" i="42" a="1"/>
  <c r="K26" i="42" s="1"/>
  <c r="B18" i="42" a="1"/>
  <c r="B18" i="42" s="1"/>
  <c r="L30" i="42" a="1"/>
  <c r="L30" i="42" s="1"/>
  <c r="J17" i="42" a="1"/>
  <c r="J17" i="42" s="1"/>
  <c r="D29" i="42" a="1"/>
  <c r="D29" i="42" s="1"/>
  <c r="E11" i="42" a="1"/>
  <c r="E11" i="42" s="1"/>
  <c r="I31" i="42" a="1"/>
  <c r="I31" i="42" s="1"/>
  <c r="L16" i="42" a="1"/>
  <c r="L16" i="42" s="1"/>
  <c r="I16" i="42" a="1"/>
  <c r="I16" i="42" s="1"/>
  <c r="L25" i="42" a="1"/>
  <c r="L25" i="42" s="1"/>
  <c r="G30" i="42" a="1"/>
  <c r="G30" i="42" s="1"/>
  <c r="G20" i="42" a="1"/>
  <c r="G20" i="42" s="1"/>
  <c r="F31" i="42" a="1"/>
  <c r="F31" i="42" s="1"/>
  <c r="E26" i="42" a="1"/>
  <c r="E26" i="42" s="1"/>
  <c r="K23" i="42" a="1"/>
  <c r="K23" i="42" s="1"/>
  <c r="L21" i="42" a="1"/>
  <c r="L21" i="42" s="1"/>
  <c r="L28" i="42" a="1"/>
  <c r="L28" i="42" s="1"/>
  <c r="C14" i="42" a="1"/>
  <c r="C14" i="42" s="1"/>
  <c r="F28" i="42" a="1"/>
  <c r="F28" i="42" s="1"/>
  <c r="H23" i="42" a="1"/>
  <c r="H23" i="42" s="1"/>
  <c r="J14" i="42" a="1"/>
  <c r="J14" i="42" s="1"/>
  <c r="C21" i="42" a="1"/>
  <c r="C21" i="42" s="1"/>
  <c r="G14" i="42" a="1"/>
  <c r="G14" i="42" s="1"/>
  <c r="E25" i="42" a="1"/>
  <c r="E25" i="42" s="1"/>
  <c r="C27" i="42" a="1"/>
  <c r="C27" i="42" s="1"/>
  <c r="D22" i="42" a="1"/>
  <c r="D22" i="42" s="1"/>
  <c r="E31" i="42" a="1"/>
  <c r="E31" i="42" s="1"/>
  <c r="I21" i="42" a="1"/>
  <c r="I21" i="42" s="1"/>
  <c r="J19" i="42" a="1"/>
  <c r="J19" i="42" s="1"/>
  <c r="D27" i="42" a="1"/>
  <c r="D27" i="42" s="1"/>
  <c r="L32" i="42" a="1"/>
  <c r="L32" i="42" s="1"/>
  <c r="L26" i="42" a="1"/>
  <c r="L26" i="42" s="1"/>
  <c r="G22" i="42" a="1"/>
  <c r="G22" i="42" s="1"/>
  <c r="I13" i="42" a="1"/>
  <c r="I13" i="42" s="1"/>
  <c r="B20" i="42" a="1"/>
  <c r="B20" i="42" s="1"/>
  <c r="F13" i="42" a="1"/>
  <c r="F13" i="42" s="1"/>
  <c r="D24" i="42" a="1"/>
  <c r="D24" i="42" s="1"/>
  <c r="F22" i="42" a="1"/>
  <c r="F22" i="42" s="1"/>
  <c r="J24" i="42" a="1"/>
  <c r="J24" i="42" s="1"/>
  <c r="E32" i="15"/>
  <c r="F32" i="15"/>
  <c r="G32" i="15"/>
  <c r="E32" i="7"/>
  <c r="K33" i="42" l="1"/>
  <c r="H33" i="42"/>
  <c r="F6" i="47"/>
  <c r="E33" i="42"/>
  <c r="F33" i="42"/>
  <c r="J33" i="42"/>
  <c r="I33" i="42"/>
  <c r="G33" i="42"/>
  <c r="B33" i="42"/>
  <c r="F5" i="47"/>
  <c r="D33" i="42"/>
  <c r="L33" i="42"/>
  <c r="F4" i="47"/>
  <c r="C33" i="42"/>
  <c r="L20" i="3"/>
  <c r="L21" i="3"/>
  <c r="L22" i="3"/>
  <c r="L23" i="3"/>
  <c r="L24" i="3"/>
  <c r="L25" i="3"/>
  <c r="L26" i="3"/>
  <c r="L27" i="3"/>
  <c r="L28" i="3"/>
  <c r="L29" i="3"/>
  <c r="L30" i="3"/>
  <c r="L31" i="3"/>
  <c r="L19" i="3"/>
  <c r="L18" i="3"/>
  <c r="L13" i="3"/>
  <c r="L14" i="3"/>
  <c r="L15" i="3"/>
  <c r="L16" i="3"/>
  <c r="L17" i="3"/>
  <c r="L12" i="3"/>
  <c r="L11" i="3"/>
  <c r="G20" i="3"/>
  <c r="G21" i="3"/>
  <c r="G22" i="3"/>
  <c r="G23" i="3"/>
  <c r="G24" i="3"/>
  <c r="G25" i="3"/>
  <c r="G26" i="3"/>
  <c r="G27" i="3"/>
  <c r="G28" i="3"/>
  <c r="G29" i="3"/>
  <c r="G30" i="3"/>
  <c r="G31" i="3"/>
  <c r="G19" i="3"/>
  <c r="G18" i="3"/>
  <c r="G13" i="3"/>
  <c r="G14" i="3"/>
  <c r="G15" i="3"/>
  <c r="G16" i="3"/>
  <c r="G17" i="3"/>
  <c r="G12" i="3"/>
  <c r="G11" i="3"/>
  <c r="B1" i="47" l="1"/>
  <c r="G32" i="3"/>
  <c r="L18" i="27"/>
  <c r="H32" i="27"/>
  <c r="G32" i="7" l="1"/>
  <c r="C32" i="27" l="1"/>
  <c r="B32" i="27"/>
  <c r="E32" i="27"/>
  <c r="F32" i="27"/>
  <c r="G32" i="27"/>
  <c r="I32" i="27"/>
  <c r="J32" i="27"/>
  <c r="D32" i="27"/>
  <c r="L11" i="27" l="1"/>
  <c r="M32" i="27"/>
  <c r="L31" i="27"/>
  <c r="L30" i="27"/>
  <c r="L29" i="27"/>
  <c r="L28" i="27"/>
  <c r="L27" i="27"/>
  <c r="L26" i="27"/>
  <c r="L25" i="27"/>
  <c r="L24" i="27"/>
  <c r="L23" i="27"/>
  <c r="L22" i="27"/>
  <c r="L21" i="27"/>
  <c r="L20" i="27"/>
  <c r="L19" i="27"/>
  <c r="L17" i="27"/>
  <c r="L16" i="27"/>
  <c r="L15" i="27"/>
  <c r="L14" i="27"/>
  <c r="L13" i="27"/>
  <c r="L12" i="27"/>
  <c r="L32" i="27" l="1"/>
  <c r="C3" i="27" l="1"/>
  <c r="D3" i="10"/>
  <c r="D3" i="7"/>
  <c r="D3" i="8"/>
  <c r="D3" i="13"/>
  <c r="B3" i="11"/>
  <c r="D3" i="9"/>
  <c r="C3" i="3"/>
  <c r="D3" i="14"/>
  <c r="D3" i="15"/>
  <c r="C32" i="3" l="1"/>
  <c r="K32" i="3" l="1"/>
  <c r="G32" i="10" l="1"/>
  <c r="D32" i="10"/>
  <c r="H32" i="8" l="1"/>
  <c r="F32" i="8"/>
  <c r="B32" i="3"/>
  <c r="G32" i="14"/>
  <c r="C32" i="15"/>
  <c r="E32" i="10"/>
  <c r="E32" i="9"/>
  <c r="H32" i="9"/>
  <c r="C32" i="9"/>
  <c r="D32" i="8"/>
  <c r="E32" i="8"/>
  <c r="F32" i="13"/>
  <c r="G32" i="13"/>
  <c r="H32" i="7"/>
  <c r="M32" i="7"/>
  <c r="C32" i="7"/>
  <c r="J32" i="3"/>
  <c r="E32" i="3"/>
  <c r="F32" i="3"/>
  <c r="H32" i="3"/>
  <c r="D32" i="3"/>
  <c r="I32" i="3"/>
  <c r="G32" i="8"/>
  <c r="I32" i="8"/>
  <c r="D32" i="9"/>
  <c r="F32" i="9"/>
  <c r="G32" i="9"/>
  <c r="I32" i="9"/>
  <c r="J32" i="9"/>
  <c r="K32" i="9"/>
  <c r="L32" i="9"/>
  <c r="M32" i="9"/>
  <c r="N32" i="9"/>
  <c r="C32" i="14"/>
  <c r="D32" i="14"/>
  <c r="E32" i="14"/>
  <c r="F32" i="14"/>
  <c r="H32" i="14"/>
  <c r="I32" i="14"/>
  <c r="J32" i="14"/>
  <c r="K32" i="14"/>
  <c r="L32" i="14"/>
  <c r="M32" i="14"/>
  <c r="N32" i="14"/>
  <c r="D32" i="15"/>
  <c r="H32" i="15"/>
  <c r="I32" i="15"/>
  <c r="J32" i="15"/>
  <c r="K32" i="15"/>
  <c r="L32" i="15"/>
  <c r="M32" i="15"/>
  <c r="N32" i="15"/>
  <c r="F32" i="10"/>
  <c r="H32" i="10"/>
  <c r="I32" i="10"/>
  <c r="J32" i="10"/>
  <c r="K32" i="10"/>
  <c r="L32" i="10"/>
  <c r="M32" i="10"/>
  <c r="N32" i="10"/>
  <c r="D32" i="7"/>
  <c r="F32" i="7"/>
  <c r="I32" i="7"/>
  <c r="J32" i="7"/>
  <c r="K32" i="7"/>
  <c r="L32" i="7"/>
  <c r="N32" i="7"/>
  <c r="C32" i="13"/>
  <c r="D32" i="13"/>
  <c r="E32" i="13"/>
  <c r="H32" i="13"/>
  <c r="I32" i="13"/>
  <c r="J32" i="13"/>
  <c r="K32" i="13"/>
  <c r="L32" i="13"/>
  <c r="M32" i="13"/>
  <c r="N32" i="13"/>
  <c r="F14" i="11"/>
  <c r="E14" i="11"/>
  <c r="D14" i="11"/>
  <c r="C14" i="11"/>
  <c r="B14" i="11"/>
  <c r="L32" i="3" l="1"/>
  <c r="N25" i="27" l="1"/>
  <c r="K25" i="27"/>
  <c r="K20" i="27"/>
  <c r="N20" i="27" s="1"/>
  <c r="K13" i="27"/>
  <c r="N13" i="27" s="1"/>
  <c r="K23" i="27"/>
  <c r="N23" i="27" s="1"/>
  <c r="K19" i="27"/>
  <c r="N19" i="27" s="1"/>
  <c r="K22" i="27"/>
  <c r="N22" i="27" s="1"/>
  <c r="K24" i="27"/>
  <c r="N24" i="27" s="1"/>
  <c r="N27" i="27"/>
  <c r="K27" i="27"/>
  <c r="N17" i="27"/>
  <c r="K17" i="27"/>
  <c r="K28" i="27"/>
  <c r="N28" i="27"/>
  <c r="K16" i="27"/>
  <c r="N16" i="27" s="1"/>
  <c r="K14" i="27"/>
  <c r="N14" i="27" s="1"/>
  <c r="K29" i="27"/>
  <c r="N29" i="27" s="1"/>
  <c r="K15" i="27"/>
  <c r="N15" i="27" s="1"/>
  <c r="K18" i="27"/>
  <c r="N18" i="27"/>
  <c r="K12" i="27"/>
  <c r="N12" i="27" s="1"/>
  <c r="K21" i="27"/>
  <c r="N21" i="27" s="1"/>
  <c r="K30" i="27"/>
  <c r="N30" i="27" s="1"/>
  <c r="K31" i="27"/>
  <c r="N31" i="27" s="1"/>
  <c r="K26" i="27"/>
  <c r="N26" i="27" s="1"/>
  <c r="K11" i="27"/>
  <c r="K32" i="27" s="1"/>
  <c r="C32" i="8"/>
  <c r="N11" i="27" l="1"/>
  <c r="N32" i="2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<sst xmlns="http://schemas.openxmlformats.org/spreadsheetml/2006/main" count="1069" uniqueCount="560">
  <si>
    <t>2024_25</t>
  </si>
  <si>
    <t xml:space="preserve">Operational Statistics Collection </t>
  </si>
  <si>
    <t>FS Tables Incomplete Storeys</t>
  </si>
  <si>
    <t>Index of  Tables</t>
  </si>
  <si>
    <t>Description</t>
  </si>
  <si>
    <t>FS1</t>
  </si>
  <si>
    <t>Fire Safety Audits and Outcomes</t>
  </si>
  <si>
    <t>FS2</t>
  </si>
  <si>
    <t xml:space="preserve">Number of premises and other fire safety activities </t>
  </si>
  <si>
    <t>FS6a</t>
  </si>
  <si>
    <t>Non-compliance resulting in action of any type (excluding prosecutions) Art 8-19</t>
  </si>
  <si>
    <t>FS6b</t>
  </si>
  <si>
    <t>Non-compliance resulting in action of any type (excluding prosecutions) Art.20-24, 27, 29-32, 37-38</t>
  </si>
  <si>
    <t>FS7</t>
  </si>
  <si>
    <t>Prosecutions</t>
  </si>
  <si>
    <t>FS8a</t>
  </si>
  <si>
    <t>Prosecutions - convictions Art.8-19</t>
  </si>
  <si>
    <t>FS8b</t>
  </si>
  <si>
    <t>Prosecutions - convictions Art.20-24, 27, 29-32, 37-38</t>
  </si>
  <si>
    <t>FS8c</t>
  </si>
  <si>
    <t>Prosecutions - acquittals Art.8-19</t>
  </si>
  <si>
    <t>FS8d</t>
  </si>
  <si>
    <t>Prosecutions - acquittals Art.20-24, 27, 29-32, 37-38</t>
  </si>
  <si>
    <t>FS9</t>
  </si>
  <si>
    <t>Petroleum, explosives and dangerous substances</t>
  </si>
  <si>
    <t>FS10</t>
  </si>
  <si>
    <t>Number of staff employed by FRS for Fire safety activities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</si>
  <si>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</si>
  <si>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</si>
  <si>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</si>
  <si>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</si>
  <si>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</si>
  <si>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</si>
  <si>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</si>
  <si>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</si>
  <si>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</si>
  <si>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</si>
  <si>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</si>
  <si>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</si>
  <si>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</si>
  <si>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</si>
  <si>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</si>
  <si>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</si>
  <si>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</si>
  <si>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</si>
  <si>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</si>
  <si>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</si>
  <si>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</si>
  <si>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</si>
  <si>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</si>
  <si>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</si>
  <si>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</si>
  <si>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</si>
  <si>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</si>
  <si>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</si>
  <si>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</si>
  <si>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</si>
  <si>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</si>
  <si>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</si>
  <si>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</si>
  <si>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</si>
  <si>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</si>
  <si>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</si>
  <si>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</si>
  <si>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</si>
  <si>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</si>
  <si>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</si>
  <si>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</si>
  <si>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</si>
  <si>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</si>
  <si>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</si>
  <si>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</si>
  <si>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</si>
  <si>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</si>
  <si>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</si>
  <si>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</si>
  <si>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</si>
  <si>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</si>
  <si>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</si>
  <si>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</si>
  <si>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</si>
  <si>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</si>
  <si>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</si>
  <si>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</si>
  <si>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</si>
  <si>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</si>
  <si>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</si>
  <si>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</si>
  <si>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</si>
  <si>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</si>
  <si>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</si>
  <si>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</si>
  <si>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</si>
  <si>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</si>
  <si>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</si>
  <si>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</si>
  <si>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</si>
  <si>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</si>
  <si>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</si>
  <si>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</si>
  <si>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</si>
  <si>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</si>
  <si>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</si>
  <si>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</si>
  <si>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</si>
  <si>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</si>
  <si>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</si>
  <si>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</si>
  <si>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</si>
  <si>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</si>
  <si>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</si>
  <si>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</si>
  <si>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</si>
  <si>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</si>
  <si>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</si>
  <si>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</si>
  <si>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</si>
  <si>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</si>
  <si>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</si>
  <si>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</si>
  <si>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</si>
  <si>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</si>
  <si>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</si>
  <si>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</si>
  <si>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</si>
  <si>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</si>
  <si>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</si>
  <si>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</si>
  <si>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</si>
  <si>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</si>
  <si>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</si>
  <si>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</si>
  <si>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</si>
  <si>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</si>
  <si>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</si>
  <si>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</si>
  <si>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Fire Safety forms (FS1-FS10)</t>
  </si>
  <si>
    <t>The fire safety returns (FS1 to FS10) collect data on:</t>
  </si>
  <si>
    <r>
      <t>§</t>
    </r>
    <r>
      <rPr>
        <sz val="7"/>
        <rFont val="Times New Roman"/>
        <family val="1"/>
      </rPr>
      <t>  </t>
    </r>
    <r>
      <rPr>
        <b/>
        <sz val="7"/>
        <rFont val="Times New Roman"/>
        <family val="1"/>
      </rPr>
      <t xml:space="preserve"> </t>
    </r>
    <r>
      <rPr>
        <b/>
        <sz val="12"/>
        <rFont val="Arial"/>
        <family val="2"/>
      </rPr>
      <t>Fire safety enforcement activity</t>
    </r>
    <r>
      <rPr>
        <sz val="12"/>
        <rFont val="Arial"/>
        <family val="2"/>
      </rPr>
      <t xml:space="preserve"> under the Regulatory Reform (Fire Safety) Order 2005 (FSO)</t>
    </r>
  </si>
  <si>
    <r>
      <t>§</t>
    </r>
    <r>
      <rPr>
        <sz val="7"/>
        <rFont val="Times New Roman"/>
        <family val="1"/>
      </rPr>
      <t xml:space="preserve">   </t>
    </r>
    <r>
      <rPr>
        <b/>
        <sz val="12"/>
        <rFont val="Arial"/>
        <family val="2"/>
      </rPr>
      <t>Enforcement activity under additional legislation</t>
    </r>
  </si>
  <si>
    <r>
      <t>Ø</t>
    </r>
    <r>
      <rPr>
        <sz val="7"/>
        <rFont val="Times New Roman"/>
        <family val="1"/>
      </rPr>
      <t xml:space="preserve">      </t>
    </r>
    <r>
      <rPr>
        <sz val="12"/>
        <rFont val="Arial"/>
        <family val="2"/>
      </rPr>
      <t>the Dangerous Substances and Explosive Atmosphere Regulations 2002 (DSEAR)</t>
    </r>
  </si>
  <si>
    <r>
      <t>Ø</t>
    </r>
    <r>
      <rPr>
        <sz val="7"/>
        <rFont val="Times New Roman"/>
        <family val="1"/>
      </rPr>
      <t xml:space="preserve">      </t>
    </r>
    <r>
      <rPr>
        <sz val="12"/>
        <rFont val="Arial"/>
        <family val="2"/>
      </rPr>
      <t xml:space="preserve">the Petroleum (Consolidation) Act 1928 </t>
    </r>
  </si>
  <si>
    <r>
      <t>Ø</t>
    </r>
    <r>
      <rPr>
        <sz val="7"/>
        <rFont val="Times New Roman"/>
        <family val="1"/>
      </rPr>
      <t xml:space="preserve">      </t>
    </r>
    <r>
      <rPr>
        <sz val="12"/>
        <rFont val="Arial"/>
        <family val="2"/>
      </rPr>
      <t xml:space="preserve">the Manufacture and Storage of Explosives Regulations 2005 and </t>
    </r>
  </si>
  <si>
    <r>
      <t>Ø</t>
    </r>
    <r>
      <rPr>
        <sz val="7"/>
        <rFont val="Times New Roman"/>
        <family val="1"/>
      </rPr>
      <t xml:space="preserve">      </t>
    </r>
    <r>
      <rPr>
        <sz val="12"/>
        <rFont val="Arial"/>
        <family val="2"/>
      </rPr>
      <t xml:space="preserve">the Fireworks Regulations 2004 for which some FRAs are responsible. </t>
    </r>
  </si>
  <si>
    <r>
      <t>§</t>
    </r>
    <r>
      <rPr>
        <sz val="7"/>
        <rFont val="Times New Roman"/>
        <family val="1"/>
      </rPr>
      <t xml:space="preserve">   </t>
    </r>
    <r>
      <rPr>
        <b/>
        <sz val="12"/>
        <rFont val="Arial"/>
        <family val="2"/>
      </rPr>
      <t>Other fire safety activity</t>
    </r>
    <r>
      <rPr>
        <sz val="12"/>
        <rFont val="Arial"/>
        <family val="2"/>
      </rPr>
      <t xml:space="preserve"> such as building regulations consultations</t>
    </r>
  </si>
  <si>
    <t>The Home Office uses this data to deliver its policy responsibilities to Parliament and Ministers and to inform policy development over time.</t>
  </si>
  <si>
    <t>Recording enforcement activity</t>
  </si>
  <si>
    <r>
      <t xml:space="preserve">When recording time spent on Fire Safety Order (FSO) enforcement activities, no distinction should be made between operational and specialist staff. All staff involved in FSO enforcement must be competent to carry out their specific tasks.
For reference, see the </t>
    </r>
    <r>
      <rPr>
        <b/>
        <sz val="12"/>
        <rFont val="Arial"/>
        <family val="2"/>
      </rPr>
      <t>Competence Framework for Fire Safety Regulators:</t>
    </r>
    <r>
      <rPr>
        <sz val="12"/>
        <rFont val="Arial"/>
        <family val="2"/>
      </rPr>
      <t xml:space="preserve">
</t>
    </r>
  </si>
  <si>
    <t>NFCC Protection guidance</t>
  </si>
  <si>
    <t>Premises covered by the FSO</t>
  </si>
  <si>
    <t>The Fire Safety Order applies to all premises except single private dwellings. This guidance should be read alongside the full legislation:</t>
  </si>
  <si>
    <t>Regulatory Reform (Fire Safety) Order 2005</t>
  </si>
  <si>
    <t>Classification of purpose-built flats (FS1-FS8)</t>
  </si>
  <si>
    <t>1–3 storeys
4–5 storeys
6–9 storeys
10+ storeys</t>
  </si>
  <si>
    <r>
      <t xml:space="preserve">If you </t>
    </r>
    <r>
      <rPr>
        <b/>
        <sz val="12"/>
        <rFont val="Arial"/>
        <family val="2"/>
      </rPr>
      <t>cannot provide data</t>
    </r>
    <r>
      <rPr>
        <sz val="12"/>
        <rFont val="Arial"/>
        <family val="2"/>
      </rPr>
      <t xml:space="preserve"> using these categories, please enter the information in the "≥4 storeys" row (highlighted in grey) and </t>
    </r>
    <r>
      <rPr>
        <b/>
        <sz val="12"/>
        <rFont val="Arial"/>
        <family val="2"/>
      </rPr>
      <t>leave the other rows blank</t>
    </r>
    <r>
      <rPr>
        <sz val="12"/>
        <rFont val="Arial"/>
        <family val="2"/>
      </rPr>
      <t>.</t>
    </r>
  </si>
  <si>
    <t>FS1 – Fire safety audits &amp; outcomes</t>
  </si>
  <si>
    <t>General Guidance</t>
  </si>
  <si>
    <t>The FS1 return collects data on the number and outcomes of fire safety audits conducted for different types of premises. This information is used to:
•  Assess resource implications.
•  Examine the relationship between audit programs and Integrated Risk Management Plan (IRMP) objectives.
•  Determine overall compliance levels.
•  Identify areas to target fire safety publicity, education, and training programs.</t>
  </si>
  <si>
    <t>Definitions</t>
  </si>
  <si>
    <t xml:space="preserve"> </t>
  </si>
  <si>
    <r>
      <t>Fire Safety audit</t>
    </r>
    <r>
      <rPr>
        <sz val="12"/>
        <rFont val="Arial"/>
        <family val="2"/>
      </rPr>
      <t xml:space="preserve">: </t>
    </r>
  </si>
  <si>
    <r>
      <t xml:space="preserve">A fire safety audit refers to a scheduled or planned visit conducted by an appropriately skilled fire safety inspector (minimum of a Level 3 qualification in Fire Safety) to carry out a comprehensive assessment of compliance with the Fire Safety Order (FSO). The scope of this assessment is outlined in Part B of the CFOA Fire Safety Audit and Information Gathering Form (CFOA Circular 2008/1016). Fire safety checks should </t>
    </r>
    <r>
      <rPr>
        <b/>
        <sz val="12"/>
        <rFont val="Arial"/>
        <family val="2"/>
      </rPr>
      <t xml:space="preserve">not be counted </t>
    </r>
    <r>
      <rPr>
        <sz val="12"/>
        <rFont val="Arial"/>
        <family val="2"/>
      </rPr>
      <t>as an audit, instead these checks should be recorded under fire safety activities.</t>
    </r>
  </si>
  <si>
    <r>
      <t>Short audit</t>
    </r>
    <r>
      <rPr>
        <sz val="12"/>
        <rFont val="Arial"/>
        <family val="2"/>
      </rPr>
      <t xml:space="preserve">: </t>
    </r>
  </si>
  <si>
    <t>A short audit is conducted using the CFOA short audit form.</t>
  </si>
  <si>
    <r>
      <t>Satisfactory audit:</t>
    </r>
    <r>
      <rPr>
        <sz val="12"/>
        <rFont val="Arial"/>
        <family val="2"/>
      </rPr>
      <t xml:space="preserve"> </t>
    </r>
  </si>
  <si>
    <t>An audit should be recorded as satisfactory if the premises broadly comply with the FSO and no further action is necessary</t>
  </si>
  <si>
    <r>
      <t>Unsatisfactory audit:</t>
    </r>
    <r>
      <rPr>
        <sz val="12"/>
        <rFont val="Arial"/>
        <family val="2"/>
      </rPr>
      <t xml:space="preserve"> </t>
    </r>
  </si>
  <si>
    <t>An audit should be recorded as unsatisfactory if further action is required to bring the premises into compliance.
•  Each audit must be recorded only once as either satisfactory or unsatisfactory, regardless of any follow-up actions resulting from an unsatisfactory audit.
•  Each separate enforcement action taken (formal or informal) must be recorded in the relevant column.</t>
  </si>
  <si>
    <t xml:space="preserve">Recording hours: </t>
  </si>
  <si>
    <t xml:space="preserve">The number of hours recorded must include all those taken to complete the original fire safety audit. Where the outcome of the audit is unsatisfactory the total time spent on all the subsequent enforcement activity related to the original audit, regardless of the type (including, where applicable, prosecutions) and any other follow up visits, must be included as part of the total spent against the original audit.  </t>
  </si>
  <si>
    <t>The total number of hours recorded should include:
•   Time spent conducting the initial fire safety audit.
•   Time spent on all subsequent enforcement activities (including prosecutions).
•   Administrative tasks, such as file research, travel, and correspondence.
•   Telephone and electronic communications related to the audit.
•   Time spent at the premises performing tasks.</t>
  </si>
  <si>
    <t>Examples to illustrate how to calculate ‘hours’:</t>
  </si>
  <si>
    <t>Outcome of initial audit - satisfactory</t>
  </si>
  <si>
    <t xml:space="preserve">Time to complete fire safety audit </t>
  </si>
  <si>
    <t>2 hours</t>
  </si>
  <si>
    <t>Time to complete all other associated tasks e.g. file research, telephone calls, travelling, audit, administration, etc.</t>
  </si>
  <si>
    <t>2.25 hours</t>
  </si>
  <si>
    <t>Total time of the audit to be recorded</t>
  </si>
  <si>
    <t>4.25 hours</t>
  </si>
  <si>
    <t>Outcome of initial audit - unsatisfactory</t>
  </si>
  <si>
    <t>Time to complete initial audit</t>
  </si>
  <si>
    <t>4 hours</t>
  </si>
  <si>
    <t>Time to issue enforcement notice</t>
  </si>
  <si>
    <t>Time to consider informal appeal</t>
  </si>
  <si>
    <t>Time to issue new enforcement notice</t>
  </si>
  <si>
    <t xml:space="preserve">Follow up visit (e.g. to check compliance with enforcement notice) </t>
  </si>
  <si>
    <t>1 hour</t>
  </si>
  <si>
    <t>Time to complete all other associated tasks e.g. file search, telephone calls, correspondence etc.</t>
  </si>
  <si>
    <t>1.5 hours</t>
  </si>
  <si>
    <t>12.5 hours</t>
  </si>
  <si>
    <r>
      <t xml:space="preserve">Recording Time Periods:
•  The total time should be recorded only once, at the end of all actions related to the original audit.
•  If audit-related work extends beyond the reporting period, it should be recorded in the latter period.
•  </t>
    </r>
    <r>
      <rPr>
        <b/>
        <sz val="12"/>
        <rFont val="Arial"/>
        <family val="2"/>
      </rPr>
      <t>Other inspections (e.g., complaint-driven inspections or mini-audits) should be recorded under FS2 (Other Fire Safety Activity), not FS1.</t>
    </r>
  </si>
  <si>
    <t>Enforcement and compliance actions</t>
  </si>
  <si>
    <t xml:space="preserve">Informal notification: </t>
  </si>
  <si>
    <t>Any non-legally binding action resulting from an unsatisfactory audit, such as an informal notification or an agreed action plan, should be recorded under this category.</t>
  </si>
  <si>
    <r>
      <t xml:space="preserve">Enforcement Notices Served: </t>
    </r>
    <r>
      <rPr>
        <sz val="12"/>
        <rFont val="Arial"/>
        <family val="2"/>
      </rPr>
      <t/>
    </r>
  </si>
  <si>
    <t>If staged enforcement action occurs (e.g., informal action followed by an enforcement notice), entries should be made in both relevant columns.
•  The total hours for each action must be recorded against the initial unsatisfactory audit.</t>
  </si>
  <si>
    <t xml:space="preserve">Prosecutions of Offences: </t>
  </si>
  <si>
    <t>Prosecution cases often take considerable time before a judicial decision is reached.
•   The total hours recorded for an audit must include all time spent up to the conclusion of the prosecution.
•   If legal proceedings involve other enforcement actions, all related hours should be included in the total time recorded for the original audit.</t>
  </si>
  <si>
    <t xml:space="preserve">Satisfactory Following Enforcement: </t>
  </si>
  <si>
    <t>If an audit is initially recorded as unsatisfactory but subsequent enforcement leads to compliance, the outcome should be recorded in this column.
•   In such cases, a new audit (Part B form) must be completed to reflect the reduced risk.
•   This should not be counted as a separate audit but as part of the total time recorded for the original audit.</t>
  </si>
  <si>
    <t>FS2 – Number of Premises and Other Fire Safety Activities</t>
  </si>
  <si>
    <t>The FS2 return collects information on the number of relevant premises known to the enforcing authority and listed in its fire safety database. It also records the number and resource implications of statutory consultations from building control bodies andother fire safety activities.</t>
  </si>
  <si>
    <r>
      <t>Premises known</t>
    </r>
    <r>
      <rPr>
        <sz val="12"/>
        <rFont val="Arial"/>
        <family val="2"/>
      </rPr>
      <t xml:space="preserve">: </t>
    </r>
  </si>
  <si>
    <t>FRAs must establish a risk profile for premises in their area and maintain knowledge of all relevant premises, excluding single private dwellings. Please also record the data source for this information.</t>
  </si>
  <si>
    <t xml:space="preserve">Building Regulations Consultations: </t>
  </si>
  <si>
    <t>The number of statutory consultations under articles 45 and 46 of the FSO, including hours taken. Comprehensive audits resulting from these consultations must be recorded separately in FS1.</t>
  </si>
  <si>
    <t xml:space="preserve">Other Fire Safety activities: </t>
  </si>
  <si>
    <t>This will capture all fire safety activity generated by requests from others, i.e, approaches from other agencies or bodies (e.g., Ofsted), the public, and business representatives as well as any FSO related promotional/awareness raising activities generated within the FRA.</t>
  </si>
  <si>
    <t>To include:</t>
  </si>
  <si>
    <r>
      <t>ü</t>
    </r>
    <r>
      <rPr>
        <sz val="7"/>
        <rFont val="Times New Roman"/>
        <family val="1"/>
      </rPr>
      <t xml:space="preserve">      </t>
    </r>
    <r>
      <rPr>
        <sz val="12"/>
        <rFont val="Arial"/>
        <family val="2"/>
      </rPr>
      <t>The provision of advice, such as meetings to discuss technical fire safety with responsible persons and , delivering awareness raising/promotional activity to wider business community.</t>
    </r>
  </si>
  <si>
    <r>
      <t>ü</t>
    </r>
    <r>
      <rPr>
        <sz val="7"/>
        <rFont val="Times New Roman"/>
        <family val="1"/>
      </rPr>
      <t xml:space="preserve">      </t>
    </r>
    <r>
      <rPr>
        <sz val="12"/>
        <rFont val="Arial"/>
        <family val="2"/>
      </rPr>
      <t xml:space="preserve">Inspections where a full fire safety audit is not carried out.  It  would include inspections formerly described as ‘During performance’ or ‘in use’, and those which are generated by complaints of an alleged fire risk. </t>
    </r>
  </si>
  <si>
    <r>
      <t>ü</t>
    </r>
    <r>
      <rPr>
        <sz val="7"/>
        <rFont val="Times New Roman"/>
        <family val="1"/>
      </rPr>
      <t xml:space="preserve">      </t>
    </r>
    <r>
      <rPr>
        <sz val="12"/>
        <rFont val="Arial"/>
        <family val="2"/>
      </rPr>
      <t xml:space="preserve">Any other FSO related fire safety related activity not connected with an audit. </t>
    </r>
  </si>
  <si>
    <t>Not to include FSO related fire safety activity carried out in connection with any premises covered by the Order that involve:</t>
  </si>
  <si>
    <r>
      <t>û</t>
    </r>
    <r>
      <rPr>
        <sz val="7"/>
        <rFont val="Times New Roman"/>
        <family val="1"/>
      </rPr>
      <t xml:space="preserve">       </t>
    </r>
    <r>
      <rPr>
        <sz val="12"/>
        <rFont val="Arial"/>
        <family val="2"/>
      </rPr>
      <t>a fire safety audit</t>
    </r>
  </si>
  <si>
    <r>
      <t>û</t>
    </r>
    <r>
      <rPr>
        <sz val="7"/>
        <rFont val="Times New Roman"/>
        <family val="1"/>
      </rPr>
      <t xml:space="preserve">       </t>
    </r>
    <r>
      <rPr>
        <sz val="12"/>
        <rFont val="Arial"/>
        <family val="2"/>
      </rPr>
      <t xml:space="preserve">statutory consultation </t>
    </r>
  </si>
  <si>
    <r>
      <t>û</t>
    </r>
    <r>
      <rPr>
        <sz val="7"/>
        <rFont val="Times New Roman"/>
        <family val="1"/>
      </rPr>
      <t xml:space="preserve">       </t>
    </r>
    <r>
      <rPr>
        <sz val="12"/>
        <rFont val="Arial"/>
        <family val="2"/>
      </rPr>
      <t xml:space="preserve">inspections under section 7(2)(d) of the Fire and Rescue Services Act 2004 </t>
    </r>
  </si>
  <si>
    <r>
      <t>û</t>
    </r>
    <r>
      <rPr>
        <sz val="7"/>
        <rFont val="Times New Roman"/>
        <family val="1"/>
      </rPr>
      <t xml:space="preserve">       </t>
    </r>
    <r>
      <rPr>
        <sz val="12"/>
        <rFont val="Arial"/>
        <family val="2"/>
      </rPr>
      <t xml:space="preserve">an on line self assessment </t>
    </r>
  </si>
  <si>
    <t>Do not include activity outside of the FSO</t>
  </si>
  <si>
    <t>FS6 – Non-compliance resulting in action (excluding prosecutions)</t>
  </si>
  <si>
    <t xml:space="preserve">FS6 return collects information on non-compliance against Alteration, Enforcement, Prohibition notices and to other relevant articles. It also identifies targeting opportunities for fire safety publicity, education and training programmes. The results from this return will provide a national profile of the level of compliance with the Order and highlight those Articles by premises type where non-compliance is occurring. </t>
  </si>
  <si>
    <r>
      <t xml:space="preserve">Note: </t>
    </r>
    <r>
      <rPr>
        <sz val="12"/>
        <rFont val="Arial"/>
        <family val="2"/>
      </rPr>
      <t>The inputs for this return should mainly be derived from the outputs of the fire safety audit process. Where possible multiple entries of non-compliance can be counted under the same Article.</t>
    </r>
  </si>
  <si>
    <r>
      <t>Duty to take general fire</t>
    </r>
    <r>
      <rPr>
        <sz val="12"/>
        <rFont val="Arial"/>
        <family val="2"/>
      </rPr>
      <t xml:space="preserve"> </t>
    </r>
    <r>
      <rPr>
        <b/>
        <sz val="12"/>
        <rFont val="Arial"/>
        <family val="2"/>
      </rPr>
      <t>precautions (Article 8):</t>
    </r>
  </si>
  <si>
    <t xml:space="preserve">Any general non-compliance that is not related to one of the specific Articles listed at the head of a column is to be recorded in this column. For further information please refer to RR(FS)O(2005), Article 8.
</t>
  </si>
  <si>
    <r>
      <t>Power for inspectors:</t>
    </r>
    <r>
      <rPr>
        <sz val="12"/>
        <rFont val="Arial"/>
        <family val="2"/>
      </rPr>
      <t xml:space="preserve"> </t>
    </r>
  </si>
  <si>
    <t>Where an inspector is prevented from exercising powers provided for under Article 27.</t>
  </si>
  <si>
    <t xml:space="preserve">Failure to comply with Alteration, Enforcement or Prohibition notices: </t>
  </si>
  <si>
    <t xml:space="preserve">A single entry is to be made in the relevant columns where non-compliance with Alterations, Enforcement, or Prohibition notices has been identified, irrespective of how many items within the notice have not been complied with.
</t>
  </si>
  <si>
    <t xml:space="preserve">Other matters not recorded elsewhere (Article 32): </t>
  </si>
  <si>
    <t xml:space="preserve">Non-compliance in respect of any other matter for which it is an offence under Article 32 and which is not covered by one of the other columns. 
</t>
  </si>
  <si>
    <t>Where an entry is made in this column a brief note identifying the article containing the requirement and a description of the non-compliance should be provided in the notes attached to the returns to assist with the forms evaluation.</t>
  </si>
  <si>
    <t>FS7 – Prosecutions</t>
  </si>
  <si>
    <t xml:space="preserve">FS7 collects data on number of prosecutions taken for offences under Article 32. Information recorded include the number of - appeals against conviction resulting in acquittal or conviction being upheld, prosecutions waiting to be determined, active prosecutions and prosecution cases withdrawn prior to judicial hearing. </t>
  </si>
  <si>
    <t xml:space="preserve">The number of prosecutions should be recorded against the number of people being prosecuted. For example If there are two persons prosecuted against one premises then this should count as two prosecutions. </t>
  </si>
  <si>
    <t>•    The number of prosecutions not yet heard, must match the number of prosecutions being carried forward to the next year
•    The number of prosecutions brought forward from the previous year, must match the number of prosecutions being carried forward from the previous year
•     If there is a prosecution carried forward from the previous year, and there is not then a prosecution carried forward to the following year, there must either be a prosecution, or a prosecution withdrawn</t>
  </si>
  <si>
    <t xml:space="preserve">Number of Prosecutions under Article 32: </t>
  </si>
  <si>
    <t xml:space="preserve">Prosecutions withdrawn by  enforcing authority: </t>
  </si>
  <si>
    <t>Where a notice of prosecution (i.e. a summons) is withdrawn by the enforcing authority for any reason (including as a result of an informal appeal made direct to the authority prior to a judicial hearing). The reason for withdrawal should be recorded in the notes.</t>
  </si>
  <si>
    <t>Number of prosecutions not yet heard/determined</t>
  </si>
  <si>
    <t>Where the decision has been made to prosecute but the case is waiting to be heard/determined by the court i.e. an information has been laid in the magistrate's court hasn't yet been to trial 
The number of proseuctions not yet heard, must match the number of prosecutions being carried through to the next year</t>
  </si>
  <si>
    <t>Number of prosecutions brought forward from the previous reporting period / Number of prosecutions carried forward to the next reporting period</t>
  </si>
  <si>
    <t>The number of prosections brought forward from the previous year must match the number of prosecutions being carried forward from the previous year
 If there is a prosecution carried forward from the previous year, and there is not then a prosecution carried forward to the following year, there must either be a prosecution, or a prosecution withdrawn</t>
  </si>
  <si>
    <t>FS8a and b – Prosecutions leading to convictions</t>
  </si>
  <si>
    <t>FS8a and FS8b record the relevant articles in the prosecution case leading to conviction and identify when the conviction related to a failure to comply with an Alteration, Enforcement or Prohibition notice or with any other Article listed. The aim is to observe conviction trends against types of premises and identify targeting opportunities for fire safety publicity, education and training programmes.</t>
  </si>
  <si>
    <t>Each conviction is to be recorded in the column headed with the relevant article(s), under which the prosecution was taken. For more information on the articles listed, please refer to the relevant section in RR(FS)O (2005).</t>
  </si>
  <si>
    <t>To record convictions for any other matter for which it is an offence under Article 32 and which is not covered by one of the other columns. Where an entry is made in this column a brief note identifying the Article(s) containing the requirement and a description of the non-compliance leading to conviction should be provided in the notes attached to the returns to assist with the forms evaluation.</t>
  </si>
  <si>
    <t>FS8c and FS8d – Prosecutions leading to acquittals</t>
  </si>
  <si>
    <t>FS8c and FS8d record the relevant articles in the prosecution case leading to acquittal and identify enforcement difficulties rising from legal proceedings and case law.</t>
  </si>
  <si>
    <t xml:space="preserve">Other matters not recorded </t>
  </si>
  <si>
    <t>See FS8a and b</t>
  </si>
  <si>
    <t>elsewhere (Article 32):</t>
  </si>
  <si>
    <t xml:space="preserve">FS9 – Petroleum, explosives and dangerous substances </t>
  </si>
  <si>
    <t>FS9 collects data on enforcement activities under other legislations- Petroleum (Consolidation) Act 1928/Dangerous Substances and Explosive Atmospheres Regulations 2002 (DSEAR) and Explosives Regulations 2014/ DSEAR. It records the number of premises known, the number of inspections carried out and the number of contraventions and prosecutions under each category. It also identifies resource implications by recording hours spent on inspections.</t>
  </si>
  <si>
    <r>
      <t>Note:</t>
    </r>
    <r>
      <rPr>
        <sz val="12"/>
        <rFont val="Arial"/>
        <family val="2"/>
      </rPr>
      <t xml:space="preserve"> Completion of this return is only to be carried out by those authorities responsible for enforcing the legislation listed. </t>
    </r>
    <r>
      <rPr>
        <b/>
        <sz val="12"/>
        <rFont val="Arial"/>
        <family val="2"/>
      </rPr>
      <t>Other authorities are to provide a nil return by indicating in the spreadsheet that they are not responsible for enforcing the legislation.</t>
    </r>
  </si>
  <si>
    <r>
      <t>Note:</t>
    </r>
    <r>
      <rPr>
        <sz val="12"/>
        <rFont val="Arial"/>
        <family val="2"/>
      </rPr>
      <t xml:space="preserve"> For the purpose of this return it is not necessary to differentiate between the different legislation applying to the same premises under which the inspection is being carried out.  </t>
    </r>
  </si>
  <si>
    <r>
      <t>Premises known:</t>
    </r>
    <r>
      <rPr>
        <sz val="12"/>
        <rFont val="Arial"/>
        <family val="2"/>
      </rPr>
      <t xml:space="preserve"> </t>
    </r>
  </si>
  <si>
    <t>The number of premises known in each category is to be recorded.</t>
  </si>
  <si>
    <r>
      <t>ü</t>
    </r>
    <r>
      <rPr>
        <sz val="7"/>
        <rFont val="Times New Roman"/>
        <family val="1"/>
      </rPr>
      <t xml:space="preserve">      </t>
    </r>
    <r>
      <rPr>
        <sz val="12"/>
        <rFont val="Arial"/>
        <family val="2"/>
      </rPr>
      <t xml:space="preserve">Because FRAs also have enforcement responsibility under DSEAR in those premises where they enforce petroleum or explosives legislation, the “premises known” will be the same and must therefore only be recorded once.  </t>
    </r>
  </si>
  <si>
    <r>
      <t>û</t>
    </r>
    <r>
      <rPr>
        <sz val="7"/>
        <rFont val="Times New Roman"/>
        <family val="1"/>
      </rPr>
      <t xml:space="preserve">       </t>
    </r>
    <r>
      <rPr>
        <sz val="12"/>
        <rFont val="Arial"/>
        <family val="2"/>
      </rPr>
      <t xml:space="preserve">Where premises storing or using, petroleum, explosives or dangerous substances exist within the FRA's area but the FRA is </t>
    </r>
    <r>
      <rPr>
        <b/>
        <sz val="12"/>
        <rFont val="Arial"/>
        <family val="2"/>
      </rPr>
      <t xml:space="preserve">not </t>
    </r>
    <r>
      <rPr>
        <sz val="12"/>
        <rFont val="Arial"/>
        <family val="2"/>
      </rPr>
      <t>the enforcing authority under the relevant legislation, inspections or visits carried out for other reasons e.g. operational, must not be recorded on the FS9.</t>
    </r>
  </si>
  <si>
    <t xml:space="preserve">Number of inspections: </t>
  </si>
  <si>
    <t>The number of separate inspections in each category is to be recorded (regardless of which legislation is being enforced)</t>
  </si>
  <si>
    <t xml:space="preserve">Hours spent on Inspections: </t>
  </si>
  <si>
    <t>All time spent by all FRS personnel (including administrative) is to be included.</t>
  </si>
  <si>
    <t xml:space="preserve">Contraventions/ Prosecutions: </t>
  </si>
  <si>
    <t xml:space="preserve">The number of contraventions and prosecutions under each category (regardless of the legislation applying) is to be recorded in the relevant column.  </t>
  </si>
  <si>
    <t>FS10 – Number of staff employed by FRS for Fire safety activities (Mandatory)</t>
  </si>
  <si>
    <t>FS10 collects data on the number of staff (FTE) within the FRS on 31 March 2023 that were competent to carry out a fire safety short audit / fire safety audit / serve an enforcement notice / serve a prohibition notice. This was previously collected by HMICFRS for individual FRSs but the Home Office is able to publish a national picture.</t>
  </si>
  <si>
    <t>How many fire engineers (FTE) were employed by the FRS in the last financial year (based on the NFCC competency framework for fire service engineers or equivalent), split into fire engineer technician/fire engineer/senior fire engineer. This was previously collected by HMICFRS for individual FRSs but the Home Office is able to publish a national picture.</t>
  </si>
  <si>
    <t xml:space="preserve">See NFCC Competency Framework for Fire Safety Regulators for more information. </t>
  </si>
  <si>
    <t>Please exclude staff on maternity leave, or vacancies.</t>
  </si>
  <si>
    <t>Fire Safety short audit:</t>
  </si>
  <si>
    <t>As set out in the CFOA Short Audit Guidance (November 2015).</t>
  </si>
  <si>
    <t>Fire Safety audit</t>
  </si>
  <si>
    <t xml:space="preserve">A fire safety audit should be considered as a scheduled or planned visit by an appropriately skilled fire safety officer to carry out a comprehensive assessment of the level of compliance with the requirements of the Fire Safety Order (FSO). The scope of a 'comprehensive assessment' is indicated in Part B of the CFOA fire safety audit and information gathering form issued under cover of the CFOA Circular 2008/1016. </t>
  </si>
  <si>
    <t>Enforcement notice</t>
  </si>
  <si>
    <t>Notices issued under Regulatory Reform (Fire Safety) Order (2005) - Article 30. These are served if the enforcing authority is of the opinion that the responsible person has failed to comply with any provision of this Order or of any regulations made under it.</t>
  </si>
  <si>
    <t>Prohibition notice</t>
  </si>
  <si>
    <t xml:space="preserve">If the enforcing authority is of the opinion that use of premises involves or will involve a risk to relevant persons so serious that use of the premises ought to be prohibited or restricted, the authority may serve on the responsible person or any other person this notice. </t>
  </si>
  <si>
    <t>Fire engineer technician</t>
  </si>
  <si>
    <t>Level 5 fire qualification with recommended UK Engineering Council EngTech registration.</t>
  </si>
  <si>
    <t>Fire engineer</t>
  </si>
  <si>
    <t>BEng(Hons) Fire Engineering Degree or equivalent Level 6 fire related qualification with recommended IEng or Interim CEng UK Engineering council registration.</t>
  </si>
  <si>
    <t>Senior fire engineer</t>
  </si>
  <si>
    <t>MSc/MENg in fire related topic with UK Engineering Council CEng registration.</t>
  </si>
  <si>
    <t>Satisfactory Number of Audits or Inspections</t>
  </si>
  <si>
    <t>Satisfactory Hours of Audits or Inspections</t>
  </si>
  <si>
    <t>Unsatisfactory Number of Audits or Inspections</t>
  </si>
  <si>
    <t>Unsatisfactory Hours of Audits or Inspections</t>
  </si>
  <si>
    <t>Number of Premises Satisfactory Following Enforcement Action</t>
  </si>
  <si>
    <t>Number of Informal Notifications</t>
  </si>
  <si>
    <t>Number of Alteration Notices served under Article 29</t>
  </si>
  <si>
    <t>Number of Enforcement Notices Served under Article 30</t>
  </si>
  <si>
    <t>Number of Prohibition Notices Served Under Article 31</t>
  </si>
  <si>
    <t>Number of Prosecutions for Offences under Article 32</t>
  </si>
  <si>
    <t>Total Number of Audits or Inspections</t>
  </si>
  <si>
    <t>Audits or Inspections of which short audits</t>
  </si>
  <si>
    <t>Total number of formal notifications: sum of Articles 29, 30, 31 and 32</t>
  </si>
  <si>
    <t>Hospitals</t>
  </si>
  <si>
    <t>Care homes</t>
  </si>
  <si>
    <t>Houses in Multiple Occupation (HMO)</t>
  </si>
  <si>
    <t>Purpose built flats 1-3 storeys</t>
  </si>
  <si>
    <t>Purpose built flats 4-5 storeys</t>
  </si>
  <si>
    <t>Purpose built flats 6-9 storeys</t>
  </si>
  <si>
    <t>Purpose built flats &gt;=10 storeys</t>
  </si>
  <si>
    <t>Purpose built flats &gt;= 4 storeys*</t>
  </si>
  <si>
    <t>Hostels</t>
  </si>
  <si>
    <t>Hotels</t>
  </si>
  <si>
    <t>Houses converted to flats</t>
  </si>
  <si>
    <t>Other sleeping accommodation</t>
  </si>
  <si>
    <t>Further education</t>
  </si>
  <si>
    <t>Public buildings</t>
  </si>
  <si>
    <t>Licensed premises</t>
  </si>
  <si>
    <t>Schools</t>
  </si>
  <si>
    <t>Shops</t>
  </si>
  <si>
    <t>Other premises open to public</t>
  </si>
  <si>
    <t>Factories or warehouses</t>
  </si>
  <si>
    <t>Offices</t>
  </si>
  <si>
    <t>Other</t>
  </si>
  <si>
    <t>Total</t>
  </si>
  <si>
    <t>SHEET</t>
  </si>
  <si>
    <t>FINANCIAL_YEAR</t>
  </si>
  <si>
    <t>FRS_NAME</t>
  </si>
  <si>
    <t>INSPECTION_TYPE</t>
  </si>
  <si>
    <t>TOTAL</t>
  </si>
  <si>
    <t>FS1 - Fire Safety Audits and Outcomes FSO ONLY</t>
  </si>
  <si>
    <t>QA checks versus data submitted last year</t>
  </si>
  <si>
    <t>If a cell is highlighted yellow following data entry this indicates the figure inputted is significantly different to the figure inputted in the previous year. Please double check these figures prior to submitting this return.</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</si>
  <si>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</si>
  <si>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t>Satisfactory (Number)</t>
  </si>
  <si>
    <t>Satisfactory (Hours)</t>
  </si>
  <si>
    <t>Unsatisfactory (Number)</t>
  </si>
  <si>
    <t>Unsatisfactory (Hours)</t>
  </si>
  <si>
    <t>Number of Enforcement Notices Served Under Article 30</t>
  </si>
  <si>
    <t>Number of Prosecutions of Offences Under Article 32 (FS7)</t>
  </si>
  <si>
    <t xml:space="preserve">Total number of audits (sum of satisfactory and non satisfactory audits) </t>
  </si>
  <si>
    <t>Of which: The number of short audits (see guidance)</t>
  </si>
  <si>
    <t>Total number of formal notifications (Sum of articles 29, 30, 31, 32)</t>
  </si>
  <si>
    <t>FRS Notes</t>
  </si>
  <si>
    <t>PREMISES_TYPE</t>
  </si>
  <si>
    <t>Premises known</t>
  </si>
  <si>
    <t>Building regulations consultations number</t>
  </si>
  <si>
    <t>Other consultations number</t>
  </si>
  <si>
    <t>Other FS activities number</t>
  </si>
  <si>
    <t>Self assessments*</t>
  </si>
  <si>
    <t>Total number</t>
  </si>
  <si>
    <t>Building regulations consultations hours</t>
  </si>
  <si>
    <t>Other consultations hours</t>
  </si>
  <si>
    <t>Other FS activities hours</t>
  </si>
  <si>
    <t>Total hours</t>
  </si>
  <si>
    <t>HMOs</t>
  </si>
  <si>
    <t>Purpose built flats 1 to 3 storeys</t>
  </si>
  <si>
    <t>Purpose built flats 4 to 5 storeys</t>
  </si>
  <si>
    <t>Purpose built flats 6 to 9 storeys</t>
  </si>
  <si>
    <t>Purpose built flats 10 plus storeys</t>
  </si>
  <si>
    <t>Purpose built flats 4 plus storeys (no breakdown available)</t>
  </si>
  <si>
    <t>FS2 - Number of premises and other fire safety activities (including statutory consultations from building control bodies and self assessments received through the Fire Gateway web site) FSO ONLY</t>
  </si>
  <si>
    <t>Number of:</t>
  </si>
  <si>
    <t>Hours spent on:</t>
  </si>
  <si>
    <t>Premises known 
(Please specify  data source below)</t>
  </si>
  <si>
    <t>Building regulations consultations</t>
  </si>
  <si>
    <t>Other consultations</t>
  </si>
  <si>
    <t>Other FS activities</t>
  </si>
  <si>
    <t>Data source for number of premises</t>
  </si>
  <si>
    <t>FS6a - Non-compliance resulting in action of any type (excluding prosecutions) FSO ONLY</t>
  </si>
  <si>
    <t>Non-compliance resulting in action of any type (excluding prosecutions)</t>
  </si>
  <si>
    <t>Duty to take general fire precautions (Article 8)</t>
  </si>
  <si>
    <t>Risk Assessment (Article 9)</t>
  </si>
  <si>
    <t>Principles of prevention to be applied (Article 10)</t>
  </si>
  <si>
    <t>Fire safety arrangements (Article 11)</t>
  </si>
  <si>
    <t>Elimination or reduction of risks from dangerous substances (Article 12)</t>
  </si>
  <si>
    <t>Fire-fighting and fire detection (Article 13)</t>
  </si>
  <si>
    <t>Emergency routes and exits (Article 14)</t>
  </si>
  <si>
    <t>Procedures for serious and imminent danger and for danger areas (Article 15)</t>
  </si>
  <si>
    <t>Additional emergency measures in respect of dangerous substances (Article 16)</t>
  </si>
  <si>
    <t>Maintenance (Article 17)</t>
  </si>
  <si>
    <t>Safety assistance (Article 18)</t>
  </si>
  <si>
    <t>Provision of information to employees (Article 19)</t>
  </si>
  <si>
    <t>art8</t>
  </si>
  <si>
    <t>art9</t>
  </si>
  <si>
    <t>art10</t>
  </si>
  <si>
    <t>art11</t>
  </si>
  <si>
    <t>art12</t>
  </si>
  <si>
    <t>art13</t>
  </si>
  <si>
    <t>art14</t>
  </si>
  <si>
    <t>art15</t>
  </si>
  <si>
    <t>art16</t>
  </si>
  <si>
    <t>art17</t>
  </si>
  <si>
    <t>art18</t>
  </si>
  <si>
    <t>art19</t>
  </si>
  <si>
    <t>hospitals</t>
  </si>
  <si>
    <t>care</t>
  </si>
  <si>
    <t>hmo</t>
  </si>
  <si>
    <t>flat</t>
  </si>
  <si>
    <t>hostel</t>
  </si>
  <si>
    <t>hotel</t>
  </si>
  <si>
    <t>converted</t>
  </si>
  <si>
    <t>othersleep</t>
  </si>
  <si>
    <t>fured</t>
  </si>
  <si>
    <t>public</t>
  </si>
  <si>
    <t>licensed</t>
  </si>
  <si>
    <t>schools</t>
  </si>
  <si>
    <t>shops</t>
  </si>
  <si>
    <t>otherprem</t>
  </si>
  <si>
    <t>factories</t>
  </si>
  <si>
    <t>offices</t>
  </si>
  <si>
    <t>other</t>
  </si>
  <si>
    <t/>
  </si>
  <si>
    <t>FS6b - Non-compliance resulting in action of any type (excluding prosecutions) FSO ONLY</t>
  </si>
  <si>
    <t>Non-compliance resulting in action of any type (excluding prosecutions) - Continued</t>
  </si>
  <si>
    <t>Provision of information to employers and the self-employed from outside undertakings (Article 20)</t>
  </si>
  <si>
    <t>Training (Article 21)</t>
  </si>
  <si>
    <t>Co-operation and co-ordination (Article 22)</t>
  </si>
  <si>
    <t>General duties of employees at work (Article 23)</t>
  </si>
  <si>
    <t>Power to make regulations about fire precautions (Article 24)</t>
  </si>
  <si>
    <t>Powers of inspectors (Article 27)</t>
  </si>
  <si>
    <t>Failure to comply with Alteration Notices (Article 29)</t>
  </si>
  <si>
    <t>Failure to comply with Enforcement Notices (Article 30)</t>
  </si>
  <si>
    <t>Failure to comply with Prohibition Notices (Article 31)</t>
  </si>
  <si>
    <t>Firefighters' switches for luminous tube signs, etc (Article 37)</t>
  </si>
  <si>
    <t>Maintenance of measures provided for protection of firefighters (Article 38)</t>
  </si>
  <si>
    <t>Other matters not recorded elsewhere (Article 32)</t>
  </si>
  <si>
    <t>art20</t>
  </si>
  <si>
    <t>art21</t>
  </si>
  <si>
    <t>art22</t>
  </si>
  <si>
    <t>art23</t>
  </si>
  <si>
    <t>art24</t>
  </si>
  <si>
    <t>art27</t>
  </si>
  <si>
    <t>art29fail</t>
  </si>
  <si>
    <t>art30fail</t>
  </si>
  <si>
    <t>art31fail</t>
  </si>
  <si>
    <t>art37</t>
  </si>
  <si>
    <t>art38</t>
  </si>
  <si>
    <t>art32</t>
  </si>
  <si>
    <t>FS7 - Prosecutions FSO ONLY</t>
  </si>
  <si>
    <t>Number of prosecutions</t>
  </si>
  <si>
    <t>Number of Prosecutions under Article 32</t>
  </si>
  <si>
    <t>Number of appeals against conviction resulting in acquittal</t>
  </si>
  <si>
    <t>Number of appeals against conviction resulting in conviction upheld</t>
  </si>
  <si>
    <t>Number of prosecutions withdrawn by enforcing authority</t>
  </si>
  <si>
    <t>Number of prosecutions brought forward from the previous reporting period</t>
  </si>
  <si>
    <t>Number of prosecutions carried forward to the next reporting period</t>
  </si>
  <si>
    <t>art32proc</t>
  </si>
  <si>
    <t>acq</t>
  </si>
  <si>
    <t>conv</t>
  </si>
  <si>
    <t>notheard</t>
  </si>
  <si>
    <t>proswithd</t>
  </si>
  <si>
    <t>prosforwpre</t>
  </si>
  <si>
    <t>prosforwnext</t>
  </si>
  <si>
    <t>Prosecutions brought forward from the previous reporting period match the prosecutions carried forward from the previous year</t>
  </si>
  <si>
    <t>The total number of prosecutions brought forward from the previous reporting period should match the prosecutions carried forward from the previous year. If this is not possible for any reason please explain below.</t>
  </si>
  <si>
    <t>Number of prosecutions carried forward from the previous reporting period</t>
  </si>
  <si>
    <t>ACTION_TYPE</t>
  </si>
  <si>
    <t>VALUE</t>
  </si>
  <si>
    <t>FS8a - Prosecutions - convictions Art.8-19 FSO ONLY</t>
  </si>
  <si>
    <t>Number of prosecutions - convictions</t>
  </si>
  <si>
    <t>convart8</t>
  </si>
  <si>
    <t>convart9</t>
  </si>
  <si>
    <t>convart10</t>
  </si>
  <si>
    <t>convart11</t>
  </si>
  <si>
    <t>convart12</t>
  </si>
  <si>
    <t>convart13</t>
  </si>
  <si>
    <t>convart14</t>
  </si>
  <si>
    <t>convart15</t>
  </si>
  <si>
    <t>convart16</t>
  </si>
  <si>
    <t>convart17</t>
  </si>
  <si>
    <t>convart18</t>
  </si>
  <si>
    <t>convart19</t>
  </si>
  <si>
    <t>FS8b - Prosecutions - convictions Art.20-24, 27, 29-32, 37-38 FSO ONLY</t>
  </si>
  <si>
    <t>Number of prosecutions - convictions (continued)</t>
  </si>
  <si>
    <t>convart20</t>
  </si>
  <si>
    <t>convart21</t>
  </si>
  <si>
    <t>convart22</t>
  </si>
  <si>
    <t>convart23</t>
  </si>
  <si>
    <t>convart24</t>
  </si>
  <si>
    <t>convart27</t>
  </si>
  <si>
    <t>convart29fail</t>
  </si>
  <si>
    <t>convart30fail</t>
  </si>
  <si>
    <t>convart31fail</t>
  </si>
  <si>
    <t>convart37</t>
  </si>
  <si>
    <t>convart38</t>
  </si>
  <si>
    <t>convart32</t>
  </si>
  <si>
    <t>FS8c - Prosecutions - acquittals Art.8-19 FSO ONLY</t>
  </si>
  <si>
    <t>Number of prosecutions - acquittals</t>
  </si>
  <si>
    <t>acqart8</t>
  </si>
  <si>
    <t>acqart9</t>
  </si>
  <si>
    <t>acqart10</t>
  </si>
  <si>
    <t>acqart11</t>
  </si>
  <si>
    <t>acqart12</t>
  </si>
  <si>
    <t>acqart13</t>
  </si>
  <si>
    <t>acqart14</t>
  </si>
  <si>
    <t>acqart15</t>
  </si>
  <si>
    <t>acqart16</t>
  </si>
  <si>
    <t>acqart17</t>
  </si>
  <si>
    <t>acqart18</t>
  </si>
  <si>
    <t>acqart19</t>
  </si>
  <si>
    <t>FS8d - Prosecutions - acquittals Art.20-24, 27, 29-32, 37-38 FSO ONLY</t>
  </si>
  <si>
    <t>Number of prosecutions - acquittals (Continued)</t>
  </si>
  <si>
    <t>acqart20</t>
  </si>
  <si>
    <t>acqart21</t>
  </si>
  <si>
    <t>acqart22</t>
  </si>
  <si>
    <t>acqart23</t>
  </si>
  <si>
    <t>acqart24</t>
  </si>
  <si>
    <t>acqart27</t>
  </si>
  <si>
    <t>acqart29fail</t>
  </si>
  <si>
    <t>acqart30fail</t>
  </si>
  <si>
    <t>acqart31fail</t>
  </si>
  <si>
    <t>acqart37</t>
  </si>
  <si>
    <t>acqart38</t>
  </si>
  <si>
    <t>acqart32</t>
  </si>
  <si>
    <t>FS9 - Petroleum, explosives and dangerous substances</t>
  </si>
  <si>
    <t>Number of Inspections</t>
  </si>
  <si>
    <t>Hours spent on inspections</t>
  </si>
  <si>
    <t>Number of Contraventions</t>
  </si>
  <si>
    <t>Number of Prosecutions</t>
  </si>
  <si>
    <t>Petroleum (Consolidation) Act 1928/ Dangerous Substances and Explosive Atmospheres Regulations 2002: PUMP INSTALLATIONS</t>
  </si>
  <si>
    <t>Petroleum (Consolidation) Act 1928/ Dangerous Substances and Explosive Atmospheres Regulations 2002: DOMESTIC</t>
  </si>
  <si>
    <t>Explosives Regulations 2014: LICENCED</t>
  </si>
  <si>
    <t>Firework Regulations 2004: LICENSED</t>
  </si>
  <si>
    <t>Null returns</t>
  </si>
  <si>
    <t xml:space="preserve">Please indicate if you are not the Enforcing Authority </t>
  </si>
  <si>
    <t>FS10 - Number of staff employed by FRS for Fire safety activities</t>
  </si>
  <si>
    <t>Number (FTE)</t>
  </si>
  <si>
    <t>Short Audit</t>
  </si>
  <si>
    <t>Audit</t>
  </si>
  <si>
    <t>Serve an enforcement notice</t>
  </si>
  <si>
    <t>Serve a prohibition notice</t>
  </si>
  <si>
    <t>Fire Engineer Technician</t>
  </si>
  <si>
    <t>Fire Engineer</t>
  </si>
  <si>
    <t>Senior Fire Engineer</t>
  </si>
  <si>
    <t>Errors</t>
  </si>
  <si>
    <t>FS1 sheet</t>
  </si>
  <si>
    <t>FS2 sheet</t>
  </si>
  <si>
    <t>FS6a sheet</t>
  </si>
  <si>
    <t>FS6b sheet</t>
  </si>
  <si>
    <t>FS7 sheet</t>
  </si>
  <si>
    <t>FS8a sheet</t>
  </si>
  <si>
    <t>FS8b sheet</t>
  </si>
  <si>
    <t>FS8c sheet</t>
  </si>
  <si>
    <t>FS8d sheet</t>
  </si>
  <si>
    <t>FS9 sheet</t>
  </si>
  <si>
    <t>FS10 sheet</t>
  </si>
  <si>
    <t xml:space="preserve">Total number of audits are similar to previous year </t>
  </si>
  <si>
    <t>Building regulation consultations similar to previous year</t>
  </si>
  <si>
    <t>Numbers look generally sensible and similar to previous year</t>
  </si>
  <si>
    <t>Prosecutions not yet heard match prosecutions carried forward</t>
  </si>
  <si>
    <t>Number of competent staff to complete audit is complete</t>
  </si>
  <si>
    <t>Number of satisfactory audits are similar to previous year</t>
  </si>
  <si>
    <t>Other consultations similar to previous year</t>
  </si>
  <si>
    <t>Check FRS notes</t>
  </si>
  <si>
    <t>Prosecutions brought forward from previous year match prosecutions carried forward from previous year</t>
  </si>
  <si>
    <t>Number of unsatisfactory audits are similar to previous year</t>
  </si>
  <si>
    <t>Other fire safety activities</t>
  </si>
  <si>
    <t>Number of individual notices = Total number of notices</t>
  </si>
  <si>
    <t>FRS notes</t>
  </si>
  <si>
    <t>Comments</t>
  </si>
  <si>
    <t>Absolute value thresholds</t>
  </si>
  <si>
    <t>Percentage thresholds</t>
  </si>
  <si>
    <t>Number of prosecutions finalised in the year requested. i.e. 2025/26</t>
  </si>
  <si>
    <t>Number of staff in FRS (FTE) competent to carry out fire protection enforcement activities at 31st March 2025</t>
  </si>
  <si>
    <t>Number of fire engineers and technicians employed by FRS (FTE) at 31st March 2025</t>
  </si>
  <si>
    <r>
      <t xml:space="preserve">Please complete by </t>
    </r>
    <r>
      <rPr>
        <b/>
        <sz val="11"/>
        <rFont val="Arial"/>
        <family val="2"/>
      </rPr>
      <t>Friday 1 May 2026</t>
    </r>
    <r>
      <rPr>
        <sz val="11"/>
        <rFont val="Arial"/>
        <family val="2"/>
      </rPr>
      <t xml:space="preserve"> and send the spreadsheet as an attachment via e-mail to firestatistics@homeoffice.gov.uk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</si>
</sst>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0"/>
      <name val="Arial"/>
    </font>
    <font>
      <sz val="10"/>
      <name val="Arial"/>
      <family val="2"/>
    </font>
    <font>
      <b/>
      <sz val="12"/>
      <name val="Arial"/>
      <family val="2"/>
    </font>
    <font>
      <u/>
      <sz val="10"/>
      <color indexed="12"/>
      <name val="MS Sans Serif"/>
      <family val="2"/>
    </font>
    <font>
      <b/>
      <sz val="10"/>
      <name val="Arial"/>
      <family val="2"/>
    </font>
    <font>
      <sz val="8"/>
      <name val="Arial"/>
      <family val="2"/>
    </font>
    <font>
      <sz val="9"/>
      <name val="Arial"/>
      <family val="2"/>
    </font>
    <font>
      <sz val="14"/>
      <name val="Arial"/>
      <family val="2"/>
    </font>
    <font>
      <b/>
      <sz val="14"/>
      <name val="Arial"/>
      <family val="2"/>
    </font>
    <font>
      <b/>
      <sz val="16"/>
      <name val="Arial"/>
      <family val="2"/>
    </font>
    <font>
      <sz val="12"/>
      <name val="Arial"/>
      <family val="2"/>
    </font>
    <font>
      <sz val="12"/>
      <name val="Wingdings"/>
      <charset val="2"/>
    </font>
    <font>
      <sz val="7"/>
      <name val="Times New Roman"/>
      <family val="1"/>
    </font>
    <font>
      <i/>
      <sz val="12"/>
      <name val="Arial"/>
      <family val="2"/>
    </font>
    <font>
      <u/>
      <sz val="12"/>
      <name val="Arial"/>
      <family val="2"/>
    </font>
    <font>
      <sz val="8.5"/>
      <name val="Arial"/>
      <family val="2"/>
    </font>
    <font>
      <u/>
      <sz val="12"/>
      <color indexed="12"/>
      <name val="Arial"/>
      <family val="2"/>
    </font>
    <font>
      <sz val="11"/>
      <name val="Arial"/>
      <family val="2"/>
    </font>
    <font>
      <b/>
      <sz val="20"/>
      <name val="Arial"/>
      <family val="2"/>
    </font>
    <font>
      <b/>
      <sz val="11"/>
      <name val="Arial"/>
      <family val="2"/>
    </font>
    <font>
      <b/>
      <sz val="18"/>
      <name val="Arial"/>
      <family val="2"/>
    </font>
    <font>
      <u/>
      <sz val="11"/>
      <color indexed="10"/>
      <name val="Arial"/>
      <family val="2"/>
    </font>
    <font>
      <u/>
      <sz val="11"/>
      <color indexed="12"/>
      <name val="Arial"/>
      <family val="2"/>
    </font>
    <font>
      <sz val="11"/>
      <color rgb="FFFF0000"/>
      <name val="Arial"/>
      <family val="2"/>
    </font>
    <font>
      <sz val="11"/>
      <color indexed="9"/>
      <name val="Arial"/>
      <family val="2"/>
    </font>
    <font>
      <sz val="10"/>
      <color rgb="FFFF0000"/>
      <name val="Arial"/>
      <family val="2"/>
    </font>
    <font>
      <sz val="8"/>
      <color indexed="8"/>
      <name val="Tahoma"/>
      <family val="2"/>
    </font>
    <font>
      <b/>
      <sz val="10"/>
      <color rgb="FFFF0000"/>
      <name val="Arial"/>
      <family val="2"/>
    </font>
    <font>
      <b/>
      <sz val="11"/>
      <color theme="1"/>
      <name val="Arial"/>
      <family val="2"/>
    </font>
    <font>
      <u/>
      <sz val="10"/>
      <color indexed="12"/>
      <name val="Arial"/>
      <family val="2"/>
    </font>
    <font>
      <b/>
      <sz val="7"/>
      <name val="Times New Roman"/>
      <family val="1"/>
    </font>
    <font>
      <b/>
      <sz val="11"/>
      <color theme="0"/>
      <name val="Calibri"/>
      <family val="2"/>
      <scheme val="minor"/>
    </font>
  </fonts>
  <fills count="18">
    <fill>
      <patternFill patternType="none"/>
    </fill>
    <fill>
      <patternFill patternType="gray125"/>
    </fill>
    <fill>
      <patternFill patternType="solid">
        <fgColor indexed="49"/>
        <bgColor indexed="64"/>
      </patternFill>
    </fill>
    <fill>
      <patternFill patternType="solid">
        <fgColor indexed="9"/>
        <bgColor indexed="64"/>
      </patternFill>
    </fill>
    <fill>
      <patternFill patternType="solid">
        <fgColor rgb="FF99FF9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0000"/>
        <bgColor indexed="64"/>
      </patternFill>
    </fill>
    <fill>
      <patternFill patternType="solid">
        <fgColor theme="8" tint="0.79998168889431442"/>
        <bgColor indexed="64"/>
      </patternFill>
    </fill>
    <fill>
      <patternFill patternType="solid">
        <fgColor theme="8" tint="0.79998168889431442"/>
        <bgColor indexed="0"/>
      </patternFill>
    </fill>
    <fill>
      <patternFill patternType="solid">
        <fgColor rgb="FFFFCCFF"/>
        <bgColor indexed="0"/>
      </patternFill>
    </fill>
    <fill>
      <patternFill patternType="solid">
        <fgColor rgb="FFFFC000"/>
        <bgColor indexed="64"/>
      </patternFill>
    </fill>
    <fill>
      <patternFill patternType="solid">
        <fgColor rgb="FF00B0F0"/>
        <bgColor indexed="64"/>
      </patternFill>
    </fill>
    <fill>
      <patternFill patternType="solid">
        <fgColor theme="0"/>
        <bgColor indexed="0"/>
      </patternFill>
    </fill>
    <fill>
      <patternFill patternType="solid">
        <fgColor theme="9" tint="0.39997558519241921"/>
        <bgColor indexed="0"/>
      </patternFill>
    </fill>
    <fill>
      <patternFill patternType="solid">
        <fgColor theme="9" tint="0.39997558519241921"/>
        <bgColor indexed="64"/>
      </patternFill>
    </fill>
    <fill>
      <patternFill patternType="solid">
        <fgColor rgb="FF0106BF"/>
        <bgColor indexed="64"/>
      </patternFill>
    </fill>
  </fills>
  <borders count="77">
    <border>
      <left/>
      <right/>
      <top/>
      <bottom/>
      <diagonal/>
    </border>
    <border>
      <left style="medium">
        <color indexed="8"/>
      </left>
      <right style="medium">
        <color indexed="8"/>
      </right>
      <top style="medium">
        <color indexed="8"/>
      </top>
      <bottom style="medium">
        <color indexed="8"/>
      </bottom>
      <diagonal/>
    </border>
    <border>
      <left/>
      <right style="medium">
        <color indexed="8"/>
      </right>
      <top/>
      <bottom style="medium">
        <color indexed="8"/>
      </bottom>
      <diagonal/>
    </border>
    <border>
      <left style="medium">
        <color indexed="8"/>
      </left>
      <right style="medium">
        <color indexed="8"/>
      </right>
      <top/>
      <bottom style="medium">
        <color indexed="8"/>
      </bottom>
      <diagonal/>
    </border>
    <border>
      <left style="medium">
        <color indexed="8"/>
      </left>
      <right/>
      <top style="medium">
        <color indexed="8"/>
      </top>
      <bottom style="medium">
        <color indexed="8"/>
      </bottom>
      <diagonal/>
    </border>
    <border>
      <left style="medium">
        <color indexed="8"/>
      </left>
      <right/>
      <top/>
      <bottom style="medium">
        <color indexed="8"/>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8"/>
      </left>
      <right style="medium">
        <color indexed="64"/>
      </right>
      <top style="medium">
        <color indexed="64"/>
      </top>
      <bottom style="medium">
        <color indexed="64"/>
      </bottom>
      <diagonal/>
    </border>
    <border>
      <left style="medium">
        <color indexed="8"/>
      </left>
      <right style="medium">
        <color indexed="8"/>
      </right>
      <top style="medium">
        <color indexed="64"/>
      </top>
      <bottom style="medium">
        <color indexed="64"/>
      </bottom>
      <diagonal/>
    </border>
    <border>
      <left style="medium">
        <color indexed="8"/>
      </left>
      <right/>
      <top style="medium">
        <color indexed="64"/>
      </top>
      <bottom style="medium">
        <color indexed="64"/>
      </bottom>
      <diagonal/>
    </border>
    <border>
      <left style="medium">
        <color indexed="8"/>
      </left>
      <right style="medium">
        <color indexed="8"/>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medium">
        <color indexed="8"/>
      </bottom>
      <diagonal/>
    </border>
    <border>
      <left style="medium">
        <color indexed="64"/>
      </left>
      <right style="medium">
        <color indexed="8"/>
      </right>
      <top style="medium">
        <color indexed="64"/>
      </top>
      <bottom style="medium">
        <color indexed="64"/>
      </bottom>
      <diagonal/>
    </border>
    <border>
      <left style="thick">
        <color indexed="64"/>
      </left>
      <right style="medium">
        <color indexed="8"/>
      </right>
      <top style="medium">
        <color indexed="64"/>
      </top>
      <bottom/>
      <diagonal/>
    </border>
    <border>
      <left/>
      <right/>
      <top style="medium">
        <color indexed="64"/>
      </top>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8"/>
      </bottom>
      <diagonal/>
    </border>
    <border>
      <left/>
      <right style="medium">
        <color indexed="8"/>
      </right>
      <top style="medium">
        <color indexed="64"/>
      </top>
      <bottom style="medium">
        <color indexed="64"/>
      </bottom>
      <diagonal/>
    </border>
    <border>
      <left/>
      <right/>
      <top/>
      <bottom style="thin">
        <color indexed="64"/>
      </bottom>
      <diagonal/>
    </border>
    <border>
      <left/>
      <right style="medium">
        <color indexed="64"/>
      </right>
      <top/>
      <bottom/>
      <diagonal/>
    </border>
    <border>
      <left style="medium">
        <color indexed="64"/>
      </left>
      <right/>
      <top/>
      <bottom/>
      <diagonal/>
    </border>
    <border>
      <left/>
      <right/>
      <top/>
      <bottom style="medium">
        <color indexed="64"/>
      </bottom>
      <diagonal/>
    </border>
    <border>
      <left style="medium">
        <color indexed="64"/>
      </left>
      <right style="medium">
        <color indexed="64"/>
      </right>
      <top/>
      <bottom/>
      <diagonal/>
    </border>
    <border>
      <left style="medium">
        <color indexed="8"/>
      </left>
      <right/>
      <top style="medium">
        <color indexed="64"/>
      </top>
      <bottom/>
      <diagonal/>
    </border>
    <border>
      <left/>
      <right style="medium">
        <color indexed="64"/>
      </right>
      <top style="medium">
        <color indexed="64"/>
      </top>
      <bottom/>
      <diagonal/>
    </border>
    <border>
      <left style="thick">
        <color indexed="64"/>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8"/>
      </left>
      <right/>
      <top style="medium">
        <color indexed="8"/>
      </top>
      <bottom/>
      <diagonal/>
    </border>
    <border>
      <left style="medium">
        <color indexed="64"/>
      </left>
      <right/>
      <top style="medium">
        <color indexed="64"/>
      </top>
      <bottom/>
      <diagonal/>
    </border>
    <border>
      <left/>
      <right style="medium">
        <color indexed="64"/>
      </right>
      <top/>
      <bottom style="medium">
        <color indexed="64"/>
      </bottom>
      <diagonal/>
    </border>
    <border>
      <left/>
      <right style="thick">
        <color indexed="64"/>
      </right>
      <top/>
      <bottom style="medium">
        <color indexed="64"/>
      </bottom>
      <diagonal/>
    </border>
    <border>
      <left style="thick">
        <color indexed="64"/>
      </left>
      <right/>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medium">
        <color indexed="8"/>
      </right>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style="thin">
        <color indexed="64"/>
      </bottom>
      <diagonal/>
    </border>
    <border>
      <left style="thin">
        <color theme="1"/>
      </left>
      <right style="thin">
        <color theme="1"/>
      </right>
      <top style="thin">
        <color theme="1"/>
      </top>
      <bottom style="thin">
        <color theme="1"/>
      </bottom>
      <diagonal/>
    </border>
    <border>
      <left style="thick">
        <color indexed="64"/>
      </left>
      <right style="medium">
        <color indexed="8"/>
      </right>
      <top style="medium">
        <color indexed="64"/>
      </top>
      <bottom style="medium">
        <color theme="1"/>
      </bottom>
      <diagonal/>
    </border>
    <border>
      <left style="medium">
        <color indexed="8"/>
      </left>
      <right style="thick">
        <color indexed="64"/>
      </right>
      <top style="medium">
        <color indexed="64"/>
      </top>
      <bottom style="medium">
        <color theme="1"/>
      </bottom>
      <diagonal/>
    </border>
    <border>
      <left style="medium">
        <color indexed="8"/>
      </left>
      <right/>
      <top style="medium">
        <color indexed="64"/>
      </top>
      <bottom style="medium">
        <color theme="1"/>
      </bottom>
      <diagonal/>
    </border>
    <border>
      <left style="thick">
        <color indexed="64"/>
      </left>
      <right style="thick">
        <color indexed="64"/>
      </right>
      <top style="medium">
        <color indexed="64"/>
      </top>
      <bottom style="medium">
        <color theme="1"/>
      </bottom>
      <diagonal/>
    </border>
    <border>
      <left/>
      <right style="medium">
        <color indexed="64"/>
      </right>
      <top style="medium">
        <color indexed="64"/>
      </top>
      <bottom style="medium">
        <color theme="1"/>
      </bottom>
      <diagonal/>
    </border>
    <border>
      <left style="medium">
        <color indexed="64"/>
      </left>
      <right style="medium">
        <color indexed="8"/>
      </right>
      <top style="medium">
        <color indexed="64"/>
      </top>
      <bottom style="medium">
        <color theme="1"/>
      </bottom>
      <diagonal/>
    </border>
    <border>
      <left style="medium">
        <color indexed="8"/>
      </left>
      <right style="medium">
        <color indexed="8"/>
      </right>
      <top style="medium">
        <color indexed="64"/>
      </top>
      <bottom style="medium">
        <color theme="1"/>
      </bottom>
      <diagonal/>
    </border>
    <border>
      <left/>
      <right/>
      <top style="medium">
        <color indexed="64"/>
      </top>
      <bottom style="medium">
        <color theme="1"/>
      </bottom>
      <diagonal/>
    </border>
    <border>
      <left style="medium">
        <color indexed="8"/>
      </left>
      <right style="medium">
        <color indexed="64"/>
      </right>
      <top style="medium">
        <color indexed="64"/>
      </top>
      <bottom style="medium">
        <color theme="1"/>
      </bottom>
      <diagonal/>
    </border>
    <border>
      <left style="thin">
        <color theme="1"/>
      </left>
      <right style="thin">
        <color theme="1"/>
      </right>
      <top style="thin">
        <color theme="1"/>
      </top>
      <bottom/>
      <diagonal/>
    </border>
    <border>
      <left style="thin">
        <color theme="1"/>
      </left>
      <right/>
      <top style="thin">
        <color theme="1"/>
      </top>
      <bottom style="thin">
        <color theme="1"/>
      </bottom>
      <diagonal/>
    </border>
    <border>
      <left style="medium">
        <color indexed="64"/>
      </left>
      <right style="thin">
        <color indexed="64"/>
      </right>
      <top style="medium">
        <color indexed="64"/>
      </top>
      <bottom style="thin">
        <color indexed="64"/>
      </bottom>
      <diagonal/>
    </border>
    <border>
      <left style="thin">
        <color theme="1"/>
      </left>
      <right style="thin">
        <color theme="1"/>
      </right>
      <top/>
      <bottom style="thin">
        <color theme="1"/>
      </bottom>
      <diagonal/>
    </border>
    <border>
      <left style="thin">
        <color indexed="64"/>
      </left>
      <right/>
      <top style="thin">
        <color indexed="64"/>
      </top>
      <bottom/>
      <diagonal/>
    </border>
    <border>
      <left style="medium">
        <color indexed="8"/>
      </left>
      <right style="medium">
        <color indexed="8"/>
      </right>
      <top style="medium">
        <color indexed="8"/>
      </top>
      <bottom/>
      <diagonal/>
    </border>
    <border>
      <left/>
      <right style="medium">
        <color indexed="64"/>
      </right>
      <top style="thin">
        <color indexed="64"/>
      </top>
      <bottom/>
      <diagonal/>
    </border>
    <border>
      <left style="thin">
        <color auto="1"/>
      </left>
      <right style="thin">
        <color auto="1"/>
      </right>
      <top style="thin">
        <color auto="1"/>
      </top>
      <bottom style="thin">
        <color auto="1"/>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5">
    <xf numFmtId="0" fontId="0" fillId="0" borderId="0"/>
    <xf numFmtId="0" fontId="3" fillId="0" borderId="0" applyNumberFormat="0" applyFill="0" applyBorder="0" applyAlignment="0" applyProtection="0"/>
    <xf numFmtId="0" fontId="1" fillId="0" borderId="0"/>
    <xf numFmtId="0" fontId="1" fillId="0" borderId="0"/>
    <xf numFmtId="0" fontId="1" fillId="0" borderId="0"/>
  </cellStyleXfs>
  <cellXfs count="309">
    <xf numFmtId="0" fontId="0" fillId="0" borderId="0" xfId="0"/>
    <xf numFmtId="0" fontId="0" fillId="0" borderId="0" xfId="0" applyAlignment="1">
      <alignment horizontal="left" vertical="top" wrapText="1"/>
    </xf>
    <xf numFmtId="0" fontId="0" fillId="0" borderId="6" xfId="0" applyBorder="1" applyAlignment="1">
      <alignment vertical="center"/>
    </xf>
    <xf numFmtId="0" fontId="0" fillId="0" borderId="0" xfId="0" applyAlignment="1">
      <alignment horizontal="left" vertical="center"/>
    </xf>
    <xf numFmtId="0" fontId="10" fillId="0" borderId="0" xfId="0" applyFont="1" applyAlignment="1">
      <alignment vertical="center"/>
    </xf>
    <xf numFmtId="0" fontId="0" fillId="0" borderId="7" xfId="0" applyBorder="1" applyAlignment="1">
      <alignment horizontal="left" vertical="center"/>
    </xf>
    <xf numFmtId="0" fontId="6" fillId="0" borderId="0" xfId="0" applyFont="1" applyAlignment="1">
      <alignment vertical="center"/>
    </xf>
    <xf numFmtId="0" fontId="0" fillId="0" borderId="0" xfId="0" applyAlignment="1">
      <alignment vertical="center"/>
    </xf>
    <xf numFmtId="0" fontId="0" fillId="0" borderId="0" xfId="0" applyAlignment="1">
      <alignment horizontal="center" vertical="center"/>
    </xf>
    <xf numFmtId="0" fontId="4" fillId="5" borderId="4" xfId="0" applyFont="1" applyFill="1" applyBorder="1" applyAlignment="1">
      <alignment horizontal="left" vertical="center" wrapText="1"/>
    </xf>
    <xf numFmtId="3" fontId="4" fillId="5" borderId="38" xfId="0" applyNumberFormat="1" applyFont="1" applyFill="1" applyBorder="1" applyAlignment="1">
      <alignment horizontal="right" vertical="center"/>
    </xf>
    <xf numFmtId="3" fontId="4" fillId="5" borderId="40" xfId="0" applyNumberFormat="1" applyFont="1" applyFill="1" applyBorder="1" applyAlignment="1">
      <alignment horizontal="right" vertical="center"/>
    </xf>
    <xf numFmtId="3" fontId="4" fillId="5" borderId="36" xfId="0" applyNumberFormat="1" applyFont="1" applyFill="1" applyBorder="1" applyAlignment="1">
      <alignment horizontal="right" vertical="center"/>
    </xf>
    <xf numFmtId="0" fontId="1" fillId="5" borderId="1" xfId="0" applyFont="1" applyFill="1" applyBorder="1" applyAlignment="1">
      <alignment horizontal="left" vertical="center" wrapText="1"/>
    </xf>
    <xf numFmtId="0" fontId="1" fillId="5" borderId="2" xfId="0" applyFont="1" applyFill="1" applyBorder="1" applyAlignment="1">
      <alignment horizontal="center" vertical="center" wrapText="1"/>
    </xf>
    <xf numFmtId="0" fontId="4" fillId="5" borderId="12" xfId="0" applyFont="1" applyFill="1" applyBorder="1" applyAlignment="1">
      <alignment vertical="center" wrapText="1"/>
    </xf>
    <xf numFmtId="0" fontId="4" fillId="5" borderId="18" xfId="0" applyFont="1" applyFill="1" applyBorder="1" applyAlignment="1">
      <alignment vertical="center" wrapText="1"/>
    </xf>
    <xf numFmtId="0" fontId="0" fillId="0" borderId="6" xfId="0" applyBorder="1" applyAlignment="1">
      <alignment horizontal="left" vertical="center"/>
    </xf>
    <xf numFmtId="0" fontId="0" fillId="2" borderId="0" xfId="0" applyFill="1" applyAlignment="1">
      <alignment vertical="center"/>
    </xf>
    <xf numFmtId="0" fontId="0" fillId="0" borderId="19" xfId="0" applyBorder="1" applyAlignment="1">
      <alignment horizontal="left" vertical="center"/>
    </xf>
    <xf numFmtId="0" fontId="4" fillId="5" borderId="1" xfId="0" applyFont="1" applyFill="1" applyBorder="1" applyAlignment="1">
      <alignment horizontal="left" vertical="center" wrapText="1"/>
    </xf>
    <xf numFmtId="0" fontId="6" fillId="0" borderId="7" xfId="0" applyFont="1" applyBorder="1" applyAlignment="1">
      <alignment horizontal="left" vertical="center"/>
    </xf>
    <xf numFmtId="0" fontId="6" fillId="0" borderId="0" xfId="0" applyFont="1" applyAlignment="1">
      <alignment horizontal="left" vertical="center"/>
    </xf>
    <xf numFmtId="0" fontId="1" fillId="5" borderId="3" xfId="0" applyFont="1" applyFill="1" applyBorder="1" applyAlignment="1">
      <alignment horizontal="center" vertical="center" wrapText="1"/>
    </xf>
    <xf numFmtId="0" fontId="1" fillId="5" borderId="5" xfId="0" applyFont="1" applyFill="1" applyBorder="1" applyAlignment="1">
      <alignment horizontal="center" vertical="center" wrapText="1"/>
    </xf>
    <xf numFmtId="0" fontId="1" fillId="5" borderId="20" xfId="0" applyFont="1" applyFill="1" applyBorder="1" applyAlignment="1">
      <alignment horizontal="center" vertical="center" wrapText="1"/>
    </xf>
    <xf numFmtId="0" fontId="1" fillId="5" borderId="14" xfId="0" applyFont="1" applyFill="1" applyBorder="1" applyAlignment="1">
      <alignment horizontal="center" vertical="center" wrapText="1"/>
    </xf>
    <xf numFmtId="0" fontId="6" fillId="2" borderId="0" xfId="0" applyFont="1" applyFill="1" applyAlignment="1">
      <alignment vertical="center"/>
    </xf>
    <xf numFmtId="0" fontId="4" fillId="2" borderId="0" xfId="0" applyFont="1" applyFill="1" applyAlignment="1">
      <alignment horizontal="left" vertical="center" wrapText="1"/>
    </xf>
    <xf numFmtId="0" fontId="1" fillId="2" borderId="0" xfId="0" applyFont="1" applyFill="1" applyAlignment="1">
      <alignment horizontal="center" vertical="center" wrapText="1"/>
    </xf>
    <xf numFmtId="0" fontId="17" fillId="0" borderId="0" xfId="3" applyFont="1"/>
    <xf numFmtId="0" fontId="8" fillId="6" borderId="0" xfId="3" applyFont="1" applyFill="1"/>
    <xf numFmtId="0" fontId="7" fillId="0" borderId="0" xfId="3" applyFont="1"/>
    <xf numFmtId="0" fontId="17" fillId="0" borderId="0" xfId="3" applyFont="1" applyAlignment="1">
      <alignment vertical="center"/>
    </xf>
    <xf numFmtId="0" fontId="17" fillId="0" borderId="0" xfId="3" applyFont="1" applyAlignment="1">
      <alignment vertical="top"/>
    </xf>
    <xf numFmtId="0" fontId="23" fillId="0" borderId="0" xfId="3" applyFont="1"/>
    <xf numFmtId="0" fontId="24" fillId="0" borderId="0" xfId="3" applyFont="1"/>
    <xf numFmtId="3" fontId="4" fillId="5" borderId="43" xfId="0" applyNumberFormat="1" applyFont="1" applyFill="1" applyBorder="1" applyAlignment="1">
      <alignment horizontal="right" vertical="center"/>
    </xf>
    <xf numFmtId="0" fontId="1" fillId="0" borderId="0" xfId="0" applyFont="1"/>
    <xf numFmtId="0" fontId="25" fillId="0" borderId="0" xfId="0" applyFont="1"/>
    <xf numFmtId="0" fontId="0" fillId="6" borderId="0" xfId="0" applyFill="1"/>
    <xf numFmtId="3" fontId="4" fillId="4" borderId="46" xfId="0" applyNumberFormat="1" applyFont="1" applyFill="1" applyBorder="1" applyAlignment="1">
      <alignment horizontal="right" vertical="center"/>
    </xf>
    <xf numFmtId="3" fontId="4" fillId="4" borderId="47" xfId="0" applyNumberFormat="1" applyFont="1" applyFill="1" applyBorder="1" applyAlignment="1">
      <alignment horizontal="right" vertical="center"/>
    </xf>
    <xf numFmtId="3" fontId="4" fillId="5" borderId="48" xfId="0" applyNumberFormat="1" applyFont="1" applyFill="1" applyBorder="1" applyAlignment="1">
      <alignment horizontal="right" vertical="center"/>
    </xf>
    <xf numFmtId="3" fontId="4" fillId="5" borderId="49" xfId="0" applyNumberFormat="1" applyFont="1" applyFill="1" applyBorder="1" applyAlignment="1">
      <alignment horizontal="right" vertical="center"/>
    </xf>
    <xf numFmtId="0" fontId="1" fillId="5" borderId="53" xfId="0" applyFont="1" applyFill="1" applyBorder="1" applyAlignment="1">
      <alignment horizontal="center" vertical="center" wrapText="1"/>
    </xf>
    <xf numFmtId="0" fontId="1" fillId="5" borderId="55" xfId="0" applyFont="1" applyFill="1" applyBorder="1" applyAlignment="1">
      <alignment horizontal="center" vertical="center" wrapText="1"/>
    </xf>
    <xf numFmtId="0" fontId="1" fillId="5" borderId="56" xfId="0" applyFont="1" applyFill="1" applyBorder="1" applyAlignment="1">
      <alignment horizontal="center" vertical="center" wrapText="1"/>
    </xf>
    <xf numFmtId="0" fontId="1" fillId="5" borderId="57" xfId="0" applyFont="1" applyFill="1" applyBorder="1" applyAlignment="1">
      <alignment horizontal="center" vertical="center" wrapText="1"/>
    </xf>
    <xf numFmtId="0" fontId="1" fillId="5" borderId="51" xfId="0" applyFont="1" applyFill="1" applyBorder="1" applyAlignment="1">
      <alignment horizontal="center" vertical="center" wrapText="1"/>
    </xf>
    <xf numFmtId="0" fontId="1" fillId="5" borderId="58" xfId="0" applyFont="1" applyFill="1" applyBorder="1" applyAlignment="1">
      <alignment horizontal="center" vertical="center" wrapText="1"/>
    </xf>
    <xf numFmtId="0" fontId="1" fillId="5" borderId="59" xfId="0" applyFont="1" applyFill="1" applyBorder="1" applyAlignment="1">
      <alignment horizontal="center" vertical="center" wrapText="1"/>
    </xf>
    <xf numFmtId="3" fontId="4" fillId="5" borderId="37" xfId="0" applyNumberFormat="1" applyFont="1" applyFill="1" applyBorder="1" applyAlignment="1">
      <alignment horizontal="right" vertical="center"/>
    </xf>
    <xf numFmtId="0" fontId="4" fillId="0" borderId="0" xfId="0" applyFont="1"/>
    <xf numFmtId="3" fontId="4" fillId="5" borderId="64" xfId="0" applyNumberFormat="1" applyFont="1" applyFill="1" applyBorder="1" applyAlignment="1">
      <alignment horizontal="right" vertical="center"/>
    </xf>
    <xf numFmtId="3" fontId="4" fillId="5" borderId="66" xfId="0" applyNumberFormat="1" applyFont="1" applyFill="1" applyBorder="1" applyAlignment="1">
      <alignment horizontal="right" vertical="center"/>
    </xf>
    <xf numFmtId="0" fontId="1" fillId="9" borderId="1" xfId="0" applyFont="1" applyFill="1" applyBorder="1" applyAlignment="1">
      <alignment horizontal="left" vertical="center" wrapText="1"/>
    </xf>
    <xf numFmtId="3" fontId="4" fillId="9" borderId="50" xfId="0" applyNumberFormat="1" applyFont="1" applyFill="1" applyBorder="1" applyAlignment="1" applyProtection="1">
      <alignment horizontal="right" vertical="center"/>
      <protection locked="0"/>
    </xf>
    <xf numFmtId="3" fontId="4" fillId="9" borderId="47" xfId="0" applyNumberFormat="1" applyFont="1" applyFill="1" applyBorder="1" applyAlignment="1">
      <alignment horizontal="right" vertical="center"/>
    </xf>
    <xf numFmtId="0" fontId="1" fillId="9" borderId="4" xfId="0" applyFont="1" applyFill="1" applyBorder="1" applyAlignment="1">
      <alignment horizontal="left" vertical="center" wrapText="1"/>
    </xf>
    <xf numFmtId="3" fontId="4" fillId="9" borderId="39" xfId="0" applyNumberFormat="1" applyFont="1" applyFill="1" applyBorder="1" applyAlignment="1" applyProtection="1">
      <alignment horizontal="right" vertical="center"/>
      <protection locked="0"/>
    </xf>
    <xf numFmtId="3" fontId="4" fillId="9" borderId="40" xfId="0" applyNumberFormat="1" applyFont="1" applyFill="1" applyBorder="1" applyAlignment="1" applyProtection="1">
      <alignment horizontal="right" vertical="center"/>
      <protection locked="0"/>
    </xf>
    <xf numFmtId="3" fontId="4" fillId="9" borderId="40" xfId="0" applyNumberFormat="1" applyFont="1" applyFill="1" applyBorder="1" applyAlignment="1">
      <alignment horizontal="right" vertical="center"/>
    </xf>
    <xf numFmtId="0" fontId="26" fillId="11" borderId="50" xfId="0" applyFont="1" applyFill="1" applyBorder="1" applyAlignment="1" applyProtection="1">
      <alignment horizontal="center" vertical="top" wrapText="1" readingOrder="1"/>
      <protection locked="0"/>
    </xf>
    <xf numFmtId="0" fontId="26" fillId="11" borderId="60" xfId="0" applyFont="1" applyFill="1" applyBorder="1" applyAlignment="1" applyProtection="1">
      <alignment horizontal="center" vertical="top" wrapText="1" readingOrder="1"/>
      <protection locked="0"/>
    </xf>
    <xf numFmtId="0" fontId="26" fillId="11" borderId="61" xfId="0" applyFont="1" applyFill="1" applyBorder="1" applyAlignment="1" applyProtection="1">
      <alignment horizontal="center" vertical="top" wrapText="1" readingOrder="1"/>
      <protection locked="0"/>
    </xf>
    <xf numFmtId="0" fontId="26" fillId="11" borderId="63" xfId="0" applyFont="1" applyFill="1" applyBorder="1" applyAlignment="1" applyProtection="1">
      <alignment horizontal="center" vertical="top" wrapText="1" readingOrder="1"/>
      <protection locked="0"/>
    </xf>
    <xf numFmtId="0" fontId="26" fillId="11" borderId="40" xfId="0" applyFont="1" applyFill="1" applyBorder="1" applyAlignment="1" applyProtection="1">
      <alignment horizontal="center" vertical="top" wrapText="1" readingOrder="1"/>
      <protection locked="0"/>
    </xf>
    <xf numFmtId="0" fontId="26" fillId="11" borderId="41" xfId="0" applyFont="1" applyFill="1" applyBorder="1" applyAlignment="1" applyProtection="1">
      <alignment horizontal="center" vertical="top" wrapText="1" readingOrder="1"/>
      <protection locked="0"/>
    </xf>
    <xf numFmtId="0" fontId="26" fillId="11" borderId="37" xfId="0" applyFont="1" applyFill="1" applyBorder="1" applyAlignment="1" applyProtection="1">
      <alignment horizontal="center" vertical="top" wrapText="1" readingOrder="1"/>
      <protection locked="0"/>
    </xf>
    <xf numFmtId="0" fontId="26" fillId="11" borderId="38" xfId="0" applyFont="1" applyFill="1" applyBorder="1" applyAlignment="1" applyProtection="1">
      <alignment horizontal="center" vertical="top" wrapText="1" readingOrder="1"/>
      <protection locked="0"/>
    </xf>
    <xf numFmtId="0" fontId="26" fillId="11" borderId="39" xfId="0" applyFont="1" applyFill="1" applyBorder="1" applyAlignment="1" applyProtection="1">
      <alignment horizontal="center" vertical="top" wrapText="1" readingOrder="1"/>
      <protection locked="0"/>
    </xf>
    <xf numFmtId="0" fontId="26" fillId="11" borderId="62" xfId="0" applyFont="1" applyFill="1" applyBorder="1" applyAlignment="1" applyProtection="1">
      <alignment horizontal="center" vertical="top" wrapText="1" readingOrder="1"/>
      <protection locked="0"/>
    </xf>
    <xf numFmtId="3" fontId="4" fillId="7" borderId="37" xfId="0" applyNumberFormat="1" applyFont="1" applyFill="1" applyBorder="1" applyAlignment="1" applyProtection="1">
      <alignment horizontal="right" vertical="center"/>
      <protection locked="0"/>
    </xf>
    <xf numFmtId="3" fontId="4" fillId="7" borderId="37" xfId="0" applyNumberFormat="1" applyFont="1" applyFill="1" applyBorder="1" applyAlignment="1">
      <alignment horizontal="right" vertical="center"/>
    </xf>
    <xf numFmtId="3" fontId="4" fillId="7" borderId="45" xfId="0" applyNumberFormat="1" applyFont="1" applyFill="1" applyBorder="1" applyAlignment="1" applyProtection="1">
      <alignment horizontal="right" vertical="center"/>
      <protection locked="0"/>
    </xf>
    <xf numFmtId="0" fontId="17" fillId="6" borderId="0" xfId="3" applyFont="1" applyFill="1"/>
    <xf numFmtId="0" fontId="19" fillId="6" borderId="0" xfId="3" applyFont="1" applyFill="1"/>
    <xf numFmtId="0" fontId="19" fillId="6" borderId="0" xfId="3" applyFont="1" applyFill="1" applyAlignment="1">
      <alignment vertical="center"/>
    </xf>
    <xf numFmtId="0" fontId="19" fillId="6" borderId="0" xfId="2" applyFont="1" applyFill="1"/>
    <xf numFmtId="0" fontId="17" fillId="6" borderId="0" xfId="3" applyFont="1" applyFill="1" applyAlignment="1">
      <alignment vertical="center" wrapText="1"/>
    </xf>
    <xf numFmtId="0" fontId="17" fillId="6" borderId="0" xfId="3" applyFont="1" applyFill="1" applyAlignment="1">
      <alignment vertical="center"/>
    </xf>
    <xf numFmtId="0" fontId="19" fillId="6" borderId="0" xfId="2" applyFont="1" applyFill="1" applyAlignment="1">
      <alignment vertical="center" wrapText="1"/>
    </xf>
    <xf numFmtId="0" fontId="7" fillId="6" borderId="0" xfId="3" applyFont="1" applyFill="1"/>
    <xf numFmtId="0" fontId="17" fillId="6" borderId="0" xfId="3" applyFont="1" applyFill="1" applyAlignment="1">
      <alignment vertical="top"/>
    </xf>
    <xf numFmtId="0" fontId="4" fillId="5" borderId="13" xfId="0" applyFont="1" applyFill="1" applyBorder="1" applyAlignment="1">
      <alignment vertical="center" wrapText="1"/>
    </xf>
    <xf numFmtId="0" fontId="0" fillId="6" borderId="0" xfId="0" applyFill="1" applyAlignment="1">
      <alignment vertical="center"/>
    </xf>
    <xf numFmtId="0" fontId="4" fillId="6" borderId="0" xfId="0" applyFont="1" applyFill="1" applyAlignment="1">
      <alignment horizontal="left" vertical="center" wrapText="1"/>
    </xf>
    <xf numFmtId="3" fontId="4" fillId="6" borderId="0" xfId="0" applyNumberFormat="1" applyFont="1" applyFill="1" applyAlignment="1">
      <alignment horizontal="right" vertical="center"/>
    </xf>
    <xf numFmtId="0" fontId="1" fillId="6" borderId="0" xfId="0" applyFont="1" applyFill="1"/>
    <xf numFmtId="0" fontId="4" fillId="5" borderId="6" xfId="0" applyFont="1" applyFill="1" applyBorder="1" applyAlignment="1">
      <alignment horizontal="left" vertical="center" wrapText="1"/>
    </xf>
    <xf numFmtId="3" fontId="4" fillId="5" borderId="7" xfId="0" applyNumberFormat="1" applyFont="1" applyFill="1" applyBorder="1" applyAlignment="1">
      <alignment horizontal="right" vertical="center"/>
    </xf>
    <xf numFmtId="0" fontId="26" fillId="11" borderId="68" xfId="0" applyFont="1" applyFill="1" applyBorder="1" applyAlignment="1" applyProtection="1">
      <alignment horizontal="center" vertical="top" wrapText="1" readingOrder="1"/>
      <protection locked="0"/>
    </xf>
    <xf numFmtId="0" fontId="26" fillId="11" borderId="69" xfId="0" applyFont="1" applyFill="1" applyBorder="1" applyAlignment="1" applyProtection="1">
      <alignment horizontal="center" vertical="top" wrapText="1" readingOrder="1"/>
      <protection locked="0"/>
    </xf>
    <xf numFmtId="3" fontId="4" fillId="7" borderId="69" xfId="0" applyNumberFormat="1" applyFont="1" applyFill="1" applyBorder="1" applyAlignment="1" applyProtection="1">
      <alignment horizontal="right" vertical="center"/>
      <protection locked="0"/>
    </xf>
    <xf numFmtId="3" fontId="4" fillId="7" borderId="69" xfId="0" applyNumberFormat="1" applyFont="1" applyFill="1" applyBorder="1" applyAlignment="1">
      <alignment horizontal="right" vertical="center"/>
    </xf>
    <xf numFmtId="3" fontId="4" fillId="5" borderId="69" xfId="0" applyNumberFormat="1" applyFont="1" applyFill="1" applyBorder="1" applyAlignment="1">
      <alignment horizontal="right" vertical="center"/>
    </xf>
    <xf numFmtId="0" fontId="26" fillId="11" borderId="70" xfId="0" applyFont="1" applyFill="1" applyBorder="1" applyAlignment="1" applyProtection="1">
      <alignment horizontal="center" vertical="top" wrapText="1" readingOrder="1"/>
      <protection locked="0"/>
    </xf>
    <xf numFmtId="3" fontId="4" fillId="4" borderId="71" xfId="0" applyNumberFormat="1" applyFont="1" applyFill="1" applyBorder="1" applyAlignment="1">
      <alignment horizontal="right" vertical="center"/>
    </xf>
    <xf numFmtId="3" fontId="4" fillId="5" borderId="70" xfId="0" applyNumberFormat="1" applyFont="1" applyFill="1" applyBorder="1" applyAlignment="1">
      <alignment horizontal="right" vertical="center"/>
    </xf>
    <xf numFmtId="0" fontId="0" fillId="6" borderId="0" xfId="0" applyFill="1" applyAlignment="1">
      <alignment horizontal="left" vertical="center"/>
    </xf>
    <xf numFmtId="0" fontId="10" fillId="6" borderId="0" xfId="0" applyFont="1" applyFill="1" applyAlignment="1">
      <alignment vertical="center"/>
    </xf>
    <xf numFmtId="0" fontId="6" fillId="6" borderId="0" xfId="0" applyFont="1" applyFill="1" applyAlignment="1">
      <alignment vertical="center"/>
    </xf>
    <xf numFmtId="0" fontId="1" fillId="5" borderId="1" xfId="0" applyFont="1" applyFill="1" applyBorder="1" applyAlignment="1">
      <alignment horizontal="center" vertical="center" wrapText="1"/>
    </xf>
    <xf numFmtId="0" fontId="4" fillId="5" borderId="7" xfId="0" applyFont="1" applyFill="1" applyBorder="1" applyAlignment="1">
      <alignment horizontal="right" vertical="center"/>
    </xf>
    <xf numFmtId="0" fontId="10" fillId="6" borderId="0" xfId="0" applyFont="1" applyFill="1" applyAlignment="1">
      <alignment horizontal="left" vertical="center" wrapText="1"/>
    </xf>
    <xf numFmtId="3" fontId="0" fillId="6" borderId="0" xfId="0" applyNumberFormat="1" applyFill="1" applyAlignment="1">
      <alignment vertical="center"/>
    </xf>
    <xf numFmtId="0" fontId="26" fillId="10" borderId="40" xfId="0" applyFont="1" applyFill="1" applyBorder="1" applyAlignment="1" applyProtection="1">
      <alignment horizontal="center" vertical="top" wrapText="1" readingOrder="1"/>
      <protection locked="0"/>
    </xf>
    <xf numFmtId="3" fontId="4" fillId="5" borderId="1" xfId="0" applyNumberFormat="1" applyFont="1" applyFill="1" applyBorder="1" applyAlignment="1">
      <alignment vertical="center"/>
    </xf>
    <xf numFmtId="0" fontId="0" fillId="6" borderId="25" xfId="0" applyFill="1" applyBorder="1" applyAlignment="1">
      <alignment vertical="center"/>
    </xf>
    <xf numFmtId="0" fontId="0" fillId="6" borderId="0" xfId="0" applyFill="1" applyAlignment="1">
      <alignment horizontal="center" vertical="center"/>
    </xf>
    <xf numFmtId="0" fontId="26" fillId="11" borderId="67" xfId="0" applyFont="1" applyFill="1" applyBorder="1" applyAlignment="1" applyProtection="1">
      <alignment horizontal="right" vertical="center" wrapText="1" readingOrder="1"/>
      <protection locked="0"/>
    </xf>
    <xf numFmtId="3" fontId="4" fillId="7" borderId="44" xfId="0" applyNumberFormat="1" applyFont="1" applyFill="1" applyBorder="1" applyAlignment="1" applyProtection="1">
      <alignment horizontal="right" vertical="center"/>
      <protection locked="0"/>
    </xf>
    <xf numFmtId="0" fontId="0" fillId="6" borderId="0" xfId="0" applyFill="1" applyAlignment="1">
      <alignment horizontal="left" vertical="top" wrapText="1"/>
    </xf>
    <xf numFmtId="0" fontId="4" fillId="5" borderId="12" xfId="0" applyFont="1" applyFill="1" applyBorder="1" applyAlignment="1">
      <alignment horizontal="left" vertical="center" wrapText="1"/>
    </xf>
    <xf numFmtId="0" fontId="21" fillId="6" borderId="0" xfId="1" applyFont="1" applyFill="1" applyAlignment="1" applyProtection="1">
      <alignment horizontal="center" vertical="center"/>
    </xf>
    <xf numFmtId="0" fontId="19" fillId="6" borderId="0" xfId="0" applyFont="1" applyFill="1"/>
    <xf numFmtId="0" fontId="17" fillId="6" borderId="0" xfId="0" applyFont="1" applyFill="1"/>
    <xf numFmtId="0" fontId="22" fillId="6" borderId="0" xfId="1" applyFont="1" applyFill="1" applyBorder="1" applyAlignment="1" applyProtection="1">
      <alignment horizontal="left"/>
    </xf>
    <xf numFmtId="0" fontId="19" fillId="7" borderId="7" xfId="3" applyFont="1" applyFill="1" applyBorder="1" applyAlignment="1">
      <alignment horizontal="left" vertical="center" wrapText="1"/>
    </xf>
    <xf numFmtId="0" fontId="4" fillId="5" borderId="7" xfId="0" applyFont="1" applyFill="1" applyBorder="1" applyAlignment="1">
      <alignment horizontal="left" vertical="center" wrapText="1"/>
    </xf>
    <xf numFmtId="0" fontId="1" fillId="6" borderId="0" xfId="3" applyFill="1"/>
    <xf numFmtId="0" fontId="10" fillId="6" borderId="0" xfId="0" applyFont="1" applyFill="1" applyAlignment="1">
      <alignment horizontal="left" vertical="center"/>
    </xf>
    <xf numFmtId="0" fontId="1" fillId="5" borderId="5" xfId="0" applyFont="1" applyFill="1" applyBorder="1" applyAlignment="1">
      <alignment horizontal="left" vertical="center" wrapText="1"/>
    </xf>
    <xf numFmtId="0" fontId="1" fillId="5" borderId="4" xfId="0" applyFont="1" applyFill="1" applyBorder="1" applyAlignment="1">
      <alignment horizontal="left" vertical="center" wrapText="1"/>
    </xf>
    <xf numFmtId="0" fontId="4" fillId="0" borderId="0" xfId="0" applyFont="1" applyAlignment="1">
      <alignment horizontal="left" vertical="center" wrapText="1"/>
    </xf>
    <xf numFmtId="3" fontId="4" fillId="0" borderId="0" xfId="0" applyNumberFormat="1" applyFont="1" applyAlignment="1">
      <alignment horizontal="right" vertical="center"/>
    </xf>
    <xf numFmtId="0" fontId="1" fillId="5" borderId="42" xfId="0" applyFont="1" applyFill="1" applyBorder="1" applyAlignment="1">
      <alignment horizontal="center" vertical="center" wrapText="1"/>
    </xf>
    <xf numFmtId="0" fontId="16" fillId="6" borderId="0" xfId="1" applyFont="1" applyFill="1" applyProtection="1"/>
    <xf numFmtId="0" fontId="16" fillId="6" borderId="0" xfId="1" applyFont="1" applyFill="1" applyAlignment="1" applyProtection="1">
      <alignment vertical="top" wrapText="1"/>
    </xf>
    <xf numFmtId="3" fontId="27" fillId="12" borderId="0" xfId="0" applyNumberFormat="1" applyFont="1" applyFill="1" applyAlignment="1">
      <alignment horizontal="right" vertical="center"/>
    </xf>
    <xf numFmtId="0" fontId="28" fillId="7" borderId="0" xfId="0" applyFont="1" applyFill="1" applyProtection="1">
      <protection locked="0"/>
    </xf>
    <xf numFmtId="0" fontId="28" fillId="7" borderId="0" xfId="0" applyFont="1" applyFill="1" applyAlignment="1" applyProtection="1">
      <alignment horizontal="left"/>
      <protection locked="0"/>
    </xf>
    <xf numFmtId="0" fontId="23" fillId="0" borderId="0" xfId="0" applyFont="1"/>
    <xf numFmtId="0" fontId="28" fillId="0" borderId="0" xfId="0" applyFont="1" applyProtection="1">
      <protection locked="0"/>
    </xf>
    <xf numFmtId="0" fontId="28" fillId="5" borderId="0" xfId="0" applyFont="1" applyFill="1" applyProtection="1">
      <protection locked="0"/>
    </xf>
    <xf numFmtId="0" fontId="28" fillId="5" borderId="0" xfId="0" applyFont="1" applyFill="1" applyAlignment="1" applyProtection="1">
      <alignment horizontal="left"/>
      <protection locked="0"/>
    </xf>
    <xf numFmtId="0" fontId="23" fillId="7" borderId="0" xfId="0" applyFont="1" applyFill="1" applyAlignment="1">
      <alignment horizontal="right"/>
    </xf>
    <xf numFmtId="0" fontId="25" fillId="7" borderId="0" xfId="4" applyFont="1" applyFill="1" applyAlignment="1">
      <alignment horizontal="center" vertical="center" wrapText="1"/>
    </xf>
    <xf numFmtId="1" fontId="25" fillId="7" borderId="0" xfId="4" applyNumberFormat="1" applyFont="1" applyFill="1" applyAlignment="1">
      <alignment horizontal="center" vertical="center" wrapText="1"/>
    </xf>
    <xf numFmtId="0" fontId="25" fillId="7" borderId="0" xfId="4" applyFont="1" applyFill="1" applyAlignment="1">
      <alignment horizontal="left" vertical="center"/>
    </xf>
    <xf numFmtId="0" fontId="0" fillId="0" borderId="0" xfId="0" applyAlignment="1">
      <alignment wrapText="1"/>
    </xf>
    <xf numFmtId="0" fontId="0" fillId="13" borderId="0" xfId="0" applyFill="1" applyAlignment="1">
      <alignment wrapText="1"/>
    </xf>
    <xf numFmtId="0" fontId="1" fillId="0" borderId="0" xfId="3"/>
    <xf numFmtId="3" fontId="4" fillId="16" borderId="47" xfId="0" applyNumberFormat="1" applyFont="1" applyFill="1" applyBorder="1" applyAlignment="1">
      <alignment horizontal="right" vertical="center"/>
    </xf>
    <xf numFmtId="3" fontId="4" fillId="16" borderId="69" xfId="0" applyNumberFormat="1" applyFont="1" applyFill="1" applyBorder="1" applyAlignment="1">
      <alignment horizontal="right" vertical="center"/>
    </xf>
    <xf numFmtId="0" fontId="29" fillId="6" borderId="0" xfId="1" applyFont="1" applyFill="1" applyAlignment="1" applyProtection="1">
      <alignment horizontal="center" vertical="center"/>
    </xf>
    <xf numFmtId="0" fontId="4" fillId="6" borderId="0" xfId="0" applyFont="1" applyFill="1" applyAlignment="1">
      <alignment vertical="center" wrapText="1"/>
    </xf>
    <xf numFmtId="0" fontId="8" fillId="6" borderId="0" xfId="0" applyFont="1" applyFill="1" applyAlignment="1">
      <alignment horizontal="left" vertical="top" wrapText="1"/>
    </xf>
    <xf numFmtId="0" fontId="10" fillId="6" borderId="0" xfId="0" applyFont="1" applyFill="1" applyAlignment="1">
      <alignment horizontal="left" vertical="top" wrapText="1"/>
    </xf>
    <xf numFmtId="0" fontId="11" fillId="6" borderId="0" xfId="0" applyFont="1" applyFill="1" applyAlignment="1">
      <alignment horizontal="left" vertical="top" wrapText="1"/>
    </xf>
    <xf numFmtId="0" fontId="2" fillId="6" borderId="0" xfId="0" applyFont="1" applyFill="1" applyAlignment="1">
      <alignment horizontal="left" vertical="top" wrapText="1"/>
    </xf>
    <xf numFmtId="0" fontId="3" fillId="6" borderId="0" xfId="1" applyFill="1" applyAlignment="1" applyProtection="1">
      <alignment horizontal="left" vertical="top" wrapText="1"/>
    </xf>
    <xf numFmtId="0" fontId="10" fillId="6" borderId="0" xfId="0" applyFont="1" applyFill="1"/>
    <xf numFmtId="0" fontId="3" fillId="6" borderId="0" xfId="1" applyFill="1" applyProtection="1"/>
    <xf numFmtId="0" fontId="13" fillId="6" borderId="0" xfId="0" applyFont="1" applyFill="1" applyAlignment="1">
      <alignment horizontal="left" vertical="top" wrapText="1"/>
    </xf>
    <xf numFmtId="0" fontId="14" fillId="6" borderId="0" xfId="0" applyFont="1" applyFill="1" applyAlignment="1">
      <alignment horizontal="left" vertical="top" wrapText="1"/>
    </xf>
    <xf numFmtId="0" fontId="10" fillId="6" borderId="22" xfId="0" applyFont="1" applyFill="1" applyBorder="1" applyAlignment="1">
      <alignment horizontal="left" vertical="top" wrapText="1"/>
    </xf>
    <xf numFmtId="0" fontId="15" fillId="6" borderId="0" xfId="0" applyFont="1" applyFill="1" applyAlignment="1">
      <alignment horizontal="left" vertical="top" wrapText="1"/>
    </xf>
    <xf numFmtId="0" fontId="31" fillId="17" borderId="0" xfId="0" applyFont="1" applyFill="1" applyAlignment="1">
      <alignment horizontal="center" vertical="center"/>
    </xf>
    <xf numFmtId="0" fontId="31" fillId="0" borderId="0" xfId="0" applyFont="1" applyAlignment="1">
      <alignment horizontal="center" vertical="center"/>
    </xf>
    <xf numFmtId="0" fontId="0" fillId="0" borderId="0" xfId="0" applyAlignment="1">
      <alignment horizontal="center" vertical="center" wrapText="1"/>
    </xf>
    <xf numFmtId="0" fontId="27" fillId="12" borderId="0" xfId="0" applyFont="1" applyFill="1" applyAlignment="1">
      <alignment horizontal="center" vertical="center"/>
    </xf>
    <xf numFmtId="0" fontId="27" fillId="12" borderId="0" xfId="0" applyFont="1" applyFill="1" applyAlignment="1">
      <alignment vertical="center"/>
    </xf>
    <xf numFmtId="0" fontId="0" fillId="0" borderId="67" xfId="0" applyBorder="1" applyAlignment="1" applyProtection="1">
      <alignment vertical="top"/>
      <protection locked="0"/>
    </xf>
    <xf numFmtId="0" fontId="1" fillId="0" borderId="0" xfId="0" applyFont="1" applyAlignment="1">
      <alignment horizontal="left" vertical="center" wrapText="1"/>
    </xf>
    <xf numFmtId="0" fontId="1" fillId="0" borderId="2" xfId="0" applyFont="1" applyBorder="1" applyAlignment="1">
      <alignment horizontal="center" vertical="center" wrapText="1"/>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0" xfId="0" applyFont="1" applyAlignment="1">
      <alignment horizontal="center" vertical="center" wrapText="1"/>
    </xf>
    <xf numFmtId="0" fontId="1" fillId="0" borderId="26" xfId="0" applyFont="1" applyBorder="1" applyAlignment="1">
      <alignment horizontal="center" vertical="center" wrapText="1"/>
    </xf>
    <xf numFmtId="0" fontId="1" fillId="0" borderId="3" xfId="0" applyFont="1" applyBorder="1" applyAlignment="1">
      <alignment horizontal="left" vertical="center" wrapText="1"/>
    </xf>
    <xf numFmtId="0" fontId="26" fillId="0" borderId="67" xfId="0" applyFont="1" applyBorder="1" applyAlignment="1" applyProtection="1">
      <alignment horizontal="center" vertical="top" wrapText="1" readingOrder="1"/>
      <protection locked="0"/>
    </xf>
    <xf numFmtId="3" fontId="0" fillId="0" borderId="0" xfId="0" applyNumberFormat="1" applyAlignment="1">
      <alignment vertical="center"/>
    </xf>
    <xf numFmtId="0" fontId="1" fillId="0" borderId="1" xfId="0" applyFont="1" applyBorder="1" applyAlignment="1">
      <alignment horizontal="left" vertical="center" wrapText="1"/>
    </xf>
    <xf numFmtId="0" fontId="4" fillId="0" borderId="4" xfId="0" applyFont="1" applyBorder="1" applyAlignment="1">
      <alignment horizontal="left" vertical="center" wrapText="1"/>
    </xf>
    <xf numFmtId="0" fontId="4" fillId="0" borderId="7" xfId="0" applyFont="1" applyBorder="1" applyAlignment="1">
      <alignment horizontal="right" vertical="center"/>
    </xf>
    <xf numFmtId="0" fontId="1" fillId="0" borderId="0" xfId="0" applyFont="1" applyAlignment="1">
      <alignment horizontal="left" vertical="center"/>
    </xf>
    <xf numFmtId="0" fontId="0" fillId="0" borderId="18" xfId="0" applyBorder="1" applyAlignment="1" applyProtection="1">
      <alignment wrapText="1"/>
      <protection locked="0"/>
    </xf>
    <xf numFmtId="0" fontId="1" fillId="5" borderId="52" xfId="0" applyFont="1" applyFill="1" applyBorder="1" applyAlignment="1">
      <alignment horizontal="center" vertical="center" wrapText="1"/>
    </xf>
    <xf numFmtId="0" fontId="1" fillId="5" borderId="54" xfId="0" applyFont="1" applyFill="1" applyBorder="1" applyAlignment="1">
      <alignment horizontal="center" vertical="center" wrapText="1"/>
    </xf>
    <xf numFmtId="0" fontId="26" fillId="11" borderId="67" xfId="0" applyFont="1" applyFill="1" applyBorder="1" applyAlignment="1" applyProtection="1">
      <alignment horizontal="center" vertical="top" wrapText="1" readingOrder="1"/>
      <protection locked="0"/>
    </xf>
    <xf numFmtId="0" fontId="26" fillId="11" borderId="67" xfId="0" applyFont="1" applyFill="1" applyBorder="1" applyAlignment="1" applyProtection="1">
      <alignment vertical="top" wrapText="1" readingOrder="1"/>
      <protection locked="0"/>
    </xf>
    <xf numFmtId="0" fontId="1" fillId="5" borderId="65" xfId="0" applyFont="1" applyFill="1" applyBorder="1" applyAlignment="1">
      <alignment horizontal="left" vertical="center" wrapText="1"/>
    </xf>
    <xf numFmtId="0" fontId="1" fillId="5" borderId="7" xfId="0" applyFont="1" applyFill="1" applyBorder="1" applyAlignment="1">
      <alignment horizontal="left" vertical="center" wrapText="1"/>
    </xf>
    <xf numFmtId="3" fontId="4" fillId="16" borderId="71" xfId="0" applyNumberFormat="1" applyFont="1" applyFill="1" applyBorder="1" applyAlignment="1">
      <alignment horizontal="right" vertical="center"/>
    </xf>
    <xf numFmtId="0" fontId="1" fillId="6" borderId="0" xfId="0" applyFont="1" applyFill="1" applyAlignment="1">
      <alignment horizontal="left" vertical="center"/>
    </xf>
    <xf numFmtId="0" fontId="1" fillId="5" borderId="17" xfId="0" applyFont="1" applyFill="1" applyBorder="1" applyAlignment="1">
      <alignment horizontal="center" vertical="center" wrapText="1"/>
    </xf>
    <xf numFmtId="0" fontId="1" fillId="5" borderId="29" xfId="0" applyFont="1" applyFill="1" applyBorder="1" applyAlignment="1">
      <alignment horizontal="center" vertical="center" wrapText="1"/>
    </xf>
    <xf numFmtId="0" fontId="1" fillId="5" borderId="30" xfId="0" applyFont="1" applyFill="1" applyBorder="1" applyAlignment="1">
      <alignment horizontal="center" vertical="center" wrapText="1"/>
    </xf>
    <xf numFmtId="0" fontId="1" fillId="5" borderId="27" xfId="0" applyFont="1" applyFill="1" applyBorder="1" applyAlignment="1">
      <alignment horizontal="center" vertical="center" wrapText="1"/>
    </xf>
    <xf numFmtId="0" fontId="1" fillId="5" borderId="16" xfId="0" applyFont="1" applyFill="1" applyBorder="1" applyAlignment="1">
      <alignment horizontal="center" vertical="center" wrapText="1"/>
    </xf>
    <xf numFmtId="0" fontId="1" fillId="5" borderId="11" xfId="0" applyFont="1" applyFill="1" applyBorder="1" applyAlignment="1">
      <alignment horizontal="center" vertical="center" wrapText="1"/>
    </xf>
    <xf numFmtId="3" fontId="4" fillId="7" borderId="67" xfId="0" applyNumberFormat="1" applyFont="1" applyFill="1" applyBorder="1" applyAlignment="1" applyProtection="1">
      <alignment horizontal="right" vertical="center"/>
      <protection locked="0"/>
    </xf>
    <xf numFmtId="3" fontId="4" fillId="7" borderId="67" xfId="0" applyNumberFormat="1" applyFont="1" applyFill="1" applyBorder="1" applyAlignment="1">
      <alignment horizontal="right" vertical="center"/>
    </xf>
    <xf numFmtId="3" fontId="4" fillId="5" borderId="67" xfId="0" applyNumberFormat="1" applyFont="1" applyFill="1" applyBorder="1" applyAlignment="1">
      <alignment horizontal="right" vertical="center"/>
    </xf>
    <xf numFmtId="3" fontId="4" fillId="9" borderId="67" xfId="0" applyNumberFormat="1" applyFont="1" applyFill="1" applyBorder="1" applyAlignment="1" applyProtection="1">
      <alignment horizontal="right" vertical="center"/>
      <protection locked="0"/>
    </xf>
    <xf numFmtId="3" fontId="4" fillId="9" borderId="67" xfId="0" applyNumberFormat="1" applyFont="1" applyFill="1" applyBorder="1" applyAlignment="1">
      <alignment horizontal="right" vertical="center"/>
    </xf>
    <xf numFmtId="0" fontId="1" fillId="5" borderId="31" xfId="0" applyFont="1" applyFill="1" applyBorder="1" applyAlignment="1">
      <alignment horizontal="left" vertical="center" wrapText="1"/>
    </xf>
    <xf numFmtId="0" fontId="1" fillId="5" borderId="3" xfId="0" applyFont="1" applyFill="1" applyBorder="1" applyAlignment="1">
      <alignment horizontal="left" vertical="center" wrapText="1"/>
    </xf>
    <xf numFmtId="0" fontId="1" fillId="2" borderId="0" xfId="0" applyFont="1" applyFill="1" applyAlignment="1">
      <alignment horizontal="left" vertical="center" wrapText="1"/>
    </xf>
    <xf numFmtId="0" fontId="1" fillId="9" borderId="0" xfId="0" applyFont="1" applyFill="1" applyAlignment="1">
      <alignment horizontal="left" vertical="center" wrapText="1"/>
    </xf>
    <xf numFmtId="0" fontId="26" fillId="14" borderId="67" xfId="0" applyFont="1" applyFill="1" applyBorder="1" applyAlignment="1" applyProtection="1">
      <alignment horizontal="center" vertical="top" wrapText="1" readingOrder="1"/>
      <protection locked="0"/>
    </xf>
    <xf numFmtId="0" fontId="1" fillId="5" borderId="9" xfId="0" applyFont="1" applyFill="1" applyBorder="1" applyAlignment="1">
      <alignment horizontal="center" vertical="center" wrapText="1"/>
    </xf>
    <xf numFmtId="0" fontId="1" fillId="5" borderId="8" xfId="0" applyFont="1" applyFill="1" applyBorder="1" applyAlignment="1">
      <alignment horizontal="center" vertical="center" wrapText="1"/>
    </xf>
    <xf numFmtId="0" fontId="1" fillId="2" borderId="26" xfId="0" applyFont="1" applyFill="1" applyBorder="1" applyAlignment="1">
      <alignment horizontal="center" vertical="center" wrapText="1"/>
    </xf>
    <xf numFmtId="0" fontId="26" fillId="15" borderId="67" xfId="0" applyFont="1" applyFill="1" applyBorder="1" applyAlignment="1" applyProtection="1">
      <alignment horizontal="center" vertical="top" wrapText="1" readingOrder="1"/>
      <protection locked="0"/>
    </xf>
    <xf numFmtId="0" fontId="1" fillId="8" borderId="0" xfId="0" applyFont="1" applyFill="1" applyAlignment="1">
      <alignment horizontal="left" vertical="center" wrapText="1"/>
    </xf>
    <xf numFmtId="0" fontId="1" fillId="6" borderId="0" xfId="0" applyFont="1" applyFill="1" applyAlignment="1">
      <alignment horizontal="left" vertical="center" wrapText="1"/>
    </xf>
    <xf numFmtId="0" fontId="1" fillId="5" borderId="15" xfId="0" applyFont="1" applyFill="1" applyBorder="1" applyAlignment="1">
      <alignment horizontal="center" vertical="center" wrapText="1"/>
    </xf>
    <xf numFmtId="0" fontId="1" fillId="5" borderId="10" xfId="0" applyFont="1" applyFill="1" applyBorder="1" applyAlignment="1">
      <alignment horizontal="center" vertical="center" wrapText="1"/>
    </xf>
    <xf numFmtId="0" fontId="1" fillId="5" borderId="7" xfId="0" applyFont="1" applyFill="1" applyBorder="1" applyAlignment="1">
      <alignment horizontal="center" vertical="center" wrapText="1"/>
    </xf>
    <xf numFmtId="0" fontId="1" fillId="5" borderId="21" xfId="0" applyFont="1" applyFill="1" applyBorder="1" applyAlignment="1">
      <alignment horizontal="center" vertical="center" wrapText="1"/>
    </xf>
    <xf numFmtId="0" fontId="26" fillId="10" borderId="67" xfId="0" applyFont="1" applyFill="1" applyBorder="1" applyAlignment="1" applyProtection="1">
      <alignment horizontal="center" vertical="top" wrapText="1" readingOrder="1"/>
      <protection locked="0"/>
    </xf>
    <xf numFmtId="0" fontId="1" fillId="5" borderId="0" xfId="0" applyFont="1" applyFill="1" applyAlignment="1">
      <alignment horizontal="left" vertical="center" wrapText="1"/>
    </xf>
    <xf numFmtId="0" fontId="2" fillId="5" borderId="32" xfId="3" applyFont="1" applyFill="1" applyBorder="1" applyAlignment="1">
      <alignment horizontal="center" vertical="center"/>
    </xf>
    <xf numFmtId="0" fontId="2" fillId="5" borderId="17" xfId="3" applyFont="1" applyFill="1" applyBorder="1" applyAlignment="1">
      <alignment horizontal="center" vertical="center"/>
    </xf>
    <xf numFmtId="0" fontId="2" fillId="5" borderId="28" xfId="3" applyFont="1" applyFill="1" applyBorder="1" applyAlignment="1">
      <alignment horizontal="center" vertical="center"/>
    </xf>
    <xf numFmtId="0" fontId="20" fillId="5" borderId="24" xfId="3" applyFont="1" applyFill="1" applyBorder="1" applyAlignment="1">
      <alignment horizontal="center" vertical="center"/>
    </xf>
    <xf numFmtId="0" fontId="20" fillId="5" borderId="0" xfId="3" applyFont="1" applyFill="1" applyAlignment="1">
      <alignment horizontal="center" vertical="center"/>
    </xf>
    <xf numFmtId="0" fontId="20" fillId="5" borderId="23" xfId="3" applyFont="1" applyFill="1" applyBorder="1" applyAlignment="1">
      <alignment horizontal="center" vertical="center"/>
    </xf>
    <xf numFmtId="0" fontId="8" fillId="5" borderId="19" xfId="3" applyFont="1" applyFill="1" applyBorder="1" applyAlignment="1">
      <alignment horizontal="center" vertical="center"/>
    </xf>
    <xf numFmtId="0" fontId="8" fillId="5" borderId="25" xfId="3" applyFont="1" applyFill="1" applyBorder="1" applyAlignment="1">
      <alignment horizontal="center" vertical="center"/>
    </xf>
    <xf numFmtId="0" fontId="8" fillId="5" borderId="33" xfId="3" applyFont="1" applyFill="1" applyBorder="1" applyAlignment="1">
      <alignment horizontal="center" vertical="center"/>
    </xf>
    <xf numFmtId="0" fontId="18" fillId="7" borderId="12" xfId="3" applyFont="1" applyFill="1" applyBorder="1" applyAlignment="1">
      <alignment horizontal="center" vertical="center"/>
    </xf>
    <xf numFmtId="0" fontId="18" fillId="7" borderId="13" xfId="3" applyFont="1" applyFill="1" applyBorder="1" applyAlignment="1">
      <alignment horizontal="center" vertical="center"/>
    </xf>
    <xf numFmtId="0" fontId="18" fillId="7" borderId="18" xfId="3" applyFont="1" applyFill="1" applyBorder="1" applyAlignment="1">
      <alignment horizontal="center" vertical="center"/>
    </xf>
    <xf numFmtId="0" fontId="17" fillId="7" borderId="7" xfId="3" applyFont="1" applyFill="1" applyBorder="1" applyAlignment="1" applyProtection="1">
      <alignment horizontal="right" vertical="center"/>
      <protection locked="0"/>
    </xf>
    <xf numFmtId="0" fontId="2" fillId="7" borderId="12" xfId="3" applyFont="1" applyFill="1" applyBorder="1" applyAlignment="1">
      <alignment horizontal="center" vertical="center"/>
    </xf>
    <xf numFmtId="0" fontId="2" fillId="7" borderId="13" xfId="3" applyFont="1" applyFill="1" applyBorder="1" applyAlignment="1">
      <alignment horizontal="center" vertical="center"/>
    </xf>
    <xf numFmtId="0" fontId="2" fillId="7" borderId="18" xfId="3" applyFont="1" applyFill="1" applyBorder="1" applyAlignment="1">
      <alignment horizontal="center" vertical="center"/>
    </xf>
    <xf numFmtId="0" fontId="17" fillId="6" borderId="0" xfId="3" applyFont="1" applyFill="1" applyAlignment="1">
      <alignment horizontal="left" vertical="center" wrapText="1"/>
    </xf>
    <xf numFmtId="0" fontId="17" fillId="6" borderId="0" xfId="3" applyFont="1" applyFill="1" applyAlignment="1">
      <alignment horizontal="left" vertical="center"/>
    </xf>
    <xf numFmtId="0" fontId="17" fillId="0" borderId="0" xfId="0" applyFont="1" applyAlignment="1">
      <alignment horizontal="left" wrapText="1"/>
    </xf>
    <xf numFmtId="0" fontId="19" fillId="6" borderId="0" xfId="2" applyFont="1" applyFill="1" applyAlignment="1">
      <alignment horizontal="left" vertical="center" wrapText="1"/>
    </xf>
    <xf numFmtId="0" fontId="19" fillId="6" borderId="0" xfId="0" applyFont="1" applyFill="1" applyAlignment="1">
      <alignment horizontal="left" wrapText="1"/>
    </xf>
    <xf numFmtId="0" fontId="17" fillId="0" borderId="12" xfId="0" applyFont="1" applyBorder="1" applyAlignment="1" applyProtection="1">
      <alignment horizontal="left" vertical="top" wrapText="1"/>
      <protection locked="0"/>
    </xf>
    <xf numFmtId="0" fontId="17" fillId="0" borderId="13" xfId="0" applyFont="1" applyBorder="1" applyAlignment="1" applyProtection="1">
      <alignment horizontal="left" vertical="top" wrapText="1"/>
      <protection locked="0"/>
    </xf>
    <xf numFmtId="0" fontId="17" fillId="0" borderId="18" xfId="0" applyFont="1" applyBorder="1" applyAlignment="1" applyProtection="1">
      <alignment horizontal="left" vertical="top" wrapText="1"/>
      <protection locked="0"/>
    </xf>
    <xf numFmtId="0" fontId="17" fillId="6" borderId="0" xfId="0" applyFont="1" applyFill="1" applyAlignment="1">
      <alignment horizontal="left" wrapText="1"/>
    </xf>
    <xf numFmtId="0" fontId="22" fillId="7" borderId="7" xfId="1" applyFont="1" applyFill="1" applyBorder="1" applyAlignment="1" applyProtection="1">
      <alignment horizontal="right" vertical="center"/>
      <protection locked="0"/>
    </xf>
    <xf numFmtId="0" fontId="1" fillId="0" borderId="0" xfId="0" applyFont="1" applyAlignment="1">
      <alignment horizontal="left" vertical="center" wrapText="1"/>
    </xf>
    <xf numFmtId="0" fontId="1" fillId="0" borderId="22" xfId="0" applyFont="1" applyBorder="1" applyAlignment="1">
      <alignment horizontal="left" vertical="center" wrapText="1"/>
    </xf>
    <xf numFmtId="0" fontId="1" fillId="7" borderId="12" xfId="0" applyFont="1" applyFill="1" applyBorder="1" applyAlignment="1" applyProtection="1">
      <alignment horizontal="left" vertical="center" wrapText="1"/>
      <protection locked="0"/>
    </xf>
    <xf numFmtId="0" fontId="1" fillId="7" borderId="13" xfId="0" applyFont="1" applyFill="1" applyBorder="1" applyAlignment="1" applyProtection="1">
      <alignment horizontal="left" vertical="center" wrapText="1"/>
      <protection locked="0"/>
    </xf>
    <xf numFmtId="0" fontId="1" fillId="7" borderId="18" xfId="0" applyFont="1" applyFill="1" applyBorder="1" applyAlignment="1" applyProtection="1">
      <alignment horizontal="left" vertical="center" wrapText="1"/>
      <protection locked="0"/>
    </xf>
    <xf numFmtId="0" fontId="9" fillId="6" borderId="32"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8"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25" xfId="0" applyFont="1" applyFill="1" applyBorder="1" applyAlignment="1">
      <alignment horizontal="center" vertical="center" wrapText="1"/>
    </xf>
    <xf numFmtId="0" fontId="9" fillId="6" borderId="33" xfId="0" applyFont="1" applyFill="1" applyBorder="1" applyAlignment="1">
      <alignment horizontal="center" vertical="center" wrapText="1"/>
    </xf>
    <xf numFmtId="0" fontId="2" fillId="5" borderId="12" xfId="0" applyFont="1" applyFill="1" applyBorder="1" applyAlignment="1">
      <alignment horizontal="left" vertical="center" wrapText="1"/>
    </xf>
    <xf numFmtId="0" fontId="2" fillId="5" borderId="13" xfId="0" applyFont="1" applyFill="1" applyBorder="1" applyAlignment="1">
      <alignment horizontal="left" vertical="center" wrapText="1"/>
    </xf>
    <xf numFmtId="0" fontId="2" fillId="5" borderId="18" xfId="0" applyFont="1" applyFill="1" applyBorder="1" applyAlignment="1">
      <alignment horizontal="left" vertical="center" wrapText="1"/>
    </xf>
    <xf numFmtId="0" fontId="10" fillId="0" borderId="12" xfId="0" applyFont="1" applyBorder="1" applyAlignment="1">
      <alignment horizontal="left" vertical="center" wrapText="1"/>
    </xf>
    <xf numFmtId="0" fontId="10" fillId="0" borderId="13" xfId="0" applyFont="1" applyBorder="1" applyAlignment="1">
      <alignment horizontal="left" vertical="center" wrapText="1"/>
    </xf>
    <xf numFmtId="0" fontId="10" fillId="0" borderId="18" xfId="0" applyFont="1" applyBorder="1" applyAlignment="1">
      <alignment horizontal="left" vertical="center" wrapText="1"/>
    </xf>
    <xf numFmtId="0" fontId="4" fillId="5" borderId="12" xfId="0" applyFont="1" applyFill="1" applyBorder="1" applyAlignment="1">
      <alignment horizontal="left" vertical="center" wrapText="1"/>
    </xf>
    <xf numFmtId="0" fontId="4" fillId="5" borderId="13" xfId="0" applyFont="1" applyFill="1" applyBorder="1" applyAlignment="1">
      <alignment horizontal="left" vertical="center" wrapText="1"/>
    </xf>
    <xf numFmtId="0" fontId="4" fillId="5" borderId="18" xfId="0" applyFont="1" applyFill="1" applyBorder="1" applyAlignment="1">
      <alignment horizontal="left" vertical="center" wrapText="1"/>
    </xf>
    <xf numFmtId="0" fontId="1" fillId="7" borderId="12" xfId="0" applyFont="1" applyFill="1" applyBorder="1" applyAlignment="1" applyProtection="1">
      <alignment horizontal="left" vertical="center"/>
      <protection locked="0"/>
    </xf>
    <xf numFmtId="0" fontId="1" fillId="7" borderId="13" xfId="0" applyFont="1" applyFill="1" applyBorder="1" applyAlignment="1" applyProtection="1">
      <alignment horizontal="left" vertical="center"/>
      <protection locked="0"/>
    </xf>
    <xf numFmtId="0" fontId="1" fillId="7" borderId="18" xfId="0" applyFont="1" applyFill="1" applyBorder="1" applyAlignment="1" applyProtection="1">
      <alignment horizontal="left" vertical="center"/>
      <protection locked="0"/>
    </xf>
    <xf numFmtId="0" fontId="4" fillId="5" borderId="25" xfId="0" applyFont="1" applyFill="1" applyBorder="1" applyAlignment="1">
      <alignment horizontal="left" vertical="center" wrapText="1"/>
    </xf>
    <xf numFmtId="0" fontId="4" fillId="5" borderId="34" xfId="0" applyFont="1" applyFill="1" applyBorder="1" applyAlignment="1">
      <alignment horizontal="left" vertical="center" wrapText="1"/>
    </xf>
    <xf numFmtId="0" fontId="4" fillId="3" borderId="26" xfId="0" applyFont="1" applyFill="1" applyBorder="1" applyAlignment="1">
      <alignment horizontal="left" vertical="center" wrapText="1"/>
    </xf>
    <xf numFmtId="0" fontId="4" fillId="3" borderId="6" xfId="0" applyFont="1" applyFill="1" applyBorder="1" applyAlignment="1">
      <alignment horizontal="left" vertical="center" wrapText="1"/>
    </xf>
    <xf numFmtId="0" fontId="4" fillId="5" borderId="35" xfId="0" applyFont="1" applyFill="1" applyBorder="1" applyAlignment="1">
      <alignment horizontal="left" vertical="center" wrapText="1"/>
    </xf>
    <xf numFmtId="0" fontId="4" fillId="5" borderId="33" xfId="0" applyFont="1" applyFill="1" applyBorder="1" applyAlignment="1">
      <alignment horizontal="left" vertical="center" wrapText="1"/>
    </xf>
    <xf numFmtId="0" fontId="0" fillId="6" borderId="0" xfId="0" applyFill="1" applyAlignment="1">
      <alignment vertical="center"/>
    </xf>
    <xf numFmtId="0" fontId="10" fillId="6" borderId="12" xfId="0" applyFont="1" applyFill="1" applyBorder="1" applyAlignment="1">
      <alignment horizontal="left" vertical="center" wrapText="1"/>
    </xf>
    <xf numFmtId="0" fontId="10" fillId="6" borderId="13" xfId="0" applyFont="1" applyFill="1" applyBorder="1" applyAlignment="1">
      <alignment horizontal="left" vertical="center" wrapText="1"/>
    </xf>
    <xf numFmtId="0" fontId="10" fillId="6" borderId="18" xfId="0" applyFont="1" applyFill="1" applyBorder="1" applyAlignment="1">
      <alignment horizontal="left" vertical="center" wrapText="1"/>
    </xf>
    <xf numFmtId="0" fontId="4" fillId="5" borderId="17" xfId="0" applyFont="1" applyFill="1" applyBorder="1" applyAlignment="1">
      <alignment horizontal="left" vertical="center" wrapText="1"/>
    </xf>
    <xf numFmtId="0" fontId="1" fillId="6" borderId="0" xfId="0" applyFont="1" applyFill="1" applyAlignment="1">
      <alignment horizontal="left" wrapText="1"/>
    </xf>
    <xf numFmtId="0" fontId="1" fillId="6" borderId="64" xfId="0" applyFont="1" applyFill="1" applyBorder="1" applyAlignment="1" applyProtection="1">
      <alignment horizontal="center" vertical="center" wrapText="1"/>
      <protection locked="0"/>
    </xf>
    <xf numFmtId="0" fontId="1" fillId="6" borderId="72" xfId="0" applyFont="1" applyFill="1" applyBorder="1" applyAlignment="1" applyProtection="1">
      <alignment horizontal="center" vertical="center" wrapText="1"/>
      <protection locked="0"/>
    </xf>
    <xf numFmtId="0" fontId="1" fillId="6" borderId="71" xfId="0" applyFont="1" applyFill="1" applyBorder="1" applyAlignment="1" applyProtection="1">
      <alignment horizontal="center" vertical="center" wrapText="1"/>
      <protection locked="0"/>
    </xf>
    <xf numFmtId="0" fontId="1" fillId="6" borderId="73" xfId="0" applyFont="1" applyFill="1" applyBorder="1" applyAlignment="1" applyProtection="1">
      <alignment horizontal="center" vertical="center" wrapText="1"/>
      <protection locked="0"/>
    </xf>
    <xf numFmtId="0" fontId="1" fillId="6" borderId="0" xfId="0" applyFont="1" applyFill="1" applyAlignment="1" applyProtection="1">
      <alignment horizontal="center" vertical="center" wrapText="1"/>
      <protection locked="0"/>
    </xf>
    <xf numFmtId="0" fontId="1" fillId="6" borderId="74" xfId="0" applyFont="1" applyFill="1" applyBorder="1" applyAlignment="1" applyProtection="1">
      <alignment horizontal="center" vertical="center" wrapText="1"/>
      <protection locked="0"/>
    </xf>
    <xf numFmtId="0" fontId="1" fillId="6" borderId="75" xfId="0" applyFont="1" applyFill="1" applyBorder="1" applyAlignment="1" applyProtection="1">
      <alignment horizontal="center" vertical="center" wrapText="1"/>
      <protection locked="0"/>
    </xf>
    <xf numFmtId="0" fontId="1" fillId="6" borderId="22" xfId="0" applyFont="1" applyFill="1" applyBorder="1" applyAlignment="1" applyProtection="1">
      <alignment horizontal="center" vertical="center" wrapText="1"/>
      <protection locked="0"/>
    </xf>
    <xf numFmtId="0" fontId="1" fillId="6" borderId="76" xfId="0" applyFont="1" applyFill="1" applyBorder="1" applyAlignment="1" applyProtection="1">
      <alignment horizontal="center" vertical="center" wrapText="1"/>
      <protection locked="0"/>
    </xf>
    <xf numFmtId="0" fontId="4" fillId="0" borderId="12" xfId="0" applyFont="1" applyBorder="1" applyAlignment="1">
      <alignment horizontal="left" vertical="center" wrapText="1"/>
    </xf>
    <xf numFmtId="0" fontId="4" fillId="0" borderId="13" xfId="0" applyFont="1" applyBorder="1" applyAlignment="1">
      <alignment horizontal="left" vertical="center" wrapText="1"/>
    </xf>
    <xf numFmtId="0" fontId="4" fillId="0" borderId="17" xfId="0" applyFont="1" applyBorder="1" applyAlignment="1">
      <alignment horizontal="left" vertical="center" wrapText="1"/>
    </xf>
    <xf numFmtId="0" fontId="4" fillId="0" borderId="18" xfId="0" applyFont="1" applyBorder="1" applyAlignment="1">
      <alignment horizontal="left" vertical="center" wrapText="1"/>
    </xf>
    <xf numFmtId="0" fontId="10" fillId="6" borderId="12" xfId="0" applyFont="1" applyFill="1" applyBorder="1" applyAlignment="1">
      <alignment horizontal="left" vertical="top" wrapText="1"/>
    </xf>
    <xf numFmtId="0" fontId="10" fillId="6" borderId="13" xfId="0" applyFont="1" applyFill="1" applyBorder="1" applyAlignment="1">
      <alignment horizontal="left" vertical="top" wrapText="1"/>
    </xf>
    <xf numFmtId="0" fontId="10" fillId="6" borderId="18" xfId="0" applyFont="1" applyFill="1" applyBorder="1" applyAlignment="1">
      <alignment horizontal="left" vertical="top" wrapText="1"/>
    </xf>
    <xf numFmtId="0" fontId="4" fillId="5" borderId="28" xfId="0" applyFont="1" applyFill="1" applyBorder="1" applyAlignment="1">
      <alignment horizontal="left" vertical="center" wrapText="1"/>
    </xf>
    <xf numFmtId="0" fontId="1" fillId="7" borderId="19" xfId="0" applyFont="1" applyFill="1" applyBorder="1" applyAlignment="1" applyProtection="1">
      <alignment horizontal="center" vertical="center" wrapText="1"/>
      <protection locked="0"/>
    </xf>
    <xf numFmtId="0" fontId="1" fillId="7" borderId="25" xfId="0" applyFont="1" applyFill="1" applyBorder="1" applyAlignment="1" applyProtection="1">
      <alignment horizontal="center" vertical="center" wrapText="1"/>
      <protection locked="0"/>
    </xf>
    <xf numFmtId="0" fontId="1" fillId="7" borderId="33" xfId="0" applyFont="1" applyFill="1" applyBorder="1" applyAlignment="1" applyProtection="1">
      <alignment horizontal="center" vertical="center" wrapText="1"/>
      <protection locked="0"/>
    </xf>
    <xf numFmtId="0" fontId="4" fillId="5" borderId="32" xfId="0" applyFont="1" applyFill="1" applyBorder="1" applyAlignment="1">
      <alignment horizontal="left" vertical="center" wrapText="1"/>
    </xf>
    <xf numFmtId="0" fontId="0" fillId="7" borderId="12" xfId="0" applyFill="1" applyBorder="1" applyAlignment="1" applyProtection="1">
      <alignment horizontal="center" vertical="center" wrapText="1"/>
      <protection locked="0"/>
    </xf>
    <xf numFmtId="0" fontId="0" fillId="7" borderId="13" xfId="0" applyFill="1" applyBorder="1" applyAlignment="1" applyProtection="1">
      <alignment wrapText="1"/>
      <protection locked="0"/>
    </xf>
    <xf numFmtId="0" fontId="0" fillId="7" borderId="18" xfId="0" applyFill="1" applyBorder="1" applyAlignment="1" applyProtection="1">
      <alignment wrapText="1"/>
      <protection locked="0"/>
    </xf>
    <xf numFmtId="3" fontId="4" fillId="6" borderId="0" xfId="0" applyNumberFormat="1" applyFont="1" applyFill="1" applyAlignment="1">
      <alignment horizontal="left" vertical="center" wrapText="1"/>
    </xf>
    <xf numFmtId="0" fontId="17" fillId="6" borderId="12" xfId="0" applyFont="1" applyFill="1" applyBorder="1" applyAlignment="1">
      <alignment horizontal="left" vertical="center" wrapText="1"/>
    </xf>
    <xf numFmtId="0" fontId="17" fillId="6" borderId="13" xfId="0" applyFont="1" applyFill="1" applyBorder="1" applyAlignment="1">
      <alignment horizontal="left" vertical="center" wrapText="1"/>
    </xf>
    <xf numFmtId="0" fontId="17" fillId="6" borderId="18" xfId="0" applyFont="1" applyFill="1" applyBorder="1" applyAlignment="1">
      <alignment horizontal="left" vertical="center" wrapText="1"/>
    </xf>
    <xf numFmtId="0" fontId="9" fillId="6" borderId="30" xfId="0" applyFont="1" applyFill="1" applyBorder="1" applyAlignment="1">
      <alignment horizontal="center" vertical="center" wrapText="1"/>
    </xf>
    <xf numFmtId="0" fontId="9" fillId="6" borderId="6" xfId="0" applyFont="1" applyFill="1" applyBorder="1" applyAlignment="1">
      <alignment horizontal="center" vertical="center" wrapText="1"/>
    </xf>
    <xf numFmtId="0" fontId="31" fillId="17" borderId="0" xfId="0" applyFont="1" applyFill="1" applyAlignment="1">
      <alignment horizontal="center" vertical="center"/>
    </xf>
  </cellXfs>
  <cellStyles count="5">
    <cellStyle name="Hyperlink" xfId="1" builtinId="8"/>
    <cellStyle name="Normal" xfId="0" builtinId="0"/>
    <cellStyle name="Normal 2" xfId="3" xr:uid="{00000000-0005-0000-0000-000002000000}"/>
    <cellStyle name="Normal 2 3 2" xfId="4" xr:uid="{344DDCE1-870F-4B33-AC1F-405F3E7BF048}"/>
    <cellStyle name="Normal_Prov Indicators Index" xfId="2" xr:uid="{00000000-0005-0000-0000-000003000000}"/>
  </cellStyles>
  <dxfs count="48">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FFCCFF"/>
      <color rgb="FFCC99FF"/>
      <color rgb="FFFFFFCC"/>
      <color rgb="FFFFFF99"/>
      <color rgb="FF26FF09"/>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134695</xdr:rowOff>
    </xdr:to>
    <xdr:pic>
      <xdr:nvPicPr>
        <xdr:cNvPr id="2" name="Picture 1" descr="Home-Office_RGB_AW">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22411" y="22413"/>
          <a:ext cx="2008655"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122464</xdr:colOff>
      <xdr:row>1</xdr:row>
      <xdr:rowOff>0</xdr:rowOff>
    </xdr:from>
    <xdr:to>
      <xdr:col>0</xdr:col>
      <xdr:colOff>2040799</xdr:colOff>
      <xdr:row>5</xdr:row>
      <xdr:rowOff>211001</xdr:rowOff>
    </xdr:to>
    <xdr:pic>
      <xdr:nvPicPr>
        <xdr:cNvPr id="2" name="Picture 1" descr="Home-Office_RGB_AW">
          <a:extLst>
            <a:ext uri="{FF2B5EF4-FFF2-40B4-BE49-F238E27FC236}">
              <a16:creationId xmlns:a16="http://schemas.microsoft.com/office/drawing/2014/main" id="{554FD6D5-690C-4BE4-97C1-FFF543419089}"/>
            </a:ext>
          </a:extLst>
        </xdr:cNvPr>
        <xdr:cNvPicPr/>
      </xdr:nvPicPr>
      <xdr:blipFill>
        <a:blip xmlns:r="http://schemas.openxmlformats.org/officeDocument/2006/relationships" r:embed="rId1" cstate="print"/>
        <a:srcRect/>
        <a:stretch>
          <a:fillRect/>
        </a:stretch>
      </xdr:blipFill>
      <xdr:spPr bwMode="auto">
        <a:xfrm>
          <a:off x="122464" y="120650"/>
          <a:ext cx="1918335" cy="826951"/>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7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1924050</xdr:colOff>
      <xdr:row>4</xdr:row>
      <xdr:rowOff>135346</xdr:rowOff>
    </xdr:to>
    <xdr:pic>
      <xdr:nvPicPr>
        <xdr:cNvPr id="3" name="Picture 2" descr="Home-Office_RGB_AW">
          <a:extLst>
            <a:ext uri="{FF2B5EF4-FFF2-40B4-BE49-F238E27FC236}">
              <a16:creationId xmlns:a16="http://schemas.microsoft.com/office/drawing/2014/main" id="{00000000-0008-0000-08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1920240</xdr:colOff>
      <xdr:row>4</xdr:row>
      <xdr:rowOff>131536</xdr:rowOff>
    </xdr:to>
    <xdr:pic>
      <xdr:nvPicPr>
        <xdr:cNvPr id="3" name="Picture 2" descr="Home-Office_RGB_AW">
          <a:extLst>
            <a:ext uri="{FF2B5EF4-FFF2-40B4-BE49-F238E27FC236}">
              <a16:creationId xmlns:a16="http://schemas.microsoft.com/office/drawing/2014/main" id="{00000000-0008-0000-09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1920240</xdr:colOff>
      <xdr:row>1</xdr:row>
      <xdr:rowOff>653454</xdr:rowOff>
    </xdr:to>
    <xdr:pic>
      <xdr:nvPicPr>
        <xdr:cNvPr id="2" name="Picture 1" descr="Home-Office_RGB_AW">
          <a:extLst>
            <a:ext uri="{FF2B5EF4-FFF2-40B4-BE49-F238E27FC236}">
              <a16:creationId xmlns:a16="http://schemas.microsoft.com/office/drawing/2014/main" id="{B79B7674-861A-46CC-B4E9-AE48C5A1FB02}"/>
            </a:ext>
          </a:extLst>
        </xdr:cNvPr>
        <xdr:cNvPicPr/>
      </xdr:nvPicPr>
      <xdr:blipFill>
        <a:blip xmlns:r="http://schemas.openxmlformats.org/officeDocument/2006/relationships" r:embed="rId1" cstate="print"/>
        <a:srcRect/>
        <a:stretch>
          <a:fillRect/>
        </a:stretch>
      </xdr:blipFill>
      <xdr:spPr bwMode="auto">
        <a:xfrm>
          <a:off x="0" y="0"/>
          <a:ext cx="1920240" cy="815379"/>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A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B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1921510</xdr:colOff>
      <xdr:row>4</xdr:row>
      <xdr:rowOff>135346</xdr:rowOff>
    </xdr:to>
    <xdr:pic>
      <xdr:nvPicPr>
        <xdr:cNvPr id="3" name="Picture 2" descr="Home-Office_RGB_AW">
          <a:extLst>
            <a:ext uri="{FF2B5EF4-FFF2-40B4-BE49-F238E27FC236}">
              <a16:creationId xmlns:a16="http://schemas.microsoft.com/office/drawing/2014/main" id="{00000000-0008-0000-0C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1925320</xdr:colOff>
      <xdr:row>4</xdr:row>
      <xdr:rowOff>131536</xdr:rowOff>
    </xdr:to>
    <xdr:pic>
      <xdr:nvPicPr>
        <xdr:cNvPr id="3" name="Picture 2" descr="Home-Office_RGB_AW">
          <a:extLst>
            <a:ext uri="{FF2B5EF4-FFF2-40B4-BE49-F238E27FC236}">
              <a16:creationId xmlns:a16="http://schemas.microsoft.com/office/drawing/2014/main" id="{00000000-0008-0000-0D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1920240</xdr:colOff>
      <xdr:row>4</xdr:row>
      <xdr:rowOff>136226</xdr:rowOff>
    </xdr:to>
    <xdr:pic>
      <xdr:nvPicPr>
        <xdr:cNvPr id="3" name="Picture 2" descr="Home-Office_RGB_AW">
          <a:extLst>
            <a:ext uri="{FF2B5EF4-FFF2-40B4-BE49-F238E27FC236}">
              <a16:creationId xmlns:a16="http://schemas.microsoft.com/office/drawing/2014/main" id="{00000000-0008-0000-0E00-000003000000}"/>
            </a:ext>
          </a:extLst>
        </xdr:cNvPr>
        <xdr:cNvPicPr/>
      </xdr:nvPicPr>
      <xdr:blipFill>
        <a:blip xmlns:r="http://schemas.openxmlformats.org/officeDocument/2006/relationships" r:embed="rId1" cstate="print"/>
        <a:srcRect/>
        <a:stretch>
          <a:fillRect/>
        </a:stretch>
      </xdr:blipFill>
      <xdr:spPr bwMode="auto">
        <a:xfrm>
          <a:off x="0" y="156882"/>
          <a:ext cx="1910715" cy="825500"/>
        </a:xfrm>
        <a:prstGeom prst="rect">
          <a:avLst/>
        </a:prstGeom>
        <a:noFill/>
        <a:ln w="9525">
          <a:noFill/>
          <a:miter lim="800000"/>
          <a:headEnd/>
          <a:tailEnd/>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1924685</xdr:colOff>
      <xdr:row>4</xdr:row>
      <xdr:rowOff>133051</xdr:rowOff>
    </xdr:to>
    <xdr:pic>
      <xdr:nvPicPr>
        <xdr:cNvPr id="2" name="Picture 1" descr="Home-Office_RGB_AW">
          <a:extLst>
            <a:ext uri="{FF2B5EF4-FFF2-40B4-BE49-F238E27FC236}">
              <a16:creationId xmlns:a16="http://schemas.microsoft.com/office/drawing/2014/main" id="{8BDEF758-6698-4F47-A21E-304348A44AB1}"/>
            </a:ext>
          </a:extLst>
        </xdr:cNvPr>
        <xdr:cNvPicPr/>
      </xdr:nvPicPr>
      <xdr:blipFill>
        <a:blip xmlns:r="http://schemas.openxmlformats.org/officeDocument/2006/relationships" r:embed="rId1" cstate="print"/>
        <a:srcRect/>
        <a:stretch>
          <a:fillRect/>
        </a:stretch>
      </xdr:blipFill>
      <xdr:spPr bwMode="auto">
        <a:xfrm>
          <a:off x="0" y="171450"/>
          <a:ext cx="1920875" cy="803611"/>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poise.homeoffice.local\data\RQG\DomGroup\ASD-ETHOS30\Fire%20Stats\003%20Fire%20Operational%20Statistics\2024_25\Returns\FS_Template_2024_25.xlsx" TargetMode="External"/><Relationship Id="rId1" Type="http://schemas.openxmlformats.org/officeDocument/2006/relationships/externalLinkPath" Target="https://mhclg.sharepoint.com/sites/SVC2303/Fire/Fire%20Statistics/003%20Fire%20Operational%20Statistics/2025-26%20data%20collection/Templates/2024_25/FS_Template_2024_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Guidance"/>
      <sheetName val="FS1 PY"/>
      <sheetName val="FS1"/>
      <sheetName val="FS1 - PY data"/>
      <sheetName val="FS2"/>
      <sheetName val="FS2 PY"/>
      <sheetName val="FS2 - PY data"/>
      <sheetName val="FS6a"/>
      <sheetName val="FS6b"/>
      <sheetName val="FS7"/>
      <sheetName val="FS7 - PY data"/>
      <sheetName val="FS7 PY"/>
      <sheetName val="FS8a"/>
      <sheetName val="FS8b"/>
      <sheetName val="FS8c"/>
      <sheetName val="FS8d"/>
      <sheetName val="FS9"/>
      <sheetName val="FS10"/>
      <sheetName val="QA checks"/>
      <sheetName val="QA check threshold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legislation.gov.uk/uksi/2005/1541/contents/made" TargetMode="External"/><Relationship Id="rId2" Type="http://schemas.openxmlformats.org/officeDocument/2006/relationships/hyperlink" Target="https://www.nationalfirechiefs.org.uk/write/MediaUploads/NFCC%20meetings/2020/February/Item_11_-_Competence_Framework_2020.pdf" TargetMode="External"/><Relationship Id="rId1" Type="http://schemas.openxmlformats.org/officeDocument/2006/relationships/hyperlink" Target="https://nfcc.org.uk/our-services/building-safety/protection-guidance/" TargetMode="External"/><Relationship Id="rId4"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7.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8.bin"/></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6"/>
  <dimension ref="A1:AE397"/>
  <sheetViews>
    <sheetView tabSelected="1" zoomScale="90" zoomScaleNormal="90" workbookViewId="0">
      <selection activeCell="A35" sqref="A35:F35"/>
    </sheetView>
  </sheetViews>
  <sheetFormatPr defaultColWidth="9.140625" defaultRowHeight="15" customHeight="1"/>
  <cols>
    <col min="1" max="1" width="17.5703125" style="30" customWidth="1"/>
    <col min="2" max="2" width="20.5703125" style="30" customWidth="1"/>
    <col min="3" max="3" width="34.140625" style="30" customWidth="1"/>
    <col min="4" max="6" width="20.5703125" style="30" customWidth="1"/>
    <col min="7" max="7" width="13.140625" style="30" customWidth="1"/>
    <col min="8" max="9" width="18.5703125" style="30" customWidth="1"/>
    <col min="10" max="16384" width="9.140625" style="30"/>
  </cols>
  <sheetData>
    <row r="1" spans="1:31" ht="15" customHeight="1">
      <c r="A1" s="76"/>
      <c r="B1" s="76"/>
      <c r="C1" s="76"/>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row>
    <row r="2" spans="1:31" ht="15" customHeight="1">
      <c r="A2" s="76"/>
      <c r="B2" s="76"/>
      <c r="C2" s="77"/>
      <c r="D2" s="77"/>
      <c r="E2" s="77"/>
      <c r="F2" s="77"/>
      <c r="G2" s="77"/>
      <c r="H2" s="76"/>
      <c r="I2" s="76"/>
      <c r="J2" s="76"/>
      <c r="K2" s="76"/>
      <c r="L2" s="76"/>
      <c r="M2" s="76"/>
      <c r="N2" s="76"/>
      <c r="O2" s="76"/>
      <c r="P2" s="76"/>
      <c r="Q2" s="76"/>
      <c r="R2" s="76"/>
      <c r="S2" s="76"/>
      <c r="T2" s="76"/>
      <c r="U2" s="76"/>
      <c r="V2" s="76"/>
      <c r="W2" s="76"/>
      <c r="X2" s="76"/>
      <c r="Y2" s="76"/>
      <c r="Z2" s="76"/>
      <c r="AA2" s="76"/>
      <c r="AB2" s="76"/>
      <c r="AC2" s="76"/>
      <c r="AD2" s="76"/>
      <c r="AE2" s="76"/>
    </row>
    <row r="3" spans="1:31" ht="15" customHeight="1">
      <c r="A3" s="76"/>
      <c r="B3" s="76"/>
      <c r="C3" s="78"/>
      <c r="D3" s="78"/>
      <c r="E3" s="78"/>
      <c r="F3" s="78"/>
      <c r="G3" s="78"/>
      <c r="H3" s="76"/>
      <c r="I3" s="76"/>
      <c r="J3" s="76"/>
      <c r="K3" s="76"/>
      <c r="L3" s="76"/>
      <c r="M3" s="76"/>
      <c r="N3" s="76"/>
      <c r="O3" s="76"/>
      <c r="P3" s="76"/>
      <c r="Q3" s="76"/>
      <c r="R3" s="76"/>
      <c r="S3" s="76"/>
      <c r="T3" s="76"/>
      <c r="U3" s="76"/>
      <c r="V3" s="76"/>
      <c r="W3" s="76"/>
      <c r="X3" s="76"/>
      <c r="Y3" s="76"/>
      <c r="Z3" s="76"/>
      <c r="AA3" s="76"/>
      <c r="AB3" s="76"/>
      <c r="AC3" s="76"/>
      <c r="AD3" s="76"/>
      <c r="AE3" s="76"/>
    </row>
    <row r="4" spans="1:31" ht="15" customHeight="1">
      <c r="A4" s="76"/>
      <c r="B4" s="76"/>
      <c r="C4" s="78"/>
      <c r="D4" s="78"/>
      <c r="E4" s="78"/>
      <c r="F4" s="78"/>
      <c r="G4" s="78"/>
      <c r="H4" s="76"/>
      <c r="I4" s="76"/>
      <c r="J4" s="76"/>
      <c r="K4" s="76"/>
      <c r="L4" s="76"/>
      <c r="M4" s="76"/>
      <c r="N4" s="76"/>
      <c r="O4" s="76"/>
      <c r="P4" s="76"/>
      <c r="Q4" s="76"/>
      <c r="R4" s="76"/>
      <c r="S4" s="76"/>
      <c r="T4" s="76"/>
      <c r="U4" s="76"/>
      <c r="V4" s="76"/>
      <c r="W4" s="76"/>
      <c r="X4" s="76"/>
      <c r="Y4" s="76"/>
      <c r="Z4" s="76"/>
      <c r="AA4" s="76"/>
      <c r="AB4" s="76"/>
      <c r="AC4" s="76"/>
      <c r="AD4" s="76"/>
      <c r="AE4" s="76"/>
    </row>
    <row r="5" spans="1:31" ht="15" customHeight="1" thickBot="1">
      <c r="A5" s="76"/>
      <c r="B5" s="76"/>
      <c r="C5" s="76"/>
      <c r="D5" s="76"/>
      <c r="E5" s="76"/>
      <c r="F5" s="76"/>
      <c r="G5" s="76"/>
      <c r="H5" s="76"/>
      <c r="I5" s="76"/>
      <c r="J5" s="76"/>
      <c r="K5" s="76"/>
      <c r="L5" s="76"/>
      <c r="M5" s="76"/>
      <c r="N5" s="76"/>
      <c r="O5" s="76"/>
      <c r="P5" s="76"/>
      <c r="Q5" s="76"/>
      <c r="R5" s="76"/>
      <c r="S5" s="76"/>
      <c r="T5" s="76"/>
      <c r="U5" s="76"/>
      <c r="V5" s="76"/>
      <c r="W5" s="76"/>
      <c r="X5" s="76"/>
      <c r="Y5" s="76"/>
      <c r="Z5" s="76"/>
      <c r="AA5" s="76"/>
      <c r="AB5" s="76"/>
      <c r="AC5" s="76"/>
      <c r="AD5" s="76"/>
      <c r="AE5" s="76"/>
    </row>
    <row r="6" spans="1:31" s="32" customFormat="1" ht="15" customHeight="1">
      <c r="A6" s="217" t="s">
        <v>127</v>
      </c>
      <c r="B6" s="218"/>
      <c r="C6" s="218"/>
      <c r="D6" s="218"/>
      <c r="E6" s="218"/>
      <c r="F6" s="219"/>
      <c r="G6" s="31"/>
      <c r="H6" s="76"/>
      <c r="I6" s="76"/>
      <c r="J6" s="76"/>
      <c r="K6" s="76"/>
      <c r="L6" s="83"/>
      <c r="M6" s="83"/>
      <c r="N6" s="83"/>
      <c r="O6" s="83"/>
      <c r="P6" s="83"/>
      <c r="Q6" s="83"/>
      <c r="R6" s="83"/>
      <c r="S6" s="83"/>
      <c r="T6" s="83"/>
      <c r="U6" s="83"/>
      <c r="V6" s="83"/>
      <c r="W6" s="83"/>
      <c r="X6" s="83"/>
      <c r="Y6" s="83"/>
      <c r="Z6" s="83"/>
      <c r="AA6" s="83"/>
      <c r="AB6" s="83"/>
      <c r="AC6" s="83"/>
      <c r="AD6" s="83"/>
      <c r="AE6" s="83"/>
    </row>
    <row r="7" spans="1:31" s="32" customFormat="1" ht="20.25" customHeight="1">
      <c r="A7" s="220" t="s">
        <v>1</v>
      </c>
      <c r="B7" s="221"/>
      <c r="C7" s="221"/>
      <c r="D7" s="221"/>
      <c r="E7" s="221"/>
      <c r="F7" s="222"/>
      <c r="G7" s="31"/>
      <c r="H7" s="76"/>
      <c r="I7" s="76"/>
      <c r="J7" s="76"/>
      <c r="K7" s="76"/>
      <c r="L7" s="83"/>
      <c r="M7" s="83"/>
      <c r="N7" s="83"/>
      <c r="O7" s="83"/>
      <c r="P7" s="83"/>
      <c r="Q7" s="83"/>
      <c r="R7" s="83"/>
      <c r="S7" s="83"/>
      <c r="T7" s="83"/>
      <c r="U7" s="83"/>
      <c r="V7" s="83"/>
      <c r="W7" s="83"/>
      <c r="X7" s="83"/>
      <c r="Y7" s="83"/>
      <c r="Z7" s="83"/>
      <c r="AA7" s="83"/>
      <c r="AB7" s="83"/>
      <c r="AC7" s="83"/>
      <c r="AD7" s="83"/>
      <c r="AE7" s="83"/>
    </row>
    <row r="8" spans="1:31" s="32" customFormat="1" ht="18" customHeight="1" thickBot="1">
      <c r="A8" s="223" t="s">
        <v>2</v>
      </c>
      <c r="B8" s="224"/>
      <c r="C8" s="224"/>
      <c r="D8" s="224"/>
      <c r="E8" s="224"/>
      <c r="F8" s="225"/>
      <c r="G8" s="31"/>
      <c r="H8" s="76"/>
      <c r="I8" s="76"/>
      <c r="J8" s="76"/>
      <c r="K8" s="76"/>
      <c r="L8" s="83"/>
      <c r="M8" s="83"/>
      <c r="N8" s="83"/>
      <c r="O8" s="83"/>
      <c r="P8" s="83"/>
      <c r="Q8" s="83"/>
      <c r="R8" s="83"/>
      <c r="S8" s="83"/>
      <c r="T8" s="83"/>
      <c r="U8" s="83"/>
      <c r="V8" s="83"/>
      <c r="W8" s="83"/>
      <c r="X8" s="83"/>
      <c r="Y8" s="83"/>
      <c r="Z8" s="83"/>
      <c r="AA8" s="83"/>
      <c r="AB8" s="83"/>
      <c r="AC8" s="83"/>
      <c r="AD8" s="83"/>
      <c r="AE8" s="83"/>
    </row>
    <row r="9" spans="1:31" ht="8.25" customHeight="1" thickBot="1">
      <c r="A9" s="76"/>
      <c r="B9" s="76"/>
      <c r="C9" s="76"/>
      <c r="D9" s="76"/>
      <c r="E9" s="76"/>
      <c r="F9" s="76"/>
      <c r="G9" s="76"/>
      <c r="H9" s="76"/>
      <c r="I9" s="76"/>
      <c r="J9" s="76"/>
      <c r="K9" s="76"/>
      <c r="L9" s="76"/>
      <c r="M9" s="76"/>
      <c r="N9" s="76"/>
      <c r="O9" s="76"/>
      <c r="P9" s="76"/>
      <c r="Q9" s="76"/>
      <c r="R9" s="76"/>
      <c r="S9" s="76"/>
      <c r="T9" s="76"/>
      <c r="U9" s="76"/>
      <c r="V9" s="76"/>
      <c r="W9" s="76"/>
      <c r="X9" s="76"/>
      <c r="Y9" s="76"/>
      <c r="Z9" s="76"/>
      <c r="AA9" s="76"/>
      <c r="AB9" s="76"/>
      <c r="AC9" s="76"/>
      <c r="AD9" s="76"/>
      <c r="AE9" s="76"/>
    </row>
    <row r="10" spans="1:31" ht="25.35" customHeight="1" thickBot="1">
      <c r="A10" s="226" t="str">
        <f>VLOOKUP(B250,B251:D316,2,FALSE)</f>
        <v>Shropshire</v>
      </c>
      <c r="B10" s="227"/>
      <c r="C10" s="227"/>
      <c r="D10" s="227"/>
      <c r="E10" s="227"/>
      <c r="F10" s="228"/>
      <c r="G10" s="76"/>
      <c r="H10" s="76"/>
      <c r="I10" s="76"/>
      <c r="J10" s="76"/>
      <c r="K10" s="76"/>
      <c r="L10" s="76"/>
      <c r="M10" s="76"/>
      <c r="N10" s="76"/>
      <c r="O10" s="76"/>
      <c r="P10" s="76"/>
      <c r="Q10" s="76"/>
      <c r="R10" s="76"/>
      <c r="S10" s="76"/>
      <c r="T10" s="76"/>
      <c r="U10" s="76"/>
      <c r="V10" s="76"/>
      <c r="W10" s="76"/>
      <c r="X10" s="76"/>
      <c r="Y10" s="76"/>
      <c r="Z10" s="76"/>
      <c r="AA10" s="76"/>
      <c r="AB10" s="76"/>
      <c r="AC10" s="76"/>
      <c r="AD10" s="76"/>
      <c r="AE10" s="76"/>
    </row>
    <row r="11" spans="1:31" ht="18" customHeight="1" thickBot="1">
      <c r="A11" s="230" t="str">
        <f>VLOOKUP(B250,B251:D316,3,FALSE)</f>
        <v>E31000032</v>
      </c>
      <c r="B11" s="231"/>
      <c r="C11" s="231"/>
      <c r="D11" s="231"/>
      <c r="E11" s="231"/>
      <c r="F11" s="232"/>
      <c r="G11" s="76"/>
      <c r="H11" s="76"/>
      <c r="I11" s="76"/>
      <c r="J11" s="76"/>
      <c r="K11" s="76"/>
      <c r="L11" s="76"/>
      <c r="M11" s="76"/>
      <c r="N11" s="76"/>
      <c r="O11" s="76"/>
      <c r="P11" s="76"/>
      <c r="Q11" s="76"/>
      <c r="R11" s="76"/>
      <c r="S11" s="76"/>
      <c r="T11" s="76"/>
      <c r="U11" s="76"/>
      <c r="V11" s="76"/>
      <c r="W11" s="76"/>
      <c r="X11" s="76"/>
      <c r="Y11" s="76"/>
      <c r="Z11" s="76"/>
      <c r="AA11" s="76"/>
      <c r="AB11" s="76"/>
      <c r="AC11" s="76"/>
      <c r="AD11" s="76"/>
      <c r="AE11" s="76"/>
    </row>
    <row r="12" spans="1:31" ht="15" customHeight="1">
      <c r="A12" s="76"/>
      <c r="B12" s="76"/>
      <c r="C12" s="76"/>
      <c r="D12" s="76"/>
      <c r="E12" s="76"/>
      <c r="F12" s="76"/>
      <c r="G12" s="76"/>
      <c r="H12" s="76"/>
      <c r="I12" s="76"/>
      <c r="J12" s="76"/>
      <c r="K12" s="76"/>
      <c r="L12" s="76"/>
      <c r="M12" s="76"/>
      <c r="N12" s="76"/>
      <c r="O12" s="76"/>
      <c r="P12" s="76"/>
      <c r="Q12" s="76"/>
      <c r="R12" s="76"/>
      <c r="S12" s="76"/>
      <c r="T12" s="76"/>
      <c r="U12" s="76"/>
      <c r="V12" s="76"/>
      <c r="W12" s="76"/>
      <c r="X12" s="76"/>
      <c r="Y12" s="76"/>
      <c r="Z12" s="76"/>
      <c r="AA12" s="76"/>
      <c r="AB12" s="76"/>
      <c r="AC12" s="76"/>
      <c r="AD12" s="76"/>
      <c r="AE12" s="76"/>
    </row>
    <row r="13" spans="1:31" ht="15" customHeight="1">
      <c r="A13" s="79" t="s">
        <v>3</v>
      </c>
      <c r="B13" s="236" t="s">
        <v>4</v>
      </c>
      <c r="C13" s="236"/>
      <c r="D13" s="236"/>
      <c r="E13" s="236"/>
      <c r="F13" s="236"/>
      <c r="G13" s="82"/>
      <c r="H13" s="82"/>
      <c r="I13" s="82"/>
      <c r="J13" s="76"/>
      <c r="K13" s="76"/>
      <c r="L13" s="76"/>
      <c r="M13" s="76"/>
      <c r="N13" s="76"/>
      <c r="O13" s="76"/>
      <c r="P13" s="76"/>
      <c r="Q13" s="76"/>
      <c r="R13" s="76"/>
      <c r="S13" s="76"/>
      <c r="T13" s="76"/>
      <c r="U13" s="76"/>
      <c r="V13" s="76"/>
      <c r="W13" s="76"/>
      <c r="X13" s="76"/>
      <c r="Y13" s="76"/>
      <c r="Z13" s="76"/>
      <c r="AA13" s="76"/>
      <c r="AB13" s="76"/>
      <c r="AC13" s="76"/>
      <c r="AD13" s="76"/>
      <c r="AE13" s="76"/>
    </row>
    <row r="14" spans="1:31" s="33" customFormat="1" ht="15" customHeight="1">
      <c r="A14" s="146" t="s">
        <v>5</v>
      </c>
      <c r="B14" s="233" t="s">
        <v>6</v>
      </c>
      <c r="C14" s="233"/>
      <c r="D14" s="233"/>
      <c r="E14" s="233"/>
      <c r="F14" s="233"/>
      <c r="G14" s="80"/>
      <c r="H14" s="80"/>
      <c r="I14" s="80"/>
      <c r="J14" s="81"/>
      <c r="K14" s="81"/>
      <c r="L14" s="81"/>
      <c r="M14" s="81"/>
      <c r="N14" s="81"/>
      <c r="O14" s="81"/>
      <c r="P14" s="81"/>
      <c r="Q14" s="81"/>
      <c r="R14" s="81"/>
      <c r="S14" s="81"/>
      <c r="T14" s="81"/>
      <c r="U14" s="81"/>
      <c r="V14" s="81"/>
      <c r="W14" s="81"/>
      <c r="X14" s="81"/>
      <c r="Y14" s="81"/>
      <c r="Z14" s="81"/>
      <c r="AA14" s="81"/>
      <c r="AB14" s="81"/>
      <c r="AC14" s="81"/>
      <c r="AD14" s="81"/>
      <c r="AE14" s="81"/>
    </row>
    <row r="15" spans="1:31" s="33" customFormat="1" ht="15" customHeight="1">
      <c r="A15" s="146" t="s">
        <v>7</v>
      </c>
      <c r="B15" s="233" t="s">
        <v>8</v>
      </c>
      <c r="C15" s="233"/>
      <c r="D15" s="233"/>
      <c r="E15" s="233"/>
      <c r="F15" s="233"/>
      <c r="G15" s="80"/>
      <c r="H15" s="80"/>
      <c r="I15" s="80"/>
      <c r="J15" s="81"/>
      <c r="K15" s="81"/>
      <c r="L15" s="81"/>
      <c r="M15" s="81"/>
      <c r="N15" s="81"/>
      <c r="O15" s="81"/>
      <c r="P15" s="81"/>
      <c r="Q15" s="81"/>
      <c r="R15" s="81"/>
      <c r="S15" s="81"/>
      <c r="T15" s="81"/>
      <c r="U15" s="81"/>
      <c r="V15" s="81"/>
      <c r="W15" s="81"/>
      <c r="X15" s="81"/>
      <c r="Y15" s="81"/>
      <c r="Z15" s="81"/>
      <c r="AA15" s="81"/>
      <c r="AB15" s="81"/>
      <c r="AC15" s="81"/>
      <c r="AD15" s="81"/>
      <c r="AE15" s="81"/>
    </row>
    <row r="16" spans="1:31" s="33" customFormat="1" ht="15" customHeight="1">
      <c r="A16" s="146" t="s">
        <v>9</v>
      </c>
      <c r="B16" s="233" t="s">
        <v>10</v>
      </c>
      <c r="C16" s="233"/>
      <c r="D16" s="233"/>
      <c r="E16" s="233"/>
      <c r="F16" s="233"/>
      <c r="G16" s="80"/>
      <c r="H16" s="80"/>
      <c r="I16" s="80"/>
      <c r="J16" s="81"/>
      <c r="K16" s="81"/>
      <c r="L16" s="81"/>
      <c r="M16" s="81"/>
      <c r="N16" s="81"/>
      <c r="O16" s="81"/>
      <c r="P16" s="81"/>
      <c r="Q16" s="81"/>
      <c r="R16" s="81"/>
      <c r="S16" s="81"/>
      <c r="T16" s="81"/>
      <c r="U16" s="81"/>
      <c r="V16" s="81"/>
      <c r="W16" s="81"/>
      <c r="X16" s="81"/>
      <c r="Y16" s="81"/>
      <c r="Z16" s="81"/>
      <c r="AA16" s="81"/>
      <c r="AB16" s="81"/>
      <c r="AC16" s="81"/>
      <c r="AD16" s="81"/>
      <c r="AE16" s="81"/>
    </row>
    <row r="17" spans="1:31" s="33" customFormat="1" ht="15" customHeight="1">
      <c r="A17" s="146" t="s">
        <v>11</v>
      </c>
      <c r="B17" s="233" t="s">
        <v>12</v>
      </c>
      <c r="C17" s="233"/>
      <c r="D17" s="233"/>
      <c r="E17" s="233"/>
      <c r="F17" s="233"/>
      <c r="G17" s="80"/>
      <c r="H17" s="80"/>
      <c r="I17" s="80"/>
      <c r="J17" s="81"/>
      <c r="K17" s="81"/>
      <c r="L17" s="81"/>
      <c r="M17" s="81"/>
      <c r="N17" s="81"/>
      <c r="O17" s="81"/>
      <c r="P17" s="81"/>
      <c r="Q17" s="81"/>
      <c r="R17" s="81"/>
      <c r="S17" s="81"/>
      <c r="T17" s="81"/>
      <c r="U17" s="81"/>
      <c r="V17" s="81"/>
      <c r="W17" s="81"/>
      <c r="X17" s="81"/>
      <c r="Y17" s="81"/>
      <c r="Z17" s="81"/>
      <c r="AA17" s="81"/>
      <c r="AB17" s="81"/>
      <c r="AC17" s="81"/>
      <c r="AD17" s="81"/>
      <c r="AE17" s="81"/>
    </row>
    <row r="18" spans="1:31" s="33" customFormat="1" ht="15" customHeight="1">
      <c r="A18" s="146" t="s">
        <v>13</v>
      </c>
      <c r="B18" s="233" t="s">
        <v>14</v>
      </c>
      <c r="C18" s="233"/>
      <c r="D18" s="233"/>
      <c r="E18" s="233"/>
      <c r="F18" s="233"/>
      <c r="G18" s="80"/>
      <c r="H18" s="80"/>
      <c r="I18" s="80"/>
      <c r="J18" s="81"/>
      <c r="K18" s="81"/>
      <c r="L18" s="81"/>
      <c r="M18" s="81"/>
      <c r="N18" s="81"/>
      <c r="O18" s="81"/>
      <c r="P18" s="81"/>
      <c r="Q18" s="81"/>
      <c r="R18" s="81"/>
      <c r="S18" s="81"/>
      <c r="T18" s="81"/>
      <c r="U18" s="81"/>
      <c r="V18" s="81"/>
      <c r="W18" s="81"/>
      <c r="X18" s="81"/>
      <c r="Y18" s="81"/>
      <c r="Z18" s="81"/>
      <c r="AA18" s="81"/>
      <c r="AB18" s="81"/>
      <c r="AC18" s="81"/>
      <c r="AD18" s="81"/>
      <c r="AE18" s="81"/>
    </row>
    <row r="19" spans="1:31" s="33" customFormat="1" ht="15" customHeight="1">
      <c r="A19" s="146" t="s">
        <v>15</v>
      </c>
      <c r="B19" s="233" t="s">
        <v>16</v>
      </c>
      <c r="C19" s="233"/>
      <c r="D19" s="233"/>
      <c r="E19" s="233"/>
      <c r="F19" s="233"/>
      <c r="G19" s="80"/>
      <c r="H19" s="80"/>
      <c r="I19" s="80"/>
      <c r="J19" s="81"/>
      <c r="K19" s="81"/>
      <c r="L19" s="81"/>
      <c r="M19" s="81"/>
      <c r="N19" s="81"/>
      <c r="O19" s="81"/>
      <c r="P19" s="81"/>
      <c r="Q19" s="81"/>
      <c r="R19" s="81"/>
      <c r="S19" s="81"/>
      <c r="T19" s="81"/>
      <c r="U19" s="81"/>
      <c r="V19" s="81"/>
      <c r="W19" s="81"/>
      <c r="X19" s="81"/>
      <c r="Y19" s="81"/>
      <c r="Z19" s="81"/>
      <c r="AA19" s="81"/>
      <c r="AB19" s="81"/>
      <c r="AC19" s="81"/>
      <c r="AD19" s="81"/>
      <c r="AE19" s="81"/>
    </row>
    <row r="20" spans="1:31" s="33" customFormat="1" ht="15" customHeight="1">
      <c r="A20" s="146" t="s">
        <v>17</v>
      </c>
      <c r="B20" s="233" t="s">
        <v>18</v>
      </c>
      <c r="C20" s="233"/>
      <c r="D20" s="233"/>
      <c r="E20" s="233"/>
      <c r="F20" s="233"/>
      <c r="G20" s="80"/>
      <c r="H20" s="80"/>
      <c r="I20" s="80"/>
      <c r="J20" s="81"/>
      <c r="K20" s="81"/>
      <c r="L20" s="81"/>
      <c r="M20" s="81"/>
      <c r="N20" s="81"/>
      <c r="O20" s="81"/>
      <c r="P20" s="81"/>
      <c r="Q20" s="81"/>
      <c r="R20" s="81"/>
      <c r="S20" s="81"/>
      <c r="T20" s="81"/>
      <c r="U20" s="81"/>
      <c r="V20" s="81"/>
      <c r="W20" s="81"/>
      <c r="X20" s="81"/>
      <c r="Y20" s="81"/>
      <c r="Z20" s="81"/>
      <c r="AA20" s="81"/>
      <c r="AB20" s="81"/>
      <c r="AC20" s="81"/>
      <c r="AD20" s="81"/>
      <c r="AE20" s="81"/>
    </row>
    <row r="21" spans="1:31" s="33" customFormat="1" ht="15" customHeight="1">
      <c r="A21" s="146" t="s">
        <v>19</v>
      </c>
      <c r="B21" s="233" t="s">
        <v>20</v>
      </c>
      <c r="C21" s="233"/>
      <c r="D21" s="233"/>
      <c r="E21" s="233"/>
      <c r="F21" s="233"/>
      <c r="G21" s="80"/>
      <c r="H21" s="80"/>
      <c r="I21" s="80"/>
      <c r="J21" s="81"/>
      <c r="K21" s="81"/>
      <c r="L21" s="81"/>
      <c r="M21" s="81"/>
      <c r="N21" s="81"/>
      <c r="O21" s="81"/>
      <c r="P21" s="81"/>
      <c r="Q21" s="81"/>
      <c r="R21" s="81"/>
      <c r="S21" s="81"/>
      <c r="T21" s="81"/>
      <c r="U21" s="81"/>
      <c r="V21" s="81"/>
      <c r="W21" s="81"/>
      <c r="X21" s="81"/>
      <c r="Y21" s="81"/>
      <c r="Z21" s="81"/>
      <c r="AA21" s="81"/>
      <c r="AB21" s="81"/>
      <c r="AC21" s="81"/>
      <c r="AD21" s="81"/>
      <c r="AE21" s="81"/>
    </row>
    <row r="22" spans="1:31" s="33" customFormat="1" ht="15" customHeight="1">
      <c r="A22" s="146" t="s">
        <v>21</v>
      </c>
      <c r="B22" s="233" t="s">
        <v>22</v>
      </c>
      <c r="C22" s="233"/>
      <c r="D22" s="233"/>
      <c r="E22" s="233"/>
      <c r="F22" s="233"/>
      <c r="G22" s="80"/>
      <c r="H22" s="80"/>
      <c r="I22" s="80"/>
      <c r="J22" s="81"/>
      <c r="K22" s="81"/>
      <c r="L22" s="81"/>
      <c r="M22" s="81"/>
      <c r="N22" s="81"/>
      <c r="O22" s="81"/>
      <c r="P22" s="81"/>
      <c r="Q22" s="81"/>
      <c r="R22" s="81"/>
      <c r="S22" s="81"/>
      <c r="T22" s="81"/>
      <c r="U22" s="81"/>
      <c r="V22" s="81"/>
      <c r="W22" s="81"/>
      <c r="X22" s="81"/>
      <c r="Y22" s="81"/>
      <c r="Z22" s="81"/>
      <c r="AA22" s="81"/>
      <c r="AB22" s="81"/>
      <c r="AC22" s="81"/>
      <c r="AD22" s="81"/>
      <c r="AE22" s="81"/>
    </row>
    <row r="23" spans="1:31" s="33" customFormat="1" ht="15" customHeight="1">
      <c r="A23" s="146" t="s">
        <v>23</v>
      </c>
      <c r="B23" s="233" t="s">
        <v>24</v>
      </c>
      <c r="C23" s="233"/>
      <c r="D23" s="233"/>
      <c r="E23" s="233"/>
      <c r="F23" s="233"/>
      <c r="G23" s="80"/>
      <c r="H23" s="80"/>
      <c r="I23" s="80"/>
      <c r="J23" s="81"/>
      <c r="K23" s="81"/>
      <c r="L23" s="81"/>
      <c r="M23" s="81"/>
      <c r="N23" s="81"/>
      <c r="O23" s="81"/>
      <c r="P23" s="81"/>
      <c r="Q23" s="81"/>
      <c r="R23" s="81"/>
      <c r="S23" s="81"/>
      <c r="T23" s="81"/>
      <c r="U23" s="81"/>
      <c r="V23" s="81"/>
      <c r="W23" s="81"/>
      <c r="X23" s="81"/>
      <c r="Y23" s="81"/>
      <c r="Z23" s="81"/>
      <c r="AA23" s="81"/>
      <c r="AB23" s="81"/>
      <c r="AC23" s="81"/>
      <c r="AD23" s="81"/>
      <c r="AE23" s="81"/>
    </row>
    <row r="24" spans="1:31" s="33" customFormat="1" ht="15" customHeight="1">
      <c r="A24" s="146" t="s">
        <v>25</v>
      </c>
      <c r="B24" s="233" t="s">
        <v>26</v>
      </c>
      <c r="C24" s="233"/>
      <c r="D24" s="233"/>
      <c r="E24" s="233"/>
      <c r="F24" s="233"/>
      <c r="G24" s="81"/>
      <c r="H24" s="80"/>
      <c r="I24" s="80"/>
      <c r="J24" s="81"/>
      <c r="K24" s="81"/>
      <c r="L24" s="81"/>
      <c r="M24" s="81"/>
      <c r="N24" s="81"/>
      <c r="O24" s="81"/>
      <c r="P24" s="81"/>
      <c r="Q24" s="81"/>
      <c r="R24" s="81"/>
      <c r="S24" s="81"/>
      <c r="T24" s="81"/>
      <c r="U24" s="81"/>
      <c r="V24" s="81"/>
      <c r="W24" s="81"/>
      <c r="X24" s="81"/>
      <c r="Y24" s="81"/>
      <c r="Z24" s="81"/>
      <c r="AA24" s="81"/>
      <c r="AB24" s="81"/>
      <c r="AC24" s="81"/>
      <c r="AD24" s="81"/>
      <c r="AE24" s="81"/>
    </row>
    <row r="25" spans="1:31" ht="15" customHeight="1">
      <c r="A25" s="115" t="s">
        <v>27</v>
      </c>
      <c r="B25" s="234" t="s">
        <v>28</v>
      </c>
      <c r="C25" s="234"/>
      <c r="D25" s="234"/>
      <c r="E25" s="234"/>
      <c r="F25" s="234"/>
      <c r="G25" s="76"/>
      <c r="H25" s="76"/>
      <c r="I25" s="76"/>
      <c r="J25" s="76"/>
      <c r="K25" s="76"/>
      <c r="L25" s="76"/>
      <c r="M25" s="76"/>
      <c r="N25" s="76"/>
      <c r="O25" s="76"/>
      <c r="P25" s="76"/>
      <c r="Q25" s="76"/>
      <c r="R25" s="76"/>
      <c r="S25" s="76"/>
      <c r="T25" s="76"/>
      <c r="U25" s="76"/>
      <c r="V25" s="76"/>
      <c r="W25" s="76"/>
      <c r="X25" s="76"/>
      <c r="Y25" s="76"/>
      <c r="Z25" s="76"/>
      <c r="AA25" s="76"/>
      <c r="AB25" s="76"/>
      <c r="AC25" s="76"/>
      <c r="AD25" s="76"/>
      <c r="AE25" s="76"/>
    </row>
    <row r="26" spans="1:31" ht="15" customHeight="1">
      <c r="A26" s="76"/>
      <c r="B26" s="76"/>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6"/>
      <c r="AC26" s="76"/>
      <c r="AD26" s="76"/>
      <c r="AE26" s="76"/>
    </row>
    <row r="27" spans="1:31" ht="15" customHeight="1">
      <c r="A27" s="116" t="s">
        <v>29</v>
      </c>
      <c r="B27" s="117"/>
      <c r="C27" s="117"/>
      <c r="D27" s="117"/>
      <c r="E27" s="117"/>
      <c r="F27" s="117"/>
      <c r="G27" s="76"/>
      <c r="H27" s="76"/>
      <c r="I27" s="76"/>
      <c r="J27" s="76"/>
      <c r="K27" s="76"/>
      <c r="L27" s="76"/>
      <c r="M27" s="76"/>
      <c r="N27" s="76"/>
      <c r="O27" s="76"/>
      <c r="P27" s="76"/>
      <c r="Q27" s="76"/>
      <c r="R27" s="76"/>
      <c r="S27" s="76"/>
      <c r="T27" s="76"/>
      <c r="U27" s="76"/>
      <c r="V27" s="76"/>
      <c r="W27" s="76"/>
      <c r="X27" s="76"/>
      <c r="Y27" s="76"/>
      <c r="Z27" s="76"/>
      <c r="AA27" s="76"/>
      <c r="AB27" s="76"/>
      <c r="AC27" s="76"/>
      <c r="AD27" s="76"/>
      <c r="AE27" s="76"/>
    </row>
    <row r="28" spans="1:31" ht="30" customHeight="1">
      <c r="A28" s="130">
        <v>999999</v>
      </c>
      <c r="B28" s="241" t="s">
        <v>30</v>
      </c>
      <c r="C28" s="241"/>
      <c r="D28" s="241"/>
      <c r="E28" s="241"/>
      <c r="F28" s="241"/>
      <c r="G28" s="76"/>
      <c r="H28" s="76"/>
      <c r="I28" s="76"/>
      <c r="J28" s="76"/>
      <c r="K28" s="76"/>
      <c r="L28" s="76"/>
      <c r="M28" s="76"/>
      <c r="N28" s="76"/>
      <c r="O28" s="76"/>
      <c r="P28" s="76"/>
      <c r="Q28" s="76"/>
      <c r="R28" s="76"/>
      <c r="S28" s="76"/>
      <c r="T28" s="76"/>
      <c r="U28" s="76"/>
      <c r="V28" s="76"/>
      <c r="W28" s="76"/>
      <c r="X28" s="76"/>
      <c r="Y28" s="76"/>
      <c r="Z28" s="76"/>
      <c r="AA28" s="76"/>
      <c r="AB28" s="76"/>
      <c r="AC28" s="76"/>
      <c r="AD28" s="76"/>
      <c r="AE28" s="76"/>
    </row>
    <row r="29" spans="1:31" ht="15" customHeight="1">
      <c r="A29" s="76"/>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c r="AC29" s="76"/>
      <c r="AD29" s="76"/>
      <c r="AE29" s="76"/>
    </row>
    <row r="30" spans="1:31" ht="15" customHeight="1">
      <c r="A30" s="235" t="s">
        <v>559</v>
      </c>
      <c r="B30" s="235"/>
      <c r="C30" s="235"/>
      <c r="D30" s="235"/>
      <c r="E30" s="235"/>
      <c r="F30" s="235"/>
      <c r="G30" s="77"/>
      <c r="H30" s="77"/>
      <c r="I30" s="77"/>
      <c r="J30" s="76"/>
      <c r="K30" s="76"/>
      <c r="L30" s="76"/>
      <c r="M30" s="76"/>
      <c r="N30" s="76"/>
      <c r="O30" s="76"/>
      <c r="P30" s="76"/>
      <c r="Q30" s="76"/>
      <c r="R30" s="76"/>
      <c r="S30" s="76"/>
      <c r="T30" s="76"/>
      <c r="U30" s="76"/>
      <c r="V30" s="76"/>
      <c r="W30" s="76"/>
      <c r="X30" s="76"/>
      <c r="Y30" s="76"/>
      <c r="Z30" s="76"/>
      <c r="AA30" s="76"/>
      <c r="AB30" s="76"/>
      <c r="AC30" s="76"/>
      <c r="AD30" s="76"/>
      <c r="AE30" s="76"/>
    </row>
    <row r="31" spans="1:31" ht="15" customHeight="1" thickBot="1">
      <c r="A31" s="118"/>
      <c r="B31" s="118"/>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6"/>
      <c r="AE31" s="76"/>
    </row>
    <row r="32" spans="1:31" s="33" customFormat="1" ht="15" customHeight="1" thickBot="1">
      <c r="A32" s="119" t="s">
        <v>31</v>
      </c>
      <c r="B32" s="229"/>
      <c r="C32" s="229"/>
      <c r="D32" s="229"/>
      <c r="E32" s="229"/>
      <c r="F32" s="229"/>
      <c r="G32" s="81"/>
      <c r="H32" s="81"/>
      <c r="I32" s="81"/>
      <c r="J32" s="81"/>
      <c r="K32" s="81"/>
      <c r="L32" s="81"/>
      <c r="M32" s="81"/>
      <c r="N32" s="81"/>
      <c r="O32" s="81"/>
      <c r="P32" s="81"/>
      <c r="Q32" s="81"/>
      <c r="R32" s="81"/>
      <c r="S32" s="81"/>
      <c r="T32" s="81"/>
      <c r="U32" s="81"/>
      <c r="V32" s="81"/>
      <c r="W32" s="81"/>
      <c r="X32" s="81"/>
      <c r="Y32" s="81"/>
      <c r="Z32" s="81"/>
      <c r="AA32" s="81"/>
      <c r="AB32" s="81"/>
      <c r="AC32" s="81"/>
      <c r="AD32" s="81"/>
      <c r="AE32" s="81"/>
    </row>
    <row r="33" spans="1:31" ht="15" customHeight="1" thickBot="1">
      <c r="A33" s="119" t="s">
        <v>32</v>
      </c>
      <c r="B33" s="242"/>
      <c r="C33" s="229"/>
      <c r="D33" s="229"/>
      <c r="E33" s="229"/>
      <c r="F33" s="229"/>
      <c r="G33" s="76"/>
      <c r="H33" s="76"/>
      <c r="I33" s="76"/>
      <c r="J33" s="76"/>
      <c r="K33" s="76"/>
      <c r="L33" s="76"/>
      <c r="M33" s="76"/>
      <c r="N33" s="76"/>
      <c r="O33" s="76"/>
      <c r="P33" s="76"/>
      <c r="Q33" s="76"/>
      <c r="R33" s="76"/>
      <c r="S33" s="76"/>
      <c r="T33" s="76"/>
      <c r="U33" s="76"/>
      <c r="V33" s="76"/>
      <c r="W33" s="76"/>
      <c r="X33" s="76"/>
      <c r="Y33" s="76"/>
      <c r="Z33" s="76"/>
      <c r="AA33" s="76"/>
      <c r="AB33" s="76"/>
      <c r="AC33" s="76"/>
      <c r="AD33" s="76"/>
      <c r="AE33" s="76"/>
    </row>
    <row r="34" spans="1:31" ht="15" customHeight="1">
      <c r="A34" s="76"/>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6"/>
      <c r="AC34" s="76"/>
      <c r="AD34" s="76"/>
      <c r="AE34" s="76"/>
    </row>
    <row r="35" spans="1:31" ht="15" customHeight="1" thickBot="1">
      <c r="A35" s="237" t="s">
        <v>33</v>
      </c>
      <c r="B35" s="237"/>
      <c r="C35" s="237"/>
      <c r="D35" s="237"/>
      <c r="E35" s="237"/>
      <c r="F35" s="237"/>
      <c r="G35" s="89"/>
      <c r="H35" s="89"/>
      <c r="I35" s="76"/>
      <c r="J35" s="76"/>
      <c r="K35" s="76"/>
      <c r="L35" s="76"/>
      <c r="M35" s="76"/>
      <c r="N35" s="76"/>
      <c r="O35" s="76"/>
      <c r="P35" s="76"/>
      <c r="Q35" s="76"/>
      <c r="R35" s="76"/>
      <c r="S35" s="76"/>
      <c r="T35" s="76"/>
      <c r="U35" s="76"/>
      <c r="V35" s="76"/>
      <c r="W35" s="76"/>
      <c r="X35" s="76"/>
      <c r="Y35" s="76"/>
      <c r="Z35" s="76"/>
      <c r="AA35" s="76"/>
      <c r="AB35" s="76"/>
      <c r="AC35" s="76"/>
      <c r="AD35" s="76"/>
      <c r="AE35" s="76"/>
    </row>
    <row r="36" spans="1:31" ht="59.45" customHeight="1" thickBot="1">
      <c r="A36" s="238"/>
      <c r="B36" s="239"/>
      <c r="C36" s="239"/>
      <c r="D36" s="239"/>
      <c r="E36" s="239"/>
      <c r="F36" s="240"/>
      <c r="G36" s="89"/>
      <c r="H36" s="89"/>
      <c r="I36" s="76"/>
      <c r="J36" s="76"/>
      <c r="K36" s="76"/>
      <c r="L36" s="76"/>
      <c r="M36" s="76"/>
      <c r="N36" s="76"/>
      <c r="O36" s="76"/>
      <c r="P36" s="76"/>
      <c r="Q36" s="76"/>
      <c r="R36" s="76"/>
      <c r="S36" s="76"/>
      <c r="T36" s="76"/>
      <c r="U36" s="76"/>
      <c r="V36" s="76"/>
      <c r="W36" s="76"/>
      <c r="X36" s="76"/>
      <c r="Y36" s="76"/>
      <c r="Z36" s="76"/>
      <c r="AA36" s="76"/>
      <c r="AB36" s="76"/>
      <c r="AC36" s="76"/>
      <c r="AD36" s="76"/>
      <c r="AE36" s="76"/>
    </row>
    <row r="37" spans="1:31" ht="15" customHeight="1">
      <c r="A37" s="89"/>
      <c r="B37" s="89"/>
      <c r="C37" s="89"/>
      <c r="D37" s="89"/>
      <c r="E37" s="89"/>
      <c r="F37" s="89"/>
      <c r="G37" s="89"/>
      <c r="H37" s="89"/>
      <c r="I37" s="76"/>
      <c r="J37" s="76"/>
      <c r="K37" s="76"/>
      <c r="L37" s="76"/>
      <c r="M37" s="76"/>
      <c r="N37" s="76"/>
      <c r="O37" s="76"/>
      <c r="P37" s="76"/>
      <c r="Q37" s="76"/>
      <c r="R37" s="76"/>
      <c r="S37" s="76"/>
      <c r="T37" s="76"/>
      <c r="U37" s="76"/>
      <c r="V37" s="76"/>
      <c r="W37" s="76"/>
      <c r="X37" s="76"/>
      <c r="Y37" s="76"/>
      <c r="Z37" s="76"/>
      <c r="AA37" s="76"/>
      <c r="AB37" s="76"/>
      <c r="AC37" s="76"/>
      <c r="AD37" s="76"/>
      <c r="AE37" s="76"/>
    </row>
    <row r="38" spans="1:31" ht="15" customHeight="1">
      <c r="A38" s="89"/>
      <c r="B38" s="89"/>
      <c r="C38" s="89"/>
      <c r="D38" s="89"/>
      <c r="E38" s="89"/>
      <c r="F38" s="89"/>
      <c r="G38" s="89"/>
      <c r="H38" s="89"/>
      <c r="I38" s="76"/>
      <c r="J38" s="76"/>
      <c r="K38" s="76"/>
      <c r="L38" s="76"/>
      <c r="M38" s="76"/>
      <c r="N38" s="76"/>
      <c r="O38" s="76"/>
      <c r="P38" s="76"/>
      <c r="Q38" s="76"/>
      <c r="R38" s="76"/>
      <c r="S38" s="76"/>
      <c r="T38" s="76"/>
      <c r="U38" s="76"/>
      <c r="V38" s="76"/>
      <c r="W38" s="76"/>
      <c r="X38" s="76"/>
      <c r="Y38" s="76"/>
      <c r="Z38" s="76"/>
      <c r="AA38" s="76"/>
      <c r="AB38" s="76"/>
      <c r="AC38" s="76"/>
      <c r="AD38" s="76"/>
      <c r="AE38" s="76"/>
    </row>
    <row r="39" spans="1:31" ht="15" customHeight="1">
      <c r="A39" s="89"/>
      <c r="B39" s="89"/>
      <c r="C39" s="89"/>
      <c r="D39" s="89"/>
      <c r="E39" s="89"/>
      <c r="F39" s="89"/>
      <c r="G39" s="89"/>
      <c r="H39" s="89"/>
      <c r="I39" s="76"/>
      <c r="J39" s="76"/>
      <c r="K39" s="76"/>
      <c r="L39" s="76"/>
      <c r="M39" s="76"/>
      <c r="N39" s="76"/>
      <c r="O39" s="76"/>
      <c r="P39" s="76"/>
      <c r="Q39" s="76"/>
      <c r="R39" s="76"/>
      <c r="S39" s="76"/>
      <c r="T39" s="76"/>
      <c r="U39" s="76"/>
      <c r="V39" s="76"/>
      <c r="W39" s="76"/>
      <c r="X39" s="76"/>
      <c r="Y39" s="76"/>
      <c r="Z39" s="76"/>
      <c r="AA39" s="76"/>
      <c r="AB39" s="76"/>
      <c r="AC39" s="76"/>
      <c r="AD39" s="76"/>
      <c r="AE39" s="76"/>
    </row>
    <row r="40" spans="1:31" s="34" customFormat="1" ht="60" customHeight="1">
      <c r="A40" s="89"/>
      <c r="B40" s="89"/>
      <c r="C40" s="89"/>
      <c r="D40" s="89"/>
      <c r="E40" s="89"/>
      <c r="F40" s="89"/>
      <c r="G40" s="89"/>
      <c r="H40" s="89"/>
      <c r="I40" s="84"/>
      <c r="J40" s="84"/>
      <c r="K40" s="84"/>
      <c r="L40" s="84"/>
      <c r="M40" s="84"/>
      <c r="N40" s="84"/>
      <c r="O40" s="84"/>
      <c r="P40" s="84"/>
      <c r="Q40" s="84"/>
      <c r="R40" s="84"/>
      <c r="S40" s="84"/>
      <c r="T40" s="84"/>
      <c r="U40" s="84"/>
      <c r="V40" s="84"/>
      <c r="W40" s="84"/>
      <c r="X40" s="84"/>
      <c r="Y40" s="84"/>
      <c r="Z40" s="84"/>
      <c r="AA40" s="84"/>
      <c r="AB40" s="84"/>
      <c r="AC40" s="84"/>
      <c r="AD40" s="84"/>
      <c r="AE40" s="84"/>
    </row>
    <row r="41" spans="1:31" ht="15" customHeight="1">
      <c r="A41" s="89"/>
      <c r="B41" s="89"/>
      <c r="C41" s="89"/>
      <c r="D41" s="89"/>
      <c r="E41" s="89"/>
      <c r="F41" s="89"/>
      <c r="G41" s="89"/>
      <c r="H41" s="89"/>
      <c r="I41" s="76"/>
      <c r="J41" s="76"/>
      <c r="K41" s="76"/>
      <c r="L41" s="76"/>
      <c r="M41" s="76"/>
      <c r="N41" s="76"/>
      <c r="O41" s="76"/>
      <c r="P41" s="76"/>
      <c r="Q41" s="76"/>
      <c r="R41" s="76"/>
      <c r="S41" s="76"/>
      <c r="T41" s="76"/>
      <c r="U41" s="76"/>
      <c r="V41" s="76"/>
      <c r="W41" s="76"/>
      <c r="X41" s="76"/>
      <c r="Y41" s="76"/>
      <c r="Z41" s="76"/>
      <c r="AA41" s="76"/>
      <c r="AB41" s="76"/>
      <c r="AC41" s="76"/>
      <c r="AD41" s="76"/>
      <c r="AE41" s="76"/>
    </row>
    <row r="42" spans="1:31" ht="15" customHeight="1">
      <c r="A42" s="89"/>
      <c r="B42" s="89"/>
      <c r="C42" s="89"/>
      <c r="D42" s="89"/>
      <c r="E42" s="89"/>
      <c r="F42" s="89"/>
      <c r="G42" s="89"/>
      <c r="H42" s="89"/>
      <c r="I42" s="76"/>
      <c r="J42" s="76"/>
      <c r="K42" s="76"/>
      <c r="L42" s="76"/>
      <c r="M42" s="76"/>
      <c r="N42" s="76"/>
      <c r="O42" s="76"/>
      <c r="P42" s="76"/>
      <c r="Q42" s="76"/>
      <c r="R42" s="76"/>
      <c r="S42" s="76"/>
      <c r="T42" s="76"/>
      <c r="U42" s="76"/>
      <c r="V42" s="76"/>
      <c r="W42" s="76"/>
      <c r="X42" s="76"/>
      <c r="Y42" s="76"/>
      <c r="Z42" s="76"/>
      <c r="AA42" s="76"/>
      <c r="AB42" s="76"/>
      <c r="AC42" s="76"/>
      <c r="AD42" s="76"/>
      <c r="AE42" s="76"/>
    </row>
    <row r="43" spans="1:31" ht="27" customHeight="1">
      <c r="A43" s="89"/>
      <c r="B43" s="89"/>
      <c r="C43" s="89"/>
      <c r="D43" s="89"/>
      <c r="E43" s="89"/>
      <c r="F43" s="89"/>
      <c r="G43" s="89"/>
      <c r="H43" s="89"/>
      <c r="I43" s="76"/>
      <c r="J43" s="76"/>
      <c r="K43" s="76"/>
      <c r="L43" s="76"/>
      <c r="M43" s="76"/>
      <c r="N43" s="76"/>
      <c r="O43" s="76"/>
      <c r="P43" s="76"/>
      <c r="Q43" s="76"/>
      <c r="R43" s="76"/>
      <c r="S43" s="76"/>
      <c r="T43" s="76"/>
      <c r="U43" s="76"/>
      <c r="V43" s="76"/>
      <c r="W43" s="76"/>
      <c r="X43" s="76"/>
      <c r="Y43" s="76"/>
      <c r="Z43" s="76"/>
      <c r="AA43" s="76"/>
      <c r="AB43" s="76"/>
      <c r="AC43" s="76"/>
      <c r="AD43" s="76"/>
      <c r="AE43" s="76"/>
    </row>
    <row r="44" spans="1:31" ht="27" customHeight="1">
      <c r="A44" s="89"/>
      <c r="B44" s="89"/>
      <c r="C44" s="89"/>
      <c r="D44" s="89"/>
      <c r="E44" s="89"/>
      <c r="F44" s="89"/>
      <c r="G44" s="89"/>
      <c r="H44" s="89"/>
      <c r="I44" s="76"/>
      <c r="J44" s="76"/>
      <c r="K44" s="76"/>
      <c r="L44" s="76"/>
      <c r="M44" s="76"/>
      <c r="N44" s="76"/>
      <c r="O44" s="76"/>
      <c r="P44" s="76"/>
      <c r="Q44" s="76"/>
      <c r="R44" s="76"/>
      <c r="S44" s="76"/>
      <c r="T44" s="76"/>
      <c r="U44" s="76"/>
      <c r="V44" s="76"/>
      <c r="W44" s="76"/>
      <c r="X44" s="76"/>
      <c r="Y44" s="76"/>
      <c r="Z44" s="76"/>
      <c r="AA44" s="76"/>
      <c r="AB44" s="76"/>
      <c r="AC44" s="76"/>
      <c r="AD44" s="76"/>
      <c r="AE44" s="76"/>
    </row>
    <row r="45" spans="1:31" ht="27" customHeight="1">
      <c r="A45" s="89"/>
      <c r="B45" s="89"/>
      <c r="C45" s="89"/>
      <c r="D45" s="89"/>
      <c r="E45" s="89"/>
      <c r="F45" s="89"/>
      <c r="G45" s="89"/>
      <c r="H45" s="89"/>
      <c r="I45" s="76"/>
      <c r="J45" s="76"/>
      <c r="K45" s="76"/>
      <c r="L45" s="76"/>
      <c r="M45" s="76"/>
      <c r="N45" s="76"/>
      <c r="O45" s="76"/>
      <c r="P45" s="76"/>
      <c r="Q45" s="76"/>
      <c r="R45" s="76"/>
      <c r="S45" s="76"/>
      <c r="T45" s="76"/>
      <c r="U45" s="76"/>
      <c r="V45" s="76"/>
      <c r="W45" s="76"/>
      <c r="X45" s="76"/>
      <c r="Y45" s="76"/>
      <c r="Z45" s="76"/>
      <c r="AA45" s="76"/>
      <c r="AB45" s="76"/>
      <c r="AC45" s="76"/>
      <c r="AD45" s="76"/>
      <c r="AE45" s="76"/>
    </row>
    <row r="46" spans="1:31" ht="27" customHeight="1">
      <c r="A46" s="89"/>
      <c r="B46" s="89"/>
      <c r="C46" s="89"/>
      <c r="D46" s="89"/>
      <c r="E46" s="89"/>
      <c r="F46" s="89"/>
      <c r="G46" s="89"/>
      <c r="H46" s="89"/>
      <c r="I46" s="76"/>
      <c r="J46" s="76"/>
      <c r="K46" s="76"/>
      <c r="L46" s="76"/>
      <c r="M46" s="76"/>
      <c r="N46" s="76"/>
      <c r="O46" s="76"/>
      <c r="P46" s="76"/>
      <c r="Q46" s="76"/>
      <c r="R46" s="76"/>
      <c r="S46" s="76"/>
      <c r="T46" s="76"/>
      <c r="U46" s="76"/>
      <c r="V46" s="76"/>
      <c r="W46" s="76"/>
      <c r="X46" s="76"/>
      <c r="Y46" s="76"/>
      <c r="Z46" s="76"/>
      <c r="AA46" s="76"/>
      <c r="AB46" s="76"/>
      <c r="AC46" s="76"/>
      <c r="AD46" s="76"/>
      <c r="AE46" s="76"/>
    </row>
    <row r="47" spans="1:31" ht="27" customHeight="1">
      <c r="A47" s="89"/>
      <c r="B47" s="89"/>
      <c r="C47" s="89"/>
      <c r="D47" s="89"/>
      <c r="E47" s="89"/>
      <c r="F47" s="89"/>
      <c r="G47" s="89"/>
      <c r="H47" s="89"/>
      <c r="I47" s="76"/>
      <c r="J47" s="76"/>
      <c r="K47" s="76"/>
      <c r="L47" s="76"/>
      <c r="M47" s="76"/>
      <c r="N47" s="76"/>
      <c r="O47" s="76"/>
      <c r="P47" s="76"/>
      <c r="Q47" s="76"/>
      <c r="R47" s="76"/>
      <c r="S47" s="76"/>
      <c r="T47" s="76"/>
      <c r="U47" s="76"/>
      <c r="V47" s="76"/>
      <c r="W47" s="76"/>
      <c r="X47" s="76"/>
      <c r="Y47" s="76"/>
      <c r="Z47" s="76"/>
      <c r="AA47" s="76"/>
      <c r="AB47" s="76"/>
      <c r="AC47" s="76"/>
      <c r="AD47" s="76"/>
      <c r="AE47" s="76"/>
    </row>
    <row r="48" spans="1:31" ht="27" customHeight="1">
      <c r="A48" s="89"/>
      <c r="B48" s="89"/>
      <c r="C48" s="89"/>
      <c r="D48" s="89"/>
      <c r="E48" s="89"/>
      <c r="F48" s="89"/>
      <c r="G48" s="89"/>
      <c r="H48" s="89"/>
      <c r="I48" s="76"/>
      <c r="J48" s="76"/>
      <c r="K48" s="76"/>
      <c r="L48" s="76"/>
      <c r="M48" s="76"/>
      <c r="N48" s="76"/>
      <c r="O48" s="76"/>
      <c r="P48" s="76"/>
      <c r="Q48" s="76"/>
      <c r="R48" s="76"/>
      <c r="S48" s="76"/>
      <c r="T48" s="76"/>
      <c r="U48" s="76"/>
      <c r="V48" s="76"/>
      <c r="W48" s="76"/>
      <c r="X48" s="76"/>
      <c r="Y48" s="76"/>
      <c r="Z48" s="76"/>
      <c r="AA48" s="76"/>
      <c r="AB48" s="76"/>
      <c r="AC48" s="76"/>
      <c r="AD48" s="76"/>
      <c r="AE48" s="76"/>
    </row>
    <row r="49" spans="1:31" ht="27" customHeight="1">
      <c r="A49" s="89"/>
      <c r="B49" s="89"/>
      <c r="C49" s="89"/>
      <c r="D49" s="89"/>
      <c r="E49" s="89"/>
      <c r="F49" s="89"/>
      <c r="G49" s="89"/>
      <c r="H49" s="89"/>
      <c r="I49" s="76"/>
      <c r="J49" s="76"/>
      <c r="K49" s="76"/>
      <c r="L49" s="76"/>
      <c r="M49" s="76"/>
      <c r="N49" s="76"/>
      <c r="O49" s="76"/>
      <c r="P49" s="76"/>
      <c r="Q49" s="76"/>
      <c r="R49" s="76"/>
      <c r="S49" s="76"/>
      <c r="T49" s="76"/>
      <c r="U49" s="76"/>
      <c r="V49" s="76"/>
      <c r="W49" s="76"/>
      <c r="X49" s="76"/>
      <c r="Y49" s="76"/>
      <c r="Z49" s="76"/>
      <c r="AA49" s="76"/>
      <c r="AB49" s="76"/>
      <c r="AC49" s="76"/>
      <c r="AD49" s="76"/>
      <c r="AE49" s="76"/>
    </row>
    <row r="50" spans="1:31" ht="27" customHeight="1">
      <c r="A50" s="89"/>
      <c r="B50" s="89"/>
      <c r="C50" s="89"/>
      <c r="D50" s="89"/>
      <c r="E50" s="89"/>
      <c r="F50" s="89"/>
      <c r="G50" s="89"/>
      <c r="H50" s="89"/>
      <c r="I50" s="76"/>
      <c r="J50" s="76"/>
      <c r="K50" s="76"/>
      <c r="L50" s="76"/>
      <c r="M50" s="76"/>
      <c r="N50" s="76"/>
      <c r="O50" s="76"/>
      <c r="P50" s="76"/>
      <c r="Q50" s="76"/>
      <c r="R50" s="76"/>
      <c r="S50" s="76"/>
      <c r="T50" s="76"/>
      <c r="U50" s="76"/>
      <c r="V50" s="76"/>
      <c r="W50" s="76"/>
      <c r="X50" s="76"/>
      <c r="Y50" s="76"/>
      <c r="Z50" s="76"/>
      <c r="AA50" s="76"/>
      <c r="AB50" s="76"/>
      <c r="AC50" s="76"/>
      <c r="AD50" s="76"/>
      <c r="AE50" s="76"/>
    </row>
    <row r="51" spans="1:31" ht="27" customHeight="1">
      <c r="A51" s="89"/>
      <c r="B51" s="89"/>
      <c r="C51" s="89"/>
      <c r="D51" s="89"/>
      <c r="E51" s="89"/>
      <c r="F51" s="89"/>
      <c r="G51" s="89"/>
      <c r="H51" s="89"/>
      <c r="I51" s="76"/>
      <c r="J51" s="76"/>
      <c r="K51" s="76"/>
      <c r="L51" s="76"/>
      <c r="M51" s="76"/>
      <c r="N51" s="76"/>
      <c r="O51" s="76"/>
      <c r="P51" s="76"/>
      <c r="Q51" s="76"/>
      <c r="R51" s="76"/>
      <c r="S51" s="76"/>
      <c r="T51" s="76"/>
      <c r="U51" s="76"/>
      <c r="V51" s="76"/>
      <c r="W51" s="76"/>
      <c r="X51" s="76"/>
      <c r="Y51" s="76"/>
      <c r="Z51" s="76"/>
      <c r="AA51" s="76"/>
      <c r="AB51" s="76"/>
      <c r="AC51" s="76"/>
      <c r="AD51" s="76"/>
      <c r="AE51" s="76"/>
    </row>
    <row r="52" spans="1:31" ht="27" customHeight="1">
      <c r="A52" s="89"/>
      <c r="B52" s="89"/>
      <c r="C52" s="89"/>
      <c r="D52" s="89"/>
      <c r="E52" s="89"/>
      <c r="F52" s="89"/>
      <c r="G52" s="89"/>
      <c r="H52" s="89"/>
      <c r="I52" s="76"/>
      <c r="J52" s="76"/>
      <c r="K52" s="76"/>
      <c r="L52" s="76"/>
      <c r="M52" s="76"/>
      <c r="N52" s="76"/>
      <c r="O52" s="76"/>
      <c r="P52" s="76"/>
      <c r="Q52" s="76"/>
      <c r="R52" s="76"/>
      <c r="S52" s="76"/>
      <c r="T52" s="76"/>
      <c r="U52" s="76"/>
      <c r="V52" s="76"/>
      <c r="W52" s="76"/>
      <c r="X52" s="76"/>
      <c r="Y52" s="76"/>
      <c r="Z52" s="76"/>
      <c r="AA52" s="76"/>
      <c r="AB52" s="76"/>
      <c r="AC52" s="76"/>
      <c r="AD52" s="76"/>
      <c r="AE52" s="76"/>
    </row>
    <row r="53" spans="1:31" ht="27" customHeight="1">
      <c r="A53" s="89"/>
      <c r="B53" s="89"/>
      <c r="C53" s="89"/>
      <c r="D53" s="89"/>
      <c r="E53" s="89"/>
      <c r="F53" s="89"/>
      <c r="G53" s="89"/>
      <c r="H53" s="89"/>
      <c r="I53" s="76"/>
      <c r="J53" s="76"/>
      <c r="K53" s="76"/>
      <c r="L53" s="76"/>
      <c r="M53" s="76"/>
      <c r="N53" s="76"/>
      <c r="O53" s="76"/>
      <c r="P53" s="76"/>
      <c r="Q53" s="76"/>
      <c r="R53" s="76"/>
      <c r="S53" s="76"/>
      <c r="T53" s="76"/>
      <c r="U53" s="76"/>
      <c r="V53" s="76"/>
      <c r="W53" s="76"/>
      <c r="X53" s="76"/>
      <c r="Y53" s="76"/>
      <c r="Z53" s="76"/>
      <c r="AA53" s="76"/>
      <c r="AB53" s="76"/>
      <c r="AC53" s="76"/>
      <c r="AD53" s="76"/>
      <c r="AE53" s="76"/>
    </row>
    <row r="54" spans="1:31" ht="27" customHeight="1">
      <c r="A54" s="89"/>
      <c r="B54" s="89"/>
      <c r="C54" s="89"/>
      <c r="D54" s="89"/>
      <c r="E54" s="89"/>
      <c r="F54" s="89"/>
      <c r="G54" s="89"/>
      <c r="H54" s="89"/>
      <c r="I54" s="76"/>
      <c r="J54" s="76"/>
      <c r="K54" s="76"/>
      <c r="L54" s="76"/>
      <c r="M54" s="76"/>
      <c r="N54" s="76"/>
      <c r="O54" s="76"/>
      <c r="P54" s="76"/>
      <c r="Q54" s="76"/>
      <c r="R54" s="76"/>
      <c r="S54" s="76"/>
      <c r="T54" s="76"/>
      <c r="U54" s="76"/>
      <c r="V54" s="76"/>
      <c r="W54" s="76"/>
      <c r="X54" s="76"/>
      <c r="Y54" s="76"/>
      <c r="Z54" s="76"/>
      <c r="AA54" s="76"/>
      <c r="AB54" s="76"/>
      <c r="AC54" s="76"/>
      <c r="AD54" s="76"/>
      <c r="AE54" s="76"/>
    </row>
    <row r="55" spans="1:31" ht="27" customHeight="1">
      <c r="A55" s="89"/>
      <c r="B55" s="89"/>
      <c r="C55" s="89"/>
      <c r="D55" s="89"/>
      <c r="E55" s="89"/>
      <c r="F55" s="89"/>
      <c r="G55" s="89"/>
      <c r="H55" s="89"/>
      <c r="I55" s="76"/>
      <c r="J55" s="76"/>
      <c r="K55" s="76"/>
      <c r="L55" s="76"/>
      <c r="M55" s="76"/>
      <c r="N55" s="76"/>
      <c r="O55" s="76"/>
      <c r="P55" s="76"/>
      <c r="Q55" s="76"/>
      <c r="R55" s="76"/>
      <c r="S55" s="76"/>
      <c r="T55" s="76"/>
      <c r="U55" s="76"/>
      <c r="V55" s="76"/>
      <c r="W55" s="76"/>
      <c r="X55" s="76"/>
      <c r="Y55" s="76"/>
      <c r="Z55" s="76"/>
      <c r="AA55" s="76"/>
      <c r="AB55" s="76"/>
      <c r="AC55" s="76"/>
      <c r="AD55" s="76"/>
      <c r="AE55" s="76"/>
    </row>
    <row r="56" spans="1:31" ht="27" customHeight="1">
      <c r="A56" s="89"/>
      <c r="B56" s="89"/>
      <c r="C56" s="89"/>
      <c r="D56" s="89"/>
      <c r="E56" s="89"/>
      <c r="F56" s="89"/>
      <c r="G56" s="89"/>
      <c r="H56" s="89"/>
      <c r="I56" s="76"/>
      <c r="J56" s="76"/>
      <c r="K56" s="76"/>
      <c r="L56" s="76"/>
      <c r="M56" s="76"/>
      <c r="N56" s="76"/>
      <c r="O56" s="76"/>
      <c r="P56" s="76"/>
      <c r="Q56" s="76"/>
      <c r="R56" s="76"/>
      <c r="S56" s="76"/>
      <c r="T56" s="76"/>
      <c r="U56" s="76"/>
      <c r="V56" s="76"/>
      <c r="W56" s="76"/>
      <c r="X56" s="76"/>
      <c r="Y56" s="76"/>
      <c r="Z56" s="76"/>
      <c r="AA56" s="76"/>
      <c r="AB56" s="76"/>
      <c r="AC56" s="76"/>
      <c r="AD56" s="76"/>
      <c r="AE56" s="76"/>
    </row>
    <row r="57" spans="1:31" ht="27" customHeight="1">
      <c r="A57" s="89"/>
      <c r="B57" s="89"/>
      <c r="C57" s="89"/>
      <c r="D57" s="89"/>
      <c r="E57" s="89"/>
      <c r="F57" s="89"/>
      <c r="G57" s="89"/>
      <c r="H57" s="89"/>
      <c r="I57" s="76"/>
      <c r="J57" s="76"/>
      <c r="K57" s="76"/>
      <c r="L57" s="76"/>
      <c r="M57" s="76"/>
      <c r="N57" s="76"/>
      <c r="O57" s="76"/>
      <c r="P57" s="76"/>
      <c r="Q57" s="76"/>
      <c r="R57" s="76"/>
      <c r="S57" s="76"/>
      <c r="T57" s="76"/>
      <c r="U57" s="76"/>
      <c r="V57" s="76"/>
      <c r="W57" s="76"/>
      <c r="X57" s="76"/>
      <c r="Y57" s="76"/>
      <c r="Z57" s="76"/>
      <c r="AA57" s="76"/>
      <c r="AB57" s="76"/>
      <c r="AC57" s="76"/>
      <c r="AD57" s="76"/>
      <c r="AE57" s="76"/>
    </row>
    <row r="58" spans="1:31" ht="27" customHeight="1">
      <c r="A58" s="89"/>
      <c r="B58" s="89"/>
      <c r="C58" s="89"/>
      <c r="D58" s="89"/>
      <c r="E58" s="89"/>
      <c r="F58" s="89"/>
      <c r="G58" s="89"/>
      <c r="H58" s="89"/>
      <c r="I58" s="76"/>
      <c r="J58" s="76"/>
      <c r="K58" s="76"/>
      <c r="L58" s="76"/>
      <c r="M58" s="76"/>
      <c r="N58" s="76"/>
      <c r="O58" s="76"/>
      <c r="P58" s="76"/>
      <c r="Q58" s="76"/>
      <c r="R58" s="76"/>
      <c r="S58" s="76"/>
      <c r="T58" s="76"/>
      <c r="U58" s="76"/>
      <c r="V58" s="76"/>
      <c r="W58" s="76"/>
      <c r="X58" s="76"/>
      <c r="Y58" s="76"/>
      <c r="Z58" s="76"/>
      <c r="AA58" s="76"/>
      <c r="AB58" s="76"/>
      <c r="AC58" s="76"/>
      <c r="AD58" s="76"/>
      <c r="AE58" s="76"/>
    </row>
    <row r="59" spans="1:31" ht="27" customHeight="1">
      <c r="A59" s="89"/>
      <c r="B59" s="89"/>
      <c r="C59" s="89"/>
      <c r="D59" s="89"/>
      <c r="E59" s="89"/>
      <c r="F59" s="89"/>
      <c r="G59" s="89"/>
      <c r="H59" s="89"/>
      <c r="I59" s="76"/>
      <c r="J59" s="76"/>
      <c r="K59" s="76"/>
      <c r="L59" s="76"/>
      <c r="M59" s="76"/>
      <c r="N59" s="76"/>
      <c r="O59" s="76"/>
      <c r="P59" s="76"/>
      <c r="Q59" s="76"/>
      <c r="R59" s="76"/>
      <c r="S59" s="76"/>
      <c r="T59" s="76"/>
      <c r="U59" s="76"/>
      <c r="V59" s="76"/>
      <c r="W59" s="76"/>
      <c r="X59" s="76"/>
      <c r="Y59" s="76"/>
      <c r="Z59" s="76"/>
      <c r="AA59" s="76"/>
      <c r="AB59" s="76"/>
      <c r="AC59" s="76"/>
      <c r="AD59" s="76"/>
      <c r="AE59" s="76"/>
    </row>
    <row r="60" spans="1:31" ht="27" customHeight="1">
      <c r="A60" s="89"/>
      <c r="B60" s="89"/>
      <c r="C60" s="89"/>
      <c r="D60" s="89"/>
      <c r="E60" s="89"/>
      <c r="F60" s="89"/>
      <c r="G60" s="89"/>
      <c r="H60" s="89"/>
      <c r="I60" s="76"/>
      <c r="J60" s="76"/>
      <c r="K60" s="76"/>
      <c r="L60" s="76"/>
      <c r="M60" s="76"/>
      <c r="N60" s="76"/>
      <c r="O60" s="76"/>
      <c r="P60" s="76"/>
      <c r="Q60" s="76"/>
      <c r="R60" s="76"/>
      <c r="S60" s="76"/>
      <c r="T60" s="76"/>
      <c r="U60" s="76"/>
      <c r="V60" s="76"/>
      <c r="W60" s="76"/>
      <c r="X60" s="76"/>
      <c r="Y60" s="76"/>
      <c r="Z60" s="76"/>
      <c r="AA60" s="76"/>
      <c r="AB60" s="76"/>
      <c r="AC60" s="76"/>
      <c r="AD60" s="76"/>
      <c r="AE60" s="76"/>
    </row>
    <row r="61" spans="1:31" ht="27" customHeight="1">
      <c r="A61" s="89"/>
      <c r="B61" s="89"/>
      <c r="C61" s="89"/>
      <c r="D61" s="89"/>
      <c r="E61" s="89"/>
      <c r="F61" s="89"/>
      <c r="G61" s="89"/>
      <c r="H61" s="89"/>
      <c r="I61" s="76"/>
      <c r="J61" s="76"/>
      <c r="K61" s="76"/>
      <c r="L61" s="76"/>
      <c r="M61" s="76"/>
      <c r="N61" s="76"/>
      <c r="O61" s="76"/>
      <c r="P61" s="76"/>
      <c r="Q61" s="76"/>
      <c r="R61" s="76"/>
      <c r="S61" s="76"/>
      <c r="T61" s="76"/>
      <c r="U61" s="76"/>
      <c r="V61" s="76"/>
      <c r="W61" s="76"/>
      <c r="X61" s="76"/>
      <c r="Y61" s="76"/>
      <c r="Z61" s="76"/>
      <c r="AA61" s="76"/>
      <c r="AB61" s="76"/>
      <c r="AC61" s="76"/>
      <c r="AD61" s="76"/>
      <c r="AE61" s="76"/>
    </row>
    <row r="62" spans="1:31" ht="27" customHeight="1">
      <c r="A62" s="89"/>
      <c r="B62" s="89"/>
      <c r="C62" s="89"/>
      <c r="D62" s="89"/>
      <c r="E62" s="89"/>
      <c r="F62" s="89"/>
      <c r="G62" s="89"/>
      <c r="H62" s="89"/>
      <c r="I62" s="76"/>
      <c r="J62" s="76"/>
      <c r="K62" s="76"/>
      <c r="L62" s="76"/>
      <c r="M62" s="76"/>
      <c r="N62" s="76"/>
      <c r="O62" s="76"/>
      <c r="P62" s="76"/>
      <c r="Q62" s="76"/>
      <c r="R62" s="76"/>
      <c r="S62" s="76"/>
      <c r="T62" s="76"/>
      <c r="U62" s="76"/>
      <c r="V62" s="76"/>
      <c r="W62" s="76"/>
      <c r="X62" s="76"/>
      <c r="Y62" s="76"/>
      <c r="Z62" s="76"/>
      <c r="AA62" s="76"/>
      <c r="AB62" s="76"/>
      <c r="AC62" s="76"/>
      <c r="AD62" s="76"/>
      <c r="AE62" s="76"/>
    </row>
    <row r="63" spans="1:31" ht="27" customHeight="1">
      <c r="A63" s="89"/>
      <c r="B63" s="89"/>
      <c r="C63" s="89"/>
      <c r="D63" s="89"/>
      <c r="E63" s="89"/>
      <c r="F63" s="89"/>
      <c r="G63" s="89"/>
      <c r="H63" s="89"/>
      <c r="I63" s="76"/>
      <c r="J63" s="76"/>
      <c r="K63" s="76"/>
      <c r="L63" s="76"/>
      <c r="M63" s="76"/>
      <c r="N63" s="76"/>
      <c r="O63" s="76"/>
      <c r="P63" s="76"/>
      <c r="Q63" s="76"/>
      <c r="R63" s="76"/>
      <c r="S63" s="76"/>
      <c r="T63" s="76"/>
      <c r="U63" s="76"/>
      <c r="V63" s="76"/>
      <c r="W63" s="76"/>
      <c r="X63" s="76"/>
      <c r="Y63" s="76"/>
      <c r="Z63" s="76"/>
      <c r="AA63" s="76"/>
      <c r="AB63" s="76"/>
      <c r="AC63" s="76"/>
      <c r="AD63" s="76"/>
      <c r="AE63" s="76"/>
    </row>
    <row r="64" spans="1:31" ht="27" customHeight="1">
      <c r="A64" s="89"/>
      <c r="B64" s="89"/>
      <c r="C64" s="89"/>
      <c r="D64" s="89"/>
      <c r="E64" s="89"/>
      <c r="F64" s="89"/>
      <c r="G64" s="89"/>
      <c r="H64" s="89"/>
      <c r="I64" s="76"/>
      <c r="J64" s="76"/>
      <c r="K64" s="76"/>
      <c r="L64" s="76"/>
      <c r="M64" s="76"/>
      <c r="N64" s="76"/>
      <c r="O64" s="76"/>
      <c r="P64" s="76"/>
      <c r="Q64" s="76"/>
      <c r="R64" s="76"/>
      <c r="S64" s="76"/>
      <c r="T64" s="76"/>
      <c r="U64" s="76"/>
      <c r="V64" s="76"/>
      <c r="W64" s="76"/>
      <c r="X64" s="76"/>
      <c r="Y64" s="76"/>
      <c r="Z64" s="76"/>
      <c r="AA64" s="76"/>
      <c r="AB64" s="76"/>
      <c r="AC64" s="76"/>
      <c r="AD64" s="76"/>
      <c r="AE64" s="76"/>
    </row>
    <row r="65" spans="1:8" ht="27" customHeight="1">
      <c r="A65" s="38"/>
      <c r="B65" s="38"/>
      <c r="C65" s="38"/>
      <c r="D65" s="38"/>
      <c r="E65" s="38"/>
      <c r="F65" s="38"/>
      <c r="G65" s="38"/>
      <c r="H65" s="38"/>
    </row>
    <row r="66" spans="1:8" ht="27" customHeight="1">
      <c r="A66" s="38"/>
      <c r="B66" s="38"/>
      <c r="C66" s="38"/>
      <c r="D66" s="38"/>
      <c r="E66" s="38"/>
      <c r="F66" s="38"/>
      <c r="G66" s="38"/>
      <c r="H66" s="38"/>
    </row>
    <row r="67" spans="1:8" ht="27" customHeight="1">
      <c r="A67" s="38"/>
      <c r="B67" s="38"/>
      <c r="C67" s="38"/>
      <c r="D67" s="38"/>
      <c r="E67" s="38"/>
      <c r="F67" s="38"/>
      <c r="G67" s="38"/>
      <c r="H67" s="38"/>
    </row>
    <row r="68" spans="1:8" ht="27" customHeight="1">
      <c r="A68" s="38"/>
      <c r="B68" s="38"/>
      <c r="C68" s="38"/>
      <c r="D68" s="38"/>
      <c r="E68" s="38"/>
      <c r="F68" s="38"/>
      <c r="G68" s="38"/>
      <c r="H68" s="38"/>
    </row>
    <row r="69" spans="1:8" ht="27" customHeight="1">
      <c r="A69" s="38"/>
      <c r="B69" s="38"/>
      <c r="C69" s="38"/>
      <c r="D69" s="38"/>
      <c r="E69" s="38"/>
      <c r="F69" s="38"/>
      <c r="G69" s="38"/>
      <c r="H69" s="38"/>
    </row>
    <row r="70" spans="1:8" ht="27" customHeight="1">
      <c r="A70" s="38"/>
      <c r="B70" s="38"/>
      <c r="C70" s="38"/>
      <c r="D70" s="38"/>
      <c r="E70" s="38"/>
      <c r="F70" s="38"/>
      <c r="G70" s="38"/>
      <c r="H70" s="38"/>
    </row>
    <row r="71" spans="1:8" ht="27" customHeight="1">
      <c r="A71" s="38"/>
      <c r="B71" s="38"/>
      <c r="C71" s="38"/>
      <c r="D71" s="38"/>
      <c r="E71" s="38"/>
      <c r="F71" s="38"/>
      <c r="G71" s="38"/>
      <c r="H71" s="38"/>
    </row>
    <row r="72" spans="1:8" ht="27" customHeight="1">
      <c r="A72" s="38"/>
      <c r="B72" s="38"/>
      <c r="C72" s="38"/>
      <c r="D72" s="38"/>
      <c r="E72" s="38"/>
      <c r="F72" s="38"/>
      <c r="G72" s="38"/>
      <c r="H72" s="38"/>
    </row>
    <row r="73" spans="1:8" ht="15" customHeight="1">
      <c r="A73" s="38"/>
      <c r="B73" s="38"/>
      <c r="C73" s="38"/>
      <c r="D73" s="38"/>
      <c r="E73" s="38"/>
      <c r="F73" s="38"/>
      <c r="G73" s="38"/>
      <c r="H73" s="38"/>
    </row>
    <row r="74" spans="1:8" ht="15" customHeight="1">
      <c r="A74" s="38"/>
      <c r="B74" s="38"/>
      <c r="C74" s="38"/>
      <c r="D74" s="38"/>
      <c r="E74" s="38"/>
      <c r="F74" s="38"/>
      <c r="G74" s="38"/>
      <c r="H74" s="38"/>
    </row>
    <row r="75" spans="1:8" ht="15" customHeight="1">
      <c r="A75" s="38"/>
      <c r="B75" s="38"/>
      <c r="C75" s="38"/>
      <c r="D75" s="38"/>
      <c r="E75" s="38"/>
      <c r="F75" s="38"/>
      <c r="G75" s="38"/>
      <c r="H75" s="38"/>
    </row>
    <row r="76" spans="1:8" ht="15" customHeight="1">
      <c r="A76" s="38"/>
      <c r="B76" s="38"/>
      <c r="C76" s="38"/>
      <c r="D76" s="38"/>
      <c r="E76" s="38"/>
      <c r="F76" s="38"/>
      <c r="G76" s="38"/>
      <c r="H76" s="38"/>
    </row>
    <row r="77" spans="1:8" ht="15" customHeight="1">
      <c r="A77" s="38"/>
      <c r="B77" s="38"/>
      <c r="C77" s="38"/>
      <c r="D77" s="38"/>
      <c r="E77" s="38"/>
      <c r="F77" s="38"/>
      <c r="G77" s="38"/>
      <c r="H77" s="38"/>
    </row>
    <row r="78" spans="1:8" ht="15" customHeight="1">
      <c r="A78" s="38"/>
      <c r="B78" s="38"/>
      <c r="C78" s="38"/>
      <c r="D78" s="38"/>
      <c r="E78" s="38"/>
      <c r="F78" s="38"/>
      <c r="G78" s="38"/>
      <c r="H78" s="38"/>
    </row>
    <row r="79" spans="1:8" ht="15" customHeight="1">
      <c r="A79" s="38"/>
      <c r="B79" s="38"/>
      <c r="C79" s="38"/>
      <c r="D79" s="38"/>
      <c r="E79" s="38"/>
      <c r="F79" s="38"/>
      <c r="G79" s="38"/>
      <c r="H79" s="38"/>
    </row>
    <row r="80" spans="1:8" ht="15" customHeight="1">
      <c r="A80" s="38"/>
      <c r="B80" s="38"/>
      <c r="C80" s="38"/>
      <c r="D80" s="38"/>
      <c r="E80" s="38"/>
      <c r="F80" s="38"/>
      <c r="G80" s="38"/>
      <c r="H80" s="38"/>
    </row>
    <row r="81" spans="1:8" ht="15" customHeight="1">
      <c r="A81" s="38"/>
      <c r="B81" s="38"/>
      <c r="C81" s="38"/>
      <c r="D81" s="38"/>
      <c r="E81" s="38"/>
      <c r="F81" s="38"/>
      <c r="G81" s="38"/>
      <c r="H81" s="38"/>
    </row>
    <row r="82" spans="1:8" ht="15" customHeight="1">
      <c r="A82" s="38"/>
      <c r="B82" s="38"/>
      <c r="C82" s="38"/>
      <c r="D82" s="38"/>
      <c r="E82" s="38"/>
      <c r="F82" s="38"/>
      <c r="G82" s="38"/>
      <c r="H82" s="38"/>
    </row>
    <row r="83" spans="1:8" ht="15" customHeight="1">
      <c r="A83" s="38"/>
      <c r="B83" s="38"/>
      <c r="C83" s="38"/>
      <c r="D83" s="38"/>
      <c r="E83" s="38"/>
      <c r="F83" s="38"/>
      <c r="G83" s="38"/>
      <c r="H83" s="38"/>
    </row>
    <row r="84" spans="1:8" ht="15" customHeight="1">
      <c r="A84" s="38"/>
      <c r="B84" s="38"/>
      <c r="C84" s="38"/>
      <c r="D84" s="38"/>
      <c r="E84" s="38"/>
      <c r="F84" s="38"/>
      <c r="G84" s="38"/>
      <c r="H84" s="38"/>
    </row>
    <row r="85" spans="1:8" ht="15" customHeight="1">
      <c r="A85" s="38"/>
      <c r="B85" s="38"/>
      <c r="C85" s="38"/>
      <c r="D85" s="38"/>
      <c r="E85" s="38"/>
      <c r="F85" s="38"/>
      <c r="G85" s="38"/>
      <c r="H85" s="38"/>
    </row>
    <row r="86" spans="1:8" ht="15" customHeight="1">
      <c r="A86" s="38"/>
      <c r="B86" s="38"/>
      <c r="C86" s="38"/>
      <c r="D86" s="38"/>
      <c r="E86" s="38"/>
      <c r="F86" s="38"/>
      <c r="G86" s="38"/>
      <c r="H86" s="38"/>
    </row>
    <row r="87" spans="1:8" ht="15" customHeight="1">
      <c r="A87" s="38"/>
      <c r="B87" s="38"/>
      <c r="C87" s="38"/>
      <c r="D87" s="38"/>
      <c r="E87" s="38"/>
      <c r="F87" s="38"/>
      <c r="G87" s="38"/>
      <c r="H87" s="38"/>
    </row>
    <row r="88" spans="1:8" ht="15" customHeight="1">
      <c r="A88" s="38"/>
      <c r="B88" s="38"/>
      <c r="C88" s="38"/>
      <c r="D88" s="38"/>
      <c r="E88" s="38"/>
      <c r="F88" s="38"/>
      <c r="G88" s="38"/>
      <c r="H88" s="38"/>
    </row>
    <row r="89" spans="1:8" ht="15" customHeight="1">
      <c r="A89" s="38"/>
      <c r="B89" s="38"/>
      <c r="C89" s="38"/>
      <c r="D89" s="38"/>
      <c r="E89" s="38"/>
      <c r="F89" s="38"/>
      <c r="G89" s="38"/>
      <c r="H89" s="38"/>
    </row>
    <row r="90" spans="1:8" ht="15" customHeight="1">
      <c r="A90" s="38"/>
      <c r="B90" s="38"/>
      <c r="C90" s="38"/>
      <c r="D90" s="38"/>
      <c r="E90" s="38"/>
      <c r="F90" s="38"/>
      <c r="G90" s="38"/>
      <c r="H90" s="38"/>
    </row>
    <row r="91" spans="1:8" ht="15" customHeight="1">
      <c r="A91" s="38"/>
      <c r="B91" s="38"/>
      <c r="C91" s="38"/>
      <c r="D91" s="38"/>
      <c r="E91" s="38"/>
      <c r="F91" s="38"/>
      <c r="G91" s="38"/>
      <c r="H91" s="38"/>
    </row>
    <row r="92" spans="1:8" ht="15" customHeight="1">
      <c r="A92" s="38"/>
      <c r="B92" s="38"/>
      <c r="C92" s="38"/>
      <c r="D92" s="38"/>
      <c r="E92" s="38"/>
      <c r="F92" s="38"/>
      <c r="G92" s="38"/>
      <c r="H92" s="38"/>
    </row>
    <row r="93" spans="1:8" ht="15" customHeight="1">
      <c r="A93" s="38"/>
      <c r="B93" s="38"/>
      <c r="C93" s="38"/>
      <c r="D93" s="38"/>
      <c r="E93" s="38"/>
      <c r="F93" s="38"/>
      <c r="G93" s="38"/>
      <c r="H93" s="38"/>
    </row>
    <row r="94" spans="1:8" ht="15" customHeight="1">
      <c r="A94" s="38"/>
      <c r="B94" s="38"/>
      <c r="C94" s="38"/>
      <c r="D94" s="38"/>
      <c r="E94" s="38"/>
      <c r="F94" s="38"/>
      <c r="G94" s="38"/>
      <c r="H94" s="38"/>
    </row>
    <row r="95" spans="1:8" ht="15" customHeight="1">
      <c r="A95" s="38"/>
      <c r="B95" s="38"/>
      <c r="C95" s="38"/>
      <c r="D95" s="38"/>
      <c r="E95" s="38"/>
      <c r="F95" s="38"/>
      <c r="G95" s="38"/>
      <c r="H95" s="38"/>
    </row>
    <row r="96" spans="1:8" ht="15" customHeight="1">
      <c r="A96" s="38"/>
      <c r="B96" s="38"/>
      <c r="C96" s="38"/>
      <c r="D96" s="38"/>
      <c r="E96" s="38"/>
      <c r="F96" s="38"/>
      <c r="G96" s="38"/>
      <c r="H96" s="38"/>
    </row>
    <row r="97" spans="1:8" ht="15" customHeight="1">
      <c r="A97" s="38"/>
      <c r="B97" s="38"/>
      <c r="C97" s="38"/>
      <c r="D97" s="38"/>
      <c r="E97" s="38"/>
      <c r="F97" s="38"/>
      <c r="G97" s="38"/>
      <c r="H97" s="38"/>
    </row>
    <row r="98" spans="1:8" ht="15" customHeight="1">
      <c r="A98" s="38"/>
      <c r="B98" s="38"/>
      <c r="C98" s="38"/>
      <c r="D98" s="38"/>
      <c r="E98" s="38"/>
      <c r="F98" s="38"/>
      <c r="G98" s="38"/>
      <c r="H98" s="38"/>
    </row>
    <row r="99" spans="1:8" ht="15" customHeight="1">
      <c r="A99" s="38"/>
      <c r="B99" s="38"/>
      <c r="C99" s="38"/>
      <c r="D99" s="38"/>
      <c r="E99" s="38"/>
      <c r="F99" s="38"/>
      <c r="G99" s="38"/>
      <c r="H99" s="38"/>
    </row>
    <row r="100" spans="1:8" ht="15" customHeight="1">
      <c r="A100" s="38"/>
      <c r="B100" s="38"/>
      <c r="C100" s="38"/>
      <c r="D100" s="38"/>
      <c r="E100" s="38"/>
      <c r="F100" s="38"/>
      <c r="G100" s="38"/>
      <c r="H100" s="38"/>
    </row>
    <row r="101" spans="1:8" ht="15" customHeight="1">
      <c r="A101" s="38"/>
      <c r="B101" s="38"/>
      <c r="C101" s="38"/>
      <c r="D101" s="38"/>
      <c r="E101" s="38"/>
      <c r="F101" s="38"/>
      <c r="G101" s="38"/>
      <c r="H101" s="38"/>
    </row>
    <row r="102" spans="1:8" ht="15" customHeight="1">
      <c r="A102" s="38"/>
      <c r="B102" s="38"/>
      <c r="C102" s="38"/>
      <c r="D102" s="38"/>
      <c r="E102" s="38"/>
      <c r="F102" s="38"/>
      <c r="G102" s="38"/>
      <c r="H102" s="38"/>
    </row>
    <row r="103" spans="1:8" ht="15" customHeight="1">
      <c r="A103" s="38"/>
      <c r="B103" s="38"/>
      <c r="C103" s="38"/>
      <c r="D103" s="38"/>
      <c r="E103" s="38"/>
      <c r="F103" s="38"/>
      <c r="G103" s="38"/>
      <c r="H103" s="38"/>
    </row>
    <row r="104" spans="1:8" ht="15" customHeight="1">
      <c r="A104" s="38"/>
      <c r="B104" s="38"/>
      <c r="C104" s="38"/>
      <c r="D104" s="38"/>
      <c r="E104" s="38"/>
      <c r="F104" s="38"/>
      <c r="G104" s="38"/>
      <c r="H104" s="38"/>
    </row>
    <row r="105" spans="1:8" ht="15" customHeight="1">
      <c r="A105" s="38"/>
      <c r="B105" s="38"/>
      <c r="C105" s="38"/>
      <c r="D105" s="38"/>
      <c r="E105" s="38"/>
      <c r="F105" s="38"/>
      <c r="G105" s="38"/>
      <c r="H105" s="38"/>
    </row>
    <row r="106" spans="1:8" ht="15" customHeight="1">
      <c r="A106" s="38"/>
      <c r="B106" s="38"/>
      <c r="C106" s="38"/>
      <c r="D106" s="38"/>
      <c r="E106" s="38"/>
      <c r="F106" s="38"/>
      <c r="G106" s="38"/>
      <c r="H106" s="38"/>
    </row>
    <row r="107" spans="1:8" ht="15" customHeight="1">
      <c r="A107" s="38"/>
      <c r="B107" s="38"/>
      <c r="C107" s="38"/>
      <c r="D107" s="38"/>
      <c r="E107" s="38"/>
      <c r="F107" s="38"/>
      <c r="G107" s="38"/>
      <c r="H107" s="38"/>
    </row>
    <row r="108" spans="1:8" ht="15" customHeight="1">
      <c r="A108" s="38"/>
      <c r="B108" s="38"/>
      <c r="C108" s="38"/>
      <c r="D108" s="38"/>
      <c r="E108" s="38"/>
      <c r="F108" s="38"/>
      <c r="G108" s="38"/>
      <c r="H108" s="38"/>
    </row>
    <row r="109" spans="1:8" ht="15" customHeight="1">
      <c r="A109" s="38"/>
      <c r="B109" s="38"/>
      <c r="C109" s="38"/>
      <c r="D109" s="38"/>
      <c r="E109" s="38"/>
      <c r="F109" s="38"/>
      <c r="G109" s="38"/>
      <c r="H109" s="38"/>
    </row>
    <row r="110" spans="1:8" ht="15" customHeight="1">
      <c r="A110" s="38"/>
      <c r="B110" s="38"/>
      <c r="C110" s="38"/>
      <c r="D110" s="38"/>
      <c r="E110" s="38"/>
      <c r="F110" s="38"/>
      <c r="G110" s="38"/>
      <c r="H110" s="38"/>
    </row>
    <row r="111" spans="1:8" ht="15" customHeight="1">
      <c r="A111" s="38"/>
      <c r="B111" s="38"/>
      <c r="C111" s="38"/>
      <c r="D111" s="38"/>
      <c r="E111" s="38"/>
      <c r="F111" s="38"/>
      <c r="G111" s="38"/>
      <c r="H111" s="38"/>
    </row>
    <row r="112" spans="1:8" ht="15" customHeight="1">
      <c r="A112" s="38"/>
      <c r="B112" s="38"/>
      <c r="C112" s="38"/>
      <c r="D112" s="38"/>
      <c r="E112" s="38"/>
      <c r="F112" s="38"/>
      <c r="G112" s="38"/>
      <c r="H112" s="38"/>
    </row>
    <row r="113" spans="1:8" ht="15" customHeight="1">
      <c r="A113" s="38"/>
      <c r="B113" s="38"/>
      <c r="C113" s="38"/>
      <c r="D113" s="38"/>
      <c r="E113" s="38"/>
      <c r="F113" s="38"/>
      <c r="G113" s="38"/>
      <c r="H113" s="38"/>
    </row>
    <row r="114" spans="1:8" ht="15" customHeight="1">
      <c r="A114" s="38"/>
      <c r="B114" s="38"/>
      <c r="C114" s="38"/>
      <c r="D114" s="38"/>
      <c r="E114" s="38"/>
      <c r="F114" s="38"/>
      <c r="G114" s="38"/>
      <c r="H114" s="38"/>
    </row>
    <row r="115" spans="1:8" ht="15" customHeight="1">
      <c r="A115" s="38"/>
      <c r="B115" s="38"/>
      <c r="C115" s="38"/>
      <c r="D115" s="38"/>
      <c r="E115" s="38"/>
      <c r="F115" s="38"/>
      <c r="G115" s="38"/>
      <c r="H115" s="38"/>
    </row>
    <row r="116" spans="1:8" ht="15" customHeight="1">
      <c r="A116" s="38"/>
      <c r="B116" s="38"/>
      <c r="C116" s="38"/>
      <c r="D116" s="38"/>
      <c r="E116" s="38"/>
      <c r="F116" s="38"/>
      <c r="G116" s="38"/>
      <c r="H116" s="38"/>
    </row>
    <row r="117" spans="1:8" ht="15" customHeight="1">
      <c r="A117" s="38"/>
      <c r="B117" s="38"/>
      <c r="C117" s="38"/>
      <c r="D117" s="38"/>
      <c r="E117" s="38"/>
      <c r="F117" s="38"/>
      <c r="G117" s="38"/>
      <c r="H117" s="38"/>
    </row>
    <row r="118" spans="1:8" ht="15" customHeight="1">
      <c r="A118" s="38"/>
      <c r="B118" s="38"/>
      <c r="C118" s="38"/>
      <c r="D118" s="38"/>
      <c r="E118" s="38"/>
      <c r="F118" s="38"/>
      <c r="G118" s="38"/>
      <c r="H118" s="38"/>
    </row>
    <row r="119" spans="1:8" ht="15" customHeight="1">
      <c r="A119" s="38"/>
      <c r="B119" s="38"/>
      <c r="C119" s="38"/>
      <c r="D119" s="38"/>
      <c r="E119" s="38"/>
      <c r="F119" s="38"/>
      <c r="G119" s="38"/>
      <c r="H119" s="38"/>
    </row>
    <row r="120" spans="1:8" ht="15" customHeight="1">
      <c r="A120" s="38"/>
      <c r="B120" s="38"/>
      <c r="C120" s="38"/>
      <c r="D120" s="38"/>
      <c r="E120" s="38"/>
      <c r="F120" s="38"/>
      <c r="G120" s="38"/>
      <c r="H120" s="38"/>
    </row>
    <row r="121" spans="1:8" ht="15" customHeight="1">
      <c r="A121" s="38"/>
      <c r="B121" s="38"/>
      <c r="C121" s="38"/>
      <c r="D121" s="38"/>
      <c r="E121" s="38"/>
      <c r="F121" s="38"/>
      <c r="G121" s="38"/>
      <c r="H121" s="38"/>
    </row>
    <row r="122" spans="1:8" ht="15" customHeight="1">
      <c r="A122" s="38"/>
      <c r="B122" s="38"/>
      <c r="C122" s="38"/>
      <c r="D122" s="38"/>
      <c r="E122" s="38"/>
      <c r="F122" s="38"/>
      <c r="G122" s="38"/>
      <c r="H122" s="38"/>
    </row>
    <row r="123" spans="1:8" ht="15" customHeight="1">
      <c r="A123" s="38"/>
      <c r="B123" s="38"/>
      <c r="C123" s="38"/>
      <c r="D123" s="38"/>
      <c r="E123" s="38"/>
      <c r="F123" s="38"/>
      <c r="G123" s="38"/>
      <c r="H123" s="38"/>
    </row>
    <row r="124" spans="1:8" ht="15" customHeight="1">
      <c r="A124" s="38"/>
      <c r="B124" s="38"/>
      <c r="C124" s="38"/>
      <c r="D124" s="38"/>
      <c r="E124" s="38"/>
      <c r="F124" s="38"/>
      <c r="G124" s="38"/>
      <c r="H124" s="38"/>
    </row>
    <row r="125" spans="1:8" ht="15" customHeight="1">
      <c r="A125" s="38"/>
      <c r="B125" s="38"/>
      <c r="C125" s="38"/>
      <c r="D125" s="38"/>
      <c r="E125" s="38"/>
      <c r="F125" s="38"/>
      <c r="G125" s="38"/>
      <c r="H125" s="38"/>
    </row>
    <row r="126" spans="1:8" ht="15" customHeight="1">
      <c r="A126" s="38"/>
      <c r="B126" s="38"/>
      <c r="C126" s="38"/>
      <c r="D126" s="38"/>
      <c r="E126" s="38"/>
      <c r="F126" s="38"/>
      <c r="G126" s="38"/>
      <c r="H126" s="38"/>
    </row>
    <row r="127" spans="1:8" ht="15" customHeight="1">
      <c r="A127" s="38"/>
      <c r="B127" s="38"/>
      <c r="C127" s="38"/>
      <c r="D127" s="38"/>
      <c r="E127" s="38"/>
      <c r="F127" s="38"/>
      <c r="G127" s="38"/>
      <c r="H127" s="38"/>
    </row>
    <row r="128" spans="1:8" ht="15" customHeight="1">
      <c r="A128" s="38"/>
      <c r="B128" s="38"/>
      <c r="C128" s="38"/>
      <c r="D128" s="38"/>
      <c r="E128" s="38"/>
      <c r="F128" s="38"/>
      <c r="G128" s="38"/>
      <c r="H128" s="38"/>
    </row>
    <row r="129" spans="1:8" ht="15" customHeight="1">
      <c r="A129" s="38"/>
      <c r="B129" s="38"/>
      <c r="C129" s="38"/>
      <c r="D129" s="38"/>
      <c r="E129" s="38"/>
      <c r="F129" s="38"/>
      <c r="G129" s="38"/>
      <c r="H129" s="38"/>
    </row>
    <row r="130" spans="1:8" ht="15" customHeight="1">
      <c r="A130" s="38"/>
      <c r="B130" s="38"/>
      <c r="C130" s="38"/>
      <c r="D130" s="38"/>
      <c r="E130" s="38"/>
      <c r="F130" s="38"/>
      <c r="G130" s="38"/>
      <c r="H130" s="38"/>
    </row>
    <row r="131" spans="1:8" ht="15" customHeight="1">
      <c r="A131" s="38"/>
      <c r="B131" s="38"/>
      <c r="C131" s="38"/>
      <c r="D131" s="38"/>
      <c r="E131" s="38"/>
      <c r="F131" s="38"/>
      <c r="G131" s="38"/>
      <c r="H131" s="38"/>
    </row>
    <row r="132" spans="1:8" ht="15" customHeight="1">
      <c r="A132" s="38"/>
      <c r="B132" s="38"/>
      <c r="C132" s="38"/>
      <c r="D132" s="38"/>
      <c r="E132" s="38"/>
      <c r="F132" s="38"/>
      <c r="G132" s="38"/>
      <c r="H132" s="38"/>
    </row>
    <row r="133" spans="1:8" ht="15" customHeight="1">
      <c r="A133" s="38"/>
      <c r="B133" s="38"/>
      <c r="C133" s="38"/>
      <c r="D133" s="38"/>
      <c r="E133" s="38"/>
      <c r="F133" s="38"/>
      <c r="G133" s="38"/>
      <c r="H133" s="38"/>
    </row>
    <row r="134" spans="1:8" ht="15" customHeight="1">
      <c r="A134" s="38"/>
      <c r="B134" s="38"/>
      <c r="C134" s="38"/>
      <c r="D134" s="38"/>
      <c r="E134" s="38"/>
      <c r="F134" s="38"/>
      <c r="G134" s="38"/>
      <c r="H134" s="38"/>
    </row>
    <row r="135" spans="1:8" ht="15" customHeight="1">
      <c r="A135" s="38"/>
      <c r="B135" s="38"/>
      <c r="C135" s="38"/>
      <c r="D135" s="38"/>
      <c r="E135" s="38"/>
      <c r="F135" s="38"/>
      <c r="G135" s="38"/>
      <c r="H135" s="38"/>
    </row>
    <row r="136" spans="1:8" ht="15" customHeight="1">
      <c r="A136" s="38"/>
      <c r="B136" s="38"/>
      <c r="C136" s="38"/>
      <c r="D136" s="38"/>
      <c r="E136" s="38"/>
      <c r="F136" s="38"/>
      <c r="G136" s="38"/>
      <c r="H136" s="38"/>
    </row>
    <row r="137" spans="1:8" ht="15" customHeight="1">
      <c r="A137" s="38"/>
      <c r="B137" s="38"/>
      <c r="C137" s="38"/>
      <c r="D137" s="38"/>
      <c r="E137" s="38"/>
      <c r="F137" s="38"/>
      <c r="G137" s="38"/>
      <c r="H137" s="38"/>
    </row>
    <row r="138" spans="1:8" ht="15" customHeight="1">
      <c r="A138" s="38"/>
      <c r="B138" s="38"/>
      <c r="C138" s="38"/>
      <c r="D138" s="38"/>
      <c r="E138" s="38"/>
      <c r="F138" s="38"/>
      <c r="G138" s="38"/>
      <c r="H138" s="38"/>
    </row>
    <row r="139" spans="1:8" ht="15" customHeight="1">
      <c r="A139" s="38"/>
      <c r="B139" s="38"/>
      <c r="C139" s="38"/>
      <c r="D139" s="38"/>
      <c r="E139" s="38"/>
      <c r="F139" s="38"/>
      <c r="G139" s="38"/>
      <c r="H139" s="38"/>
    </row>
    <row r="140" spans="1:8" ht="15" customHeight="1">
      <c r="A140" s="38"/>
      <c r="B140" s="38"/>
      <c r="C140" s="38"/>
      <c r="D140" s="38"/>
      <c r="E140" s="38"/>
      <c r="F140" s="38"/>
      <c r="G140" s="38"/>
      <c r="H140" s="38"/>
    </row>
    <row r="141" spans="1:8" ht="15" customHeight="1">
      <c r="A141" s="38"/>
      <c r="B141" s="38"/>
      <c r="C141" s="38"/>
      <c r="D141" s="38"/>
      <c r="E141" s="38"/>
      <c r="F141" s="38"/>
      <c r="G141" s="38"/>
      <c r="H141" s="38"/>
    </row>
    <row r="142" spans="1:8" ht="15" customHeight="1">
      <c r="A142" s="38"/>
      <c r="B142" s="38"/>
      <c r="C142" s="38"/>
      <c r="D142" s="38"/>
      <c r="E142" s="38"/>
      <c r="F142" s="38"/>
      <c r="G142" s="38"/>
      <c r="H142" s="38"/>
    </row>
    <row r="143" spans="1:8" ht="15" customHeight="1">
      <c r="A143" s="38"/>
      <c r="B143" s="38"/>
      <c r="C143" s="38"/>
      <c r="D143" s="38"/>
      <c r="E143" s="38"/>
      <c r="F143" s="38"/>
      <c r="G143" s="38"/>
      <c r="H143" s="38"/>
    </row>
    <row r="144" spans="1:8" ht="15" customHeight="1">
      <c r="A144" s="38"/>
      <c r="B144" s="38"/>
      <c r="C144" s="38"/>
      <c r="D144" s="38"/>
      <c r="E144" s="38"/>
      <c r="F144" s="38"/>
      <c r="G144" s="38"/>
      <c r="H144" s="38"/>
    </row>
    <row r="145" spans="1:8" ht="15" customHeight="1">
      <c r="A145" s="38"/>
      <c r="B145" s="38"/>
      <c r="C145" s="38"/>
      <c r="D145" s="38"/>
      <c r="E145" s="38"/>
      <c r="F145" s="38"/>
      <c r="G145" s="38"/>
      <c r="H145" s="38"/>
    </row>
    <row r="146" spans="1:8" ht="15" customHeight="1">
      <c r="A146" s="38"/>
      <c r="B146" s="38"/>
      <c r="C146" s="38"/>
      <c r="D146" s="38"/>
      <c r="E146" s="38"/>
      <c r="F146" s="38"/>
      <c r="G146" s="38"/>
      <c r="H146" s="38"/>
    </row>
    <row r="147" spans="1:8" ht="15" customHeight="1">
      <c r="A147" s="38"/>
      <c r="B147" s="38"/>
      <c r="C147" s="38"/>
      <c r="D147" s="38"/>
      <c r="E147" s="38"/>
      <c r="F147" s="38"/>
      <c r="G147" s="38"/>
      <c r="H147" s="38"/>
    </row>
    <row r="148" spans="1:8" ht="15" customHeight="1">
      <c r="A148" s="38"/>
      <c r="B148" s="38"/>
      <c r="C148" s="38"/>
      <c r="D148" s="38"/>
      <c r="E148" s="38"/>
      <c r="F148" s="38"/>
      <c r="G148" s="38"/>
      <c r="H148" s="38"/>
    </row>
    <row r="149" spans="1:8" ht="15" customHeight="1">
      <c r="A149" s="38"/>
      <c r="B149" s="38"/>
      <c r="C149" s="38"/>
      <c r="D149" s="38"/>
      <c r="E149" s="38"/>
      <c r="F149" s="38"/>
      <c r="G149" s="38"/>
      <c r="H149" s="38"/>
    </row>
    <row r="150" spans="1:8" ht="15" customHeight="1">
      <c r="A150" s="38"/>
      <c r="B150" s="38"/>
      <c r="C150" s="38"/>
      <c r="D150" s="38"/>
      <c r="E150" s="38"/>
      <c r="F150" s="38"/>
      <c r="G150" s="38"/>
      <c r="H150" s="38"/>
    </row>
    <row r="151" spans="1:8" ht="15" customHeight="1">
      <c r="A151" s="38"/>
      <c r="B151" s="38"/>
      <c r="C151" s="38"/>
      <c r="D151" s="38"/>
      <c r="E151" s="38"/>
      <c r="F151" s="38"/>
      <c r="G151" s="38"/>
      <c r="H151" s="38"/>
    </row>
    <row r="152" spans="1:8" ht="15" customHeight="1">
      <c r="A152" s="38"/>
      <c r="B152" s="38"/>
      <c r="C152" s="38"/>
      <c r="D152" s="38"/>
      <c r="E152" s="38"/>
      <c r="F152" s="38"/>
      <c r="G152" s="38"/>
      <c r="H152" s="38"/>
    </row>
    <row r="153" spans="1:8" ht="15" customHeight="1">
      <c r="A153" s="38"/>
      <c r="B153" s="38"/>
      <c r="C153" s="38"/>
      <c r="D153" s="38"/>
      <c r="E153" s="38"/>
      <c r="F153" s="38"/>
      <c r="G153" s="38"/>
      <c r="H153" s="38"/>
    </row>
    <row r="154" spans="1:8" ht="15" customHeight="1">
      <c r="A154" s="38"/>
      <c r="B154" s="38"/>
      <c r="C154" s="38"/>
      <c r="D154" s="38"/>
      <c r="E154" s="38"/>
      <c r="F154" s="38"/>
      <c r="G154" s="38"/>
      <c r="H154" s="38"/>
    </row>
    <row r="155" spans="1:8" ht="15" customHeight="1">
      <c r="A155" s="38"/>
      <c r="B155" s="38"/>
      <c r="C155" s="38"/>
      <c r="D155" s="38"/>
      <c r="E155" s="38"/>
      <c r="F155" s="38"/>
      <c r="G155" s="38"/>
      <c r="H155" s="38"/>
    </row>
    <row r="156" spans="1:8" ht="15" customHeight="1">
      <c r="A156" s="38"/>
      <c r="B156" s="38"/>
      <c r="C156" s="38"/>
      <c r="D156" s="38"/>
      <c r="E156" s="38"/>
      <c r="F156" s="38"/>
      <c r="G156" s="38"/>
      <c r="H156" s="38"/>
    </row>
    <row r="157" spans="1:8" ht="15" customHeight="1">
      <c r="A157" s="38"/>
      <c r="B157" s="38"/>
      <c r="C157" s="38"/>
      <c r="D157" s="38"/>
      <c r="E157" s="38"/>
      <c r="F157" s="38"/>
      <c r="G157" s="38"/>
      <c r="H157" s="38"/>
    </row>
    <row r="158" spans="1:8" ht="15" customHeight="1">
      <c r="A158" s="38"/>
      <c r="B158" s="38"/>
      <c r="C158" s="38"/>
      <c r="D158" s="38"/>
      <c r="E158" s="38"/>
      <c r="F158" s="38"/>
      <c r="G158" s="38"/>
      <c r="H158" s="38"/>
    </row>
    <row r="159" spans="1:8" ht="15" customHeight="1">
      <c r="A159" s="38"/>
      <c r="B159" s="38"/>
      <c r="C159" s="38"/>
      <c r="D159" s="38"/>
      <c r="E159" s="38"/>
      <c r="F159" s="38"/>
      <c r="G159" s="38"/>
      <c r="H159" s="38"/>
    </row>
    <row r="160" spans="1:8" ht="15" customHeight="1">
      <c r="A160" s="38"/>
      <c r="B160" s="38"/>
      <c r="C160" s="38"/>
      <c r="D160" s="38"/>
      <c r="E160" s="38"/>
      <c r="F160" s="38"/>
      <c r="G160" s="38"/>
      <c r="H160" s="38"/>
    </row>
    <row r="161" spans="1:8" ht="15" customHeight="1">
      <c r="A161" s="38"/>
      <c r="B161" s="38"/>
      <c r="C161" s="38"/>
      <c r="D161" s="38"/>
      <c r="E161" s="38"/>
      <c r="F161" s="38"/>
      <c r="G161" s="38"/>
      <c r="H161" s="38"/>
    </row>
    <row r="162" spans="1:8" ht="15" customHeight="1">
      <c r="A162" s="38"/>
      <c r="B162" s="38"/>
      <c r="C162" s="38"/>
      <c r="D162" s="38"/>
      <c r="E162" s="38"/>
      <c r="F162" s="38"/>
      <c r="G162" s="38"/>
      <c r="H162" s="38"/>
    </row>
    <row r="163" spans="1:8" ht="15" customHeight="1">
      <c r="A163" s="38"/>
      <c r="B163" s="38"/>
      <c r="C163" s="38"/>
      <c r="D163" s="38"/>
      <c r="E163" s="38"/>
      <c r="F163" s="38"/>
      <c r="G163" s="38"/>
      <c r="H163" s="38"/>
    </row>
    <row r="164" spans="1:8" ht="15" customHeight="1">
      <c r="A164" s="38"/>
      <c r="B164" s="38"/>
      <c r="C164" s="38"/>
      <c r="D164" s="38"/>
      <c r="E164" s="38"/>
      <c r="F164" s="38"/>
      <c r="G164" s="38"/>
      <c r="H164" s="38"/>
    </row>
    <row r="165" spans="1:8" ht="15" customHeight="1">
      <c r="A165" s="38"/>
      <c r="B165" s="38"/>
      <c r="C165" s="38"/>
      <c r="D165" s="38"/>
      <c r="E165" s="38"/>
      <c r="F165" s="38"/>
      <c r="G165" s="38"/>
      <c r="H165" s="38"/>
    </row>
    <row r="166" spans="1:8" ht="15" customHeight="1">
      <c r="A166" s="38"/>
      <c r="B166" s="38"/>
      <c r="C166" s="38"/>
      <c r="D166" s="38"/>
      <c r="E166" s="38"/>
      <c r="F166" s="38"/>
      <c r="G166" s="38"/>
      <c r="H166" s="38"/>
    </row>
    <row r="167" spans="1:8" ht="15" customHeight="1">
      <c r="A167" s="38"/>
      <c r="B167" s="38"/>
      <c r="C167" s="38"/>
      <c r="D167" s="38"/>
      <c r="E167" s="38"/>
      <c r="F167" s="38"/>
      <c r="G167" s="38"/>
      <c r="H167" s="38"/>
    </row>
    <row r="168" spans="1:8" ht="15" customHeight="1">
      <c r="A168" s="38"/>
      <c r="B168" s="38"/>
      <c r="C168" s="38"/>
      <c r="D168" s="38"/>
      <c r="E168" s="38"/>
      <c r="F168" s="38"/>
      <c r="G168" s="38"/>
      <c r="H168" s="38"/>
    </row>
    <row r="169" spans="1:8" ht="15" customHeight="1">
      <c r="A169" s="38"/>
      <c r="B169" s="38"/>
      <c r="C169" s="38"/>
      <c r="D169" s="38"/>
      <c r="E169" s="38"/>
      <c r="F169" s="38"/>
      <c r="G169" s="38"/>
      <c r="H169" s="38"/>
    </row>
    <row r="170" spans="1:8" ht="15" customHeight="1">
      <c r="A170" s="38"/>
      <c r="B170" s="38"/>
      <c r="C170" s="38"/>
      <c r="D170" s="38"/>
      <c r="E170" s="38"/>
      <c r="F170" s="38"/>
      <c r="G170" s="38"/>
      <c r="H170" s="38"/>
    </row>
    <row r="171" spans="1:8" ht="15" customHeight="1">
      <c r="A171" s="38"/>
      <c r="B171" s="38"/>
      <c r="C171" s="38"/>
      <c r="D171" s="38"/>
      <c r="E171" s="38"/>
      <c r="F171" s="38"/>
      <c r="G171" s="38"/>
      <c r="H171" s="38"/>
    </row>
    <row r="172" spans="1:8" ht="15" customHeight="1">
      <c r="A172" s="38"/>
      <c r="B172" s="38"/>
      <c r="C172" s="38"/>
      <c r="D172" s="38"/>
      <c r="E172" s="38"/>
      <c r="F172" s="38"/>
      <c r="G172" s="38"/>
      <c r="H172" s="38"/>
    </row>
    <row r="173" spans="1:8" ht="15" customHeight="1">
      <c r="A173" s="38"/>
      <c r="B173" s="38"/>
      <c r="C173" s="38"/>
      <c r="D173" s="38"/>
      <c r="E173" s="38"/>
      <c r="F173" s="38"/>
      <c r="G173" s="38"/>
      <c r="H173" s="38"/>
    </row>
    <row r="174" spans="1:8" ht="15" customHeight="1">
      <c r="A174" s="38"/>
      <c r="B174" s="38"/>
      <c r="C174" s="38"/>
      <c r="D174" s="38"/>
      <c r="E174" s="38"/>
      <c r="F174" s="38"/>
      <c r="G174" s="38"/>
      <c r="H174" s="38"/>
    </row>
    <row r="175" spans="1:8" ht="15" customHeight="1">
      <c r="A175" s="38"/>
      <c r="B175" s="38"/>
      <c r="C175" s="38"/>
      <c r="D175" s="38"/>
      <c r="E175" s="38"/>
      <c r="F175" s="38"/>
      <c r="G175" s="38"/>
      <c r="H175" s="38"/>
    </row>
    <row r="176" spans="1:8" ht="15" customHeight="1">
      <c r="A176" s="38"/>
      <c r="B176" s="38"/>
      <c r="C176" s="38"/>
      <c r="D176" s="38"/>
      <c r="E176" s="38"/>
      <c r="F176" s="38"/>
      <c r="G176" s="38"/>
      <c r="H176" s="38"/>
    </row>
    <row r="177" spans="1:8" ht="15" customHeight="1">
      <c r="A177" s="38"/>
      <c r="B177" s="38"/>
      <c r="C177" s="38"/>
      <c r="D177" s="38"/>
      <c r="E177" s="38"/>
      <c r="F177" s="38"/>
      <c r="G177" s="38"/>
      <c r="H177" s="38"/>
    </row>
    <row r="178" spans="1:8" ht="15" customHeight="1">
      <c r="A178" s="38"/>
      <c r="B178" s="38"/>
      <c r="C178" s="38"/>
      <c r="D178" s="38"/>
      <c r="E178" s="38"/>
      <c r="F178" s="38"/>
      <c r="G178" s="38"/>
      <c r="H178" s="38"/>
    </row>
    <row r="179" spans="1:8" ht="15" customHeight="1">
      <c r="A179" s="38"/>
      <c r="B179" s="38"/>
      <c r="C179" s="38"/>
      <c r="D179" s="38"/>
      <c r="E179" s="38"/>
      <c r="F179" s="38"/>
      <c r="G179" s="38"/>
      <c r="H179" s="38"/>
    </row>
    <row r="180" spans="1:8" ht="15" customHeight="1">
      <c r="A180" s="38"/>
      <c r="B180" s="38"/>
      <c r="C180" s="38"/>
      <c r="D180" s="38"/>
      <c r="E180" s="38"/>
      <c r="F180" s="38"/>
      <c r="G180" s="38"/>
      <c r="H180" s="38"/>
    </row>
    <row r="181" spans="1:8" ht="15" customHeight="1">
      <c r="A181" s="38"/>
      <c r="B181" s="38"/>
      <c r="C181" s="38"/>
      <c r="D181" s="38"/>
      <c r="E181" s="38"/>
      <c r="F181" s="38"/>
      <c r="G181" s="38"/>
      <c r="H181" s="38"/>
    </row>
    <row r="182" spans="1:8" ht="15" customHeight="1">
      <c r="A182" s="38"/>
      <c r="B182" s="38"/>
      <c r="C182" s="38"/>
      <c r="D182" s="38"/>
      <c r="E182" s="38"/>
      <c r="F182" s="38"/>
      <c r="G182" s="38"/>
      <c r="H182" s="38"/>
    </row>
    <row r="183" spans="1:8" ht="15" customHeight="1">
      <c r="A183" s="38"/>
      <c r="B183" s="38"/>
      <c r="C183" s="38"/>
      <c r="D183" s="38"/>
      <c r="E183" s="38"/>
      <c r="F183" s="38"/>
      <c r="G183" s="38"/>
      <c r="H183" s="38"/>
    </row>
    <row r="184" spans="1:8" ht="15" customHeight="1">
      <c r="A184" s="38"/>
      <c r="B184" s="38"/>
      <c r="C184" s="38"/>
      <c r="D184" s="38"/>
      <c r="E184" s="38"/>
      <c r="F184" s="38"/>
      <c r="G184" s="38"/>
      <c r="H184" s="38"/>
    </row>
    <row r="185" spans="1:8" ht="15" customHeight="1">
      <c r="A185" s="38"/>
      <c r="B185" s="38"/>
      <c r="C185" s="38"/>
      <c r="D185" s="38"/>
      <c r="E185" s="38"/>
      <c r="F185" s="38"/>
      <c r="G185" s="38"/>
      <c r="H185" s="38"/>
    </row>
    <row r="186" spans="1:8" ht="15" customHeight="1">
      <c r="A186" s="38"/>
      <c r="B186" s="38"/>
      <c r="C186" s="38"/>
      <c r="D186" s="38"/>
      <c r="E186" s="38"/>
      <c r="F186" s="38"/>
      <c r="G186" s="38"/>
      <c r="H186" s="38"/>
    </row>
    <row r="187" spans="1:8" ht="15" customHeight="1">
      <c r="A187" s="38"/>
      <c r="B187" s="38"/>
      <c r="C187" s="38"/>
      <c r="D187" s="38"/>
      <c r="E187" s="38"/>
      <c r="F187" s="38"/>
      <c r="G187" s="38"/>
      <c r="H187" s="38"/>
    </row>
    <row r="188" spans="1:8" ht="15" customHeight="1">
      <c r="A188" s="38"/>
      <c r="B188" s="38"/>
      <c r="C188" s="38"/>
      <c r="D188" s="38"/>
      <c r="E188" s="38"/>
      <c r="F188" s="38"/>
      <c r="G188" s="38"/>
      <c r="H188" s="38"/>
    </row>
    <row r="189" spans="1:8" ht="15" customHeight="1">
      <c r="A189" s="38"/>
      <c r="B189" s="38"/>
      <c r="C189" s="38"/>
      <c r="D189" s="38"/>
      <c r="E189" s="38"/>
      <c r="F189" s="38"/>
      <c r="G189" s="38"/>
      <c r="H189" s="38"/>
    </row>
    <row r="190" spans="1:8" ht="15" customHeight="1">
      <c r="A190" s="38"/>
      <c r="B190" s="38"/>
      <c r="C190" s="38"/>
      <c r="D190" s="38"/>
      <c r="E190" s="38"/>
      <c r="F190" s="38"/>
      <c r="G190" s="38"/>
      <c r="H190" s="38"/>
    </row>
    <row r="191" spans="1:8" ht="15" customHeight="1">
      <c r="A191" s="38"/>
      <c r="B191" s="38"/>
      <c r="C191" s="38"/>
      <c r="D191" s="38"/>
      <c r="E191" s="38"/>
      <c r="F191" s="38"/>
      <c r="G191" s="38"/>
      <c r="H191" s="38"/>
    </row>
    <row r="192" spans="1:8" ht="15" customHeight="1">
      <c r="A192" s="38"/>
      <c r="B192" s="38"/>
      <c r="C192" s="38"/>
      <c r="D192" s="38"/>
      <c r="E192" s="38"/>
      <c r="F192" s="38"/>
      <c r="G192" s="38"/>
      <c r="H192" s="38"/>
    </row>
    <row r="193" spans="1:8" ht="15" customHeight="1">
      <c r="A193" s="38"/>
      <c r="B193" s="38"/>
      <c r="C193" s="38"/>
      <c r="D193" s="38"/>
      <c r="E193" s="38"/>
      <c r="F193" s="38"/>
      <c r="G193" s="38"/>
      <c r="H193" s="38"/>
    </row>
    <row r="194" spans="1:8" ht="15" customHeight="1">
      <c r="A194" s="38"/>
      <c r="B194" s="38"/>
      <c r="C194" s="38"/>
      <c r="D194" s="38"/>
      <c r="E194" s="38"/>
      <c r="F194" s="38"/>
      <c r="G194" s="38"/>
      <c r="H194" s="38"/>
    </row>
    <row r="195" spans="1:8" ht="15" customHeight="1">
      <c r="A195" s="38"/>
      <c r="B195" s="38"/>
      <c r="C195" s="38"/>
      <c r="D195" s="38"/>
      <c r="E195" s="38"/>
      <c r="F195" s="38"/>
      <c r="G195" s="38"/>
      <c r="H195" s="38"/>
    </row>
    <row r="196" spans="1:8" ht="15" customHeight="1">
      <c r="A196" s="38"/>
      <c r="B196" s="38"/>
      <c r="C196" s="38"/>
      <c r="D196" s="38"/>
      <c r="E196" s="38"/>
      <c r="F196" s="38"/>
      <c r="G196" s="38"/>
      <c r="H196" s="38"/>
    </row>
    <row r="197" spans="1:8" ht="15" customHeight="1">
      <c r="A197" s="38"/>
      <c r="B197" s="38"/>
      <c r="C197" s="38"/>
      <c r="D197" s="38"/>
      <c r="E197" s="38"/>
      <c r="F197" s="38"/>
      <c r="G197" s="38"/>
      <c r="H197" s="38"/>
    </row>
    <row r="198" spans="1:8" ht="15" customHeight="1">
      <c r="A198" s="38"/>
      <c r="B198" s="38"/>
      <c r="C198" s="38"/>
      <c r="D198" s="38"/>
      <c r="E198" s="38"/>
      <c r="F198" s="38"/>
      <c r="G198" s="38"/>
      <c r="H198" s="38"/>
    </row>
    <row r="199" spans="1:8" ht="15" customHeight="1">
      <c r="A199" s="38"/>
      <c r="B199" s="38"/>
      <c r="C199" s="38"/>
      <c r="D199" s="38"/>
      <c r="E199" s="38"/>
      <c r="F199" s="38"/>
      <c r="G199" s="38"/>
      <c r="H199" s="38"/>
    </row>
    <row r="200" spans="1:8" ht="15" customHeight="1">
      <c r="A200" s="38"/>
      <c r="B200" s="38"/>
      <c r="C200" s="38"/>
      <c r="D200" s="38"/>
      <c r="E200" s="38"/>
      <c r="F200" s="38"/>
      <c r="G200" s="38"/>
      <c r="H200" s="38"/>
    </row>
    <row r="201" spans="1:8" ht="15" customHeight="1">
      <c r="A201" s="38"/>
      <c r="B201" s="38"/>
      <c r="C201" s="38"/>
      <c r="D201" s="38"/>
      <c r="E201" s="38"/>
      <c r="F201" s="38"/>
      <c r="G201" s="38"/>
      <c r="H201" s="38"/>
    </row>
    <row r="202" spans="1:8" ht="15" customHeight="1">
      <c r="A202" s="38"/>
      <c r="B202" s="38"/>
      <c r="C202" s="38"/>
      <c r="D202" s="38"/>
      <c r="E202" s="38"/>
      <c r="F202" s="38"/>
      <c r="G202" s="38"/>
      <c r="H202" s="38"/>
    </row>
    <row r="203" spans="1:8" ht="15" customHeight="1">
      <c r="A203" s="38"/>
      <c r="B203" s="38"/>
      <c r="C203" s="38"/>
      <c r="D203" s="38"/>
      <c r="E203" s="38"/>
      <c r="F203" s="38"/>
      <c r="G203" s="38"/>
      <c r="H203" s="38"/>
    </row>
    <row r="204" spans="1:8" ht="15" customHeight="1">
      <c r="A204" s="38"/>
      <c r="B204" s="38"/>
      <c r="C204" s="38"/>
      <c r="D204" s="38"/>
      <c r="E204" s="38"/>
      <c r="F204" s="38"/>
      <c r="G204" s="38"/>
      <c r="H204" s="38"/>
    </row>
    <row r="205" spans="1:8" ht="15" customHeight="1">
      <c r="A205" s="38"/>
      <c r="B205" s="38"/>
      <c r="C205" s="38"/>
      <c r="D205" s="38"/>
      <c r="E205" s="38"/>
      <c r="F205" s="38"/>
      <c r="G205" s="38"/>
      <c r="H205" s="38"/>
    </row>
    <row r="206" spans="1:8" ht="15" customHeight="1">
      <c r="A206" s="38"/>
      <c r="B206" s="38"/>
      <c r="C206" s="38"/>
      <c r="D206" s="38"/>
      <c r="E206" s="38"/>
      <c r="F206" s="38"/>
      <c r="G206" s="38"/>
      <c r="H206" s="38"/>
    </row>
    <row r="207" spans="1:8" ht="15" customHeight="1">
      <c r="A207" s="38"/>
      <c r="B207" s="38"/>
      <c r="C207" s="38"/>
      <c r="D207" s="38"/>
      <c r="E207" s="38"/>
      <c r="F207" s="38"/>
      <c r="G207" s="38"/>
      <c r="H207" s="38"/>
    </row>
    <row r="208" spans="1:8" ht="15" customHeight="1">
      <c r="A208" s="38"/>
      <c r="B208" s="38"/>
      <c r="C208" s="38"/>
      <c r="D208" s="38"/>
      <c r="E208" s="38"/>
      <c r="F208" s="38"/>
      <c r="G208" s="38"/>
      <c r="H208" s="38"/>
    </row>
    <row r="209" spans="1:8" ht="15" customHeight="1">
      <c r="A209" s="38"/>
      <c r="B209" s="38"/>
      <c r="C209" s="38"/>
      <c r="D209" s="38"/>
      <c r="E209" s="38"/>
      <c r="F209" s="38"/>
      <c r="G209" s="38"/>
      <c r="H209" s="38"/>
    </row>
    <row r="210" spans="1:8" ht="15" customHeight="1">
      <c r="A210" s="38"/>
      <c r="B210" s="38"/>
      <c r="C210" s="38"/>
      <c r="D210" s="38"/>
      <c r="E210" s="38"/>
      <c r="F210" s="38"/>
      <c r="G210" s="38"/>
      <c r="H210" s="38"/>
    </row>
    <row r="211" spans="1:8" ht="15" customHeight="1">
      <c r="A211" s="38"/>
      <c r="B211" s="38"/>
      <c r="C211" s="38"/>
      <c r="D211" s="38"/>
      <c r="E211" s="38"/>
      <c r="F211" s="38"/>
      <c r="G211" s="38"/>
      <c r="H211" s="38"/>
    </row>
    <row r="212" spans="1:8" ht="15" customHeight="1">
      <c r="A212" s="38"/>
      <c r="B212" s="38"/>
      <c r="C212" s="38"/>
      <c r="D212" s="38"/>
      <c r="E212" s="38"/>
      <c r="F212" s="38"/>
      <c r="G212" s="38"/>
      <c r="H212" s="38"/>
    </row>
    <row r="213" spans="1:8" ht="15" customHeight="1">
      <c r="A213" s="38"/>
      <c r="B213" s="38"/>
      <c r="C213" s="38"/>
      <c r="D213" s="38"/>
      <c r="E213" s="38"/>
      <c r="F213" s="38"/>
      <c r="G213" s="38"/>
      <c r="H213" s="38"/>
    </row>
    <row r="214" spans="1:8" ht="15" customHeight="1">
      <c r="A214" s="38"/>
      <c r="B214" s="38"/>
      <c r="C214" s="38"/>
      <c r="D214" s="38"/>
      <c r="E214" s="38"/>
      <c r="F214" s="38"/>
      <c r="G214" s="38"/>
      <c r="H214" s="38"/>
    </row>
    <row r="215" spans="1:8" ht="15" customHeight="1">
      <c r="A215" s="38"/>
      <c r="B215" s="38"/>
      <c r="C215" s="38"/>
      <c r="D215" s="38"/>
      <c r="E215" s="38"/>
      <c r="F215" s="38"/>
      <c r="G215" s="38"/>
      <c r="H215" s="38"/>
    </row>
    <row r="216" spans="1:8" ht="15" customHeight="1">
      <c r="A216" s="38"/>
      <c r="B216" s="38"/>
      <c r="C216" s="38"/>
      <c r="D216" s="38"/>
      <c r="E216" s="38"/>
      <c r="F216" s="38"/>
      <c r="G216" s="38"/>
      <c r="H216" s="38"/>
    </row>
    <row r="217" spans="1:8" ht="15" customHeight="1">
      <c r="A217" s="38"/>
      <c r="B217" s="38"/>
      <c r="C217" s="38"/>
      <c r="D217" s="38"/>
      <c r="E217" s="38"/>
      <c r="F217" s="38"/>
      <c r="G217" s="38"/>
      <c r="H217" s="38"/>
    </row>
    <row r="218" spans="1:8" ht="15" customHeight="1">
      <c r="A218" s="38"/>
      <c r="B218" s="38"/>
      <c r="C218" s="38"/>
      <c r="D218" s="38"/>
      <c r="E218" s="38"/>
      <c r="F218" s="38"/>
      <c r="G218" s="38"/>
      <c r="H218" s="38"/>
    </row>
    <row r="219" spans="1:8" ht="15" customHeight="1">
      <c r="A219" s="38"/>
      <c r="B219" s="38"/>
      <c r="C219" s="38"/>
      <c r="D219" s="38"/>
      <c r="E219" s="38"/>
      <c r="F219" s="38"/>
      <c r="G219" s="38"/>
      <c r="H219" s="38"/>
    </row>
    <row r="220" spans="1:8" ht="15" customHeight="1">
      <c r="A220" s="38"/>
      <c r="B220" s="38"/>
      <c r="C220" s="38"/>
      <c r="D220" s="38"/>
      <c r="E220" s="38"/>
      <c r="F220" s="38"/>
      <c r="G220" s="38"/>
      <c r="H220" s="38"/>
    </row>
    <row r="221" spans="1:8" ht="15" customHeight="1">
      <c r="A221" s="38"/>
      <c r="B221" s="38"/>
      <c r="C221" s="38"/>
      <c r="D221" s="38"/>
      <c r="E221" s="38"/>
      <c r="F221" s="38"/>
      <c r="G221" s="38"/>
      <c r="H221" s="38"/>
    </row>
    <row r="222" spans="1:8" ht="15" customHeight="1">
      <c r="A222" s="38"/>
      <c r="B222" s="38"/>
      <c r="C222" s="38"/>
      <c r="D222" s="38"/>
      <c r="E222" s="38"/>
      <c r="F222" s="38"/>
      <c r="G222" s="38"/>
      <c r="H222" s="38"/>
    </row>
    <row r="223" spans="1:8" ht="15" customHeight="1">
      <c r="A223" s="38"/>
      <c r="B223" s="38"/>
      <c r="C223" s="38"/>
      <c r="D223" s="38"/>
      <c r="E223" s="38"/>
      <c r="F223" s="38"/>
      <c r="G223" s="38"/>
      <c r="H223" s="38"/>
    </row>
    <row r="224" spans="1:8" ht="15" customHeight="1">
      <c r="A224" s="38"/>
      <c r="B224" s="38"/>
      <c r="C224" s="38"/>
      <c r="D224" s="38"/>
      <c r="E224" s="38"/>
      <c r="F224" s="38"/>
      <c r="G224" s="38"/>
      <c r="H224" s="38"/>
    </row>
    <row r="225" spans="1:8" ht="15" customHeight="1">
      <c r="A225" s="38"/>
      <c r="B225" s="38"/>
      <c r="C225" s="38"/>
      <c r="D225" s="38"/>
      <c r="E225" s="38"/>
      <c r="F225" s="38"/>
      <c r="G225" s="38"/>
      <c r="H225" s="38"/>
    </row>
    <row r="226" spans="1:8" ht="15" customHeight="1">
      <c r="A226" s="38"/>
      <c r="B226" s="38"/>
      <c r="C226" s="38"/>
      <c r="D226" s="38"/>
      <c r="E226" s="38"/>
      <c r="F226" s="38"/>
      <c r="G226" s="38"/>
      <c r="H226" s="38"/>
    </row>
    <row r="227" spans="1:8" ht="15" customHeight="1">
      <c r="A227" s="38"/>
      <c r="B227" s="38"/>
      <c r="C227" s="38"/>
      <c r="D227" s="38"/>
      <c r="E227" s="38"/>
      <c r="F227" s="38"/>
      <c r="G227" s="38"/>
      <c r="H227" s="38"/>
    </row>
    <row r="228" spans="1:8" ht="15" customHeight="1">
      <c r="A228" s="38"/>
      <c r="B228" s="38"/>
      <c r="C228" s="38"/>
      <c r="D228" s="38"/>
      <c r="E228" s="38"/>
      <c r="F228" s="38"/>
      <c r="G228" s="38"/>
      <c r="H228" s="38"/>
    </row>
    <row r="229" spans="1:8" ht="15" customHeight="1">
      <c r="A229" s="38"/>
      <c r="B229" s="38"/>
      <c r="C229" s="38"/>
      <c r="D229" s="38"/>
      <c r="E229" s="38"/>
      <c r="F229" s="38"/>
      <c r="G229" s="38"/>
      <c r="H229" s="38"/>
    </row>
    <row r="230" spans="1:8" ht="15" customHeight="1">
      <c r="A230" s="38"/>
      <c r="B230" s="38"/>
      <c r="C230" s="38"/>
      <c r="D230" s="38"/>
      <c r="E230" s="38"/>
      <c r="F230" s="38"/>
      <c r="G230" s="38"/>
      <c r="H230" s="38"/>
    </row>
    <row r="231" spans="1:8" ht="15" customHeight="1">
      <c r="A231" s="38"/>
      <c r="B231" s="38"/>
      <c r="C231" s="38"/>
      <c r="D231" s="38"/>
      <c r="E231" s="38"/>
      <c r="F231" s="38"/>
      <c r="G231" s="38"/>
      <c r="H231" s="38"/>
    </row>
    <row r="232" spans="1:8" ht="15" customHeight="1">
      <c r="A232" s="38"/>
      <c r="B232" s="38"/>
      <c r="C232" s="38"/>
      <c r="D232" s="38"/>
      <c r="E232" s="38"/>
      <c r="F232" s="38"/>
      <c r="G232" s="38"/>
      <c r="H232" s="38"/>
    </row>
    <row r="233" spans="1:8" ht="15" customHeight="1">
      <c r="A233" s="38"/>
      <c r="B233" s="38"/>
      <c r="C233" s="38"/>
      <c r="D233" s="38"/>
      <c r="E233" s="38"/>
      <c r="F233" s="38"/>
      <c r="G233" s="38"/>
      <c r="H233" s="38"/>
    </row>
    <row r="234" spans="1:8" ht="15" customHeight="1">
      <c r="A234" s="38"/>
      <c r="B234" s="38"/>
      <c r="C234" s="38"/>
      <c r="D234" s="38"/>
      <c r="E234" s="38"/>
      <c r="F234" s="38"/>
      <c r="G234" s="38"/>
      <c r="H234" s="38"/>
    </row>
    <row r="235" spans="1:8" ht="15" customHeight="1">
      <c r="A235" s="38"/>
      <c r="B235" s="38"/>
      <c r="C235" s="38"/>
      <c r="D235" s="38"/>
      <c r="E235" s="38"/>
      <c r="F235" s="38"/>
      <c r="G235" s="38"/>
      <c r="H235" s="38"/>
    </row>
    <row r="236" spans="1:8" ht="15" customHeight="1">
      <c r="A236" s="38"/>
      <c r="B236" s="38"/>
      <c r="C236" s="38"/>
      <c r="D236" s="38"/>
      <c r="E236" s="38"/>
      <c r="F236" s="38"/>
      <c r="G236" s="38"/>
      <c r="H236" s="38"/>
    </row>
    <row r="237" spans="1:8" ht="15" customHeight="1">
      <c r="A237" s="38"/>
      <c r="B237" s="38"/>
      <c r="C237" s="38"/>
      <c r="D237" s="38"/>
      <c r="E237" s="38"/>
      <c r="F237" s="38"/>
      <c r="G237" s="38"/>
      <c r="H237" s="38"/>
    </row>
    <row r="238" spans="1:8" ht="15" customHeight="1">
      <c r="A238" s="38"/>
      <c r="B238" s="38"/>
      <c r="C238" s="38"/>
      <c r="D238" s="38"/>
      <c r="E238" s="38"/>
      <c r="F238" s="38"/>
      <c r="G238" s="38"/>
      <c r="H238" s="38"/>
    </row>
    <row r="239" spans="1:8" ht="15" customHeight="1">
      <c r="A239" s="38"/>
      <c r="B239" s="38"/>
      <c r="C239" s="38"/>
      <c r="D239" s="38"/>
      <c r="E239" s="38"/>
      <c r="F239" s="38"/>
      <c r="G239" s="38"/>
      <c r="H239" s="38"/>
    </row>
    <row r="240" spans="1:8" ht="15" customHeight="1">
      <c r="A240" s="38"/>
      <c r="B240" s="38"/>
      <c r="C240" s="38"/>
      <c r="D240" s="38"/>
      <c r="E240" s="38"/>
      <c r="F240" s="38"/>
      <c r="G240" s="38"/>
      <c r="H240" s="38"/>
    </row>
    <row r="241" spans="1:8" ht="15" customHeight="1">
      <c r="A241" s="38"/>
      <c r="B241" s="38"/>
      <c r="C241" s="38"/>
      <c r="D241" s="38"/>
      <c r="E241" s="38"/>
      <c r="F241" s="38"/>
      <c r="G241" s="38"/>
      <c r="H241" s="38"/>
    </row>
    <row r="242" spans="1:8" ht="15" customHeight="1">
      <c r="A242" s="38"/>
      <c r="B242" s="38"/>
      <c r="C242" s="38"/>
      <c r="D242" s="38"/>
      <c r="E242" s="38"/>
      <c r="F242" s="38"/>
      <c r="G242" s="38"/>
      <c r="H242" s="38"/>
    </row>
    <row r="243" spans="1:8" ht="15" customHeight="1">
      <c r="A243" s="38"/>
      <c r="B243" s="38"/>
      <c r="C243" s="38"/>
      <c r="D243" s="38"/>
      <c r="E243" s="38"/>
      <c r="F243" s="38"/>
      <c r="G243" s="38"/>
      <c r="H243" s="38"/>
    </row>
    <row r="244" spans="1:8" ht="15" customHeight="1">
      <c r="A244" s="38"/>
      <c r="B244" s="38"/>
      <c r="C244" s="38"/>
      <c r="D244" s="38"/>
      <c r="E244" s="38"/>
      <c r="F244" s="38"/>
      <c r="G244" s="38"/>
      <c r="H244" s="38"/>
    </row>
    <row r="245" spans="1:8" ht="15" customHeight="1">
      <c r="A245" s="38"/>
      <c r="B245" s="38"/>
      <c r="C245" s="38"/>
      <c r="D245" s="38"/>
      <c r="E245" s="38"/>
      <c r="F245" s="38"/>
      <c r="G245" s="38"/>
      <c r="H245" s="38"/>
    </row>
    <row r="246" spans="1:8" ht="15" customHeight="1">
      <c r="A246" s="38"/>
      <c r="B246" s="38"/>
      <c r="C246" s="38"/>
      <c r="D246" s="38"/>
      <c r="E246" s="38"/>
      <c r="F246" s="38"/>
      <c r="G246" s="38"/>
      <c r="H246" s="38"/>
    </row>
    <row r="247" spans="1:8" ht="15" customHeight="1">
      <c r="A247" s="38"/>
      <c r="B247" s="38"/>
      <c r="C247" s="38"/>
      <c r="D247" s="38"/>
      <c r="E247" s="38"/>
      <c r="F247" s="38"/>
      <c r="G247" s="38"/>
      <c r="H247" s="38"/>
    </row>
    <row r="248" spans="1:8" ht="15" customHeight="1">
      <c r="A248" s="38"/>
      <c r="B248" s="38"/>
      <c r="C248" s="38"/>
      <c r="D248" s="38"/>
      <c r="E248" s="38"/>
      <c r="F248" s="38"/>
      <c r="G248" s="38"/>
      <c r="H248" s="38"/>
    </row>
    <row r="249" spans="1:8" ht="15" customHeight="1">
      <c r="A249" s="89"/>
      <c r="B249" s="89"/>
      <c r="C249" s="89"/>
      <c r="D249" s="89"/>
      <c r="E249" s="89"/>
      <c r="F249" s="38"/>
      <c r="G249" s="38"/>
      <c r="H249" s="38"/>
    </row>
    <row r="250" spans="1:8" ht="15" customHeight="1">
      <c r="A250" s="131" t="s">
        <v>34</v>
      </c>
      <c r="B250" s="131">
        <v>35</v>
      </c>
      <c r="C250" s="131">
        <f>MAX(B251:B316)</f>
        <v>44</v>
      </c>
      <c r="D250" s="132"/>
      <c r="E250" s="133"/>
      <c r="F250" s="38"/>
      <c r="G250" s="38"/>
      <c r="H250" s="38"/>
    </row>
    <row r="251" spans="1:8" ht="15" customHeight="1">
      <c r="A251" s="134"/>
      <c r="B251" s="135">
        <v>1</v>
      </c>
      <c r="C251" s="135" t="s">
        <v>35</v>
      </c>
      <c r="D251" s="135" t="s">
        <v>36</v>
      </c>
      <c r="E251" s="133"/>
      <c r="F251" s="38"/>
      <c r="G251" s="38"/>
      <c r="H251" s="38"/>
    </row>
    <row r="252" spans="1:8" ht="15" customHeight="1">
      <c r="A252" s="134"/>
      <c r="B252" s="135">
        <v>2</v>
      </c>
      <c r="C252" s="135" t="s">
        <v>37</v>
      </c>
      <c r="D252" s="135" t="s">
        <v>38</v>
      </c>
      <c r="E252" s="133"/>
      <c r="F252" s="38"/>
      <c r="G252" s="38"/>
      <c r="H252" s="38"/>
    </row>
    <row r="253" spans="1:8" s="35" customFormat="1">
      <c r="A253" s="134"/>
      <c r="B253" s="135">
        <v>3</v>
      </c>
      <c r="C253" s="135" t="s">
        <v>39</v>
      </c>
      <c r="D253" s="135" t="s">
        <v>40</v>
      </c>
      <c r="E253" s="133"/>
      <c r="F253" s="38"/>
      <c r="G253" s="38"/>
      <c r="H253" s="38"/>
    </row>
    <row r="254" spans="1:8" s="35" customFormat="1">
      <c r="A254" s="134"/>
      <c r="B254" s="135">
        <v>4</v>
      </c>
      <c r="C254" s="135" t="s">
        <v>41</v>
      </c>
      <c r="D254" s="135" t="s">
        <v>42</v>
      </c>
      <c r="E254" s="133"/>
      <c r="F254" s="38"/>
      <c r="G254" s="38"/>
      <c r="H254" s="38"/>
    </row>
    <row r="255" spans="1:8" s="35" customFormat="1">
      <c r="A255" s="134"/>
      <c r="B255" s="135">
        <v>5</v>
      </c>
      <c r="C255" s="135" t="s">
        <v>43</v>
      </c>
      <c r="D255" s="135" t="s">
        <v>44</v>
      </c>
      <c r="E255" s="133"/>
      <c r="F255" s="38"/>
      <c r="G255" s="38"/>
      <c r="H255" s="38"/>
    </row>
    <row r="256" spans="1:8" s="35" customFormat="1">
      <c r="A256" s="134"/>
      <c r="B256" s="135">
        <v>6</v>
      </c>
      <c r="C256" s="135" t="s">
        <v>45</v>
      </c>
      <c r="D256" s="135" t="s">
        <v>46</v>
      </c>
      <c r="E256" s="133"/>
      <c r="F256" s="38"/>
      <c r="G256" s="38"/>
      <c r="H256" s="38"/>
    </row>
    <row r="257" spans="1:8" s="35" customFormat="1">
      <c r="A257" s="134"/>
      <c r="B257" s="135">
        <v>7</v>
      </c>
      <c r="C257" s="135" t="s">
        <v>47</v>
      </c>
      <c r="D257" s="135" t="s">
        <v>48</v>
      </c>
      <c r="E257" s="133"/>
      <c r="F257" s="38"/>
      <c r="G257" s="38"/>
      <c r="H257" s="38"/>
    </row>
    <row r="258" spans="1:8" s="35" customFormat="1">
      <c r="A258" s="134"/>
      <c r="B258" s="135">
        <v>8</v>
      </c>
      <c r="C258" s="135" t="s">
        <v>49</v>
      </c>
      <c r="D258" s="135" t="s">
        <v>50</v>
      </c>
      <c r="E258" s="133"/>
      <c r="F258" s="38"/>
      <c r="G258" s="38"/>
      <c r="H258" s="38"/>
    </row>
    <row r="259" spans="1:8" s="35" customFormat="1">
      <c r="A259" s="134"/>
      <c r="B259" s="135">
        <v>9</v>
      </c>
      <c r="C259" s="135" t="s">
        <v>51</v>
      </c>
      <c r="D259" s="135" t="s">
        <v>52</v>
      </c>
      <c r="E259" s="133"/>
      <c r="F259" s="38"/>
      <c r="G259" s="38"/>
      <c r="H259" s="38"/>
    </row>
    <row r="260" spans="1:8" s="35" customFormat="1">
      <c r="A260" s="134"/>
      <c r="B260" s="135">
        <v>10</v>
      </c>
      <c r="C260" s="135" t="s">
        <v>53</v>
      </c>
      <c r="D260" s="135" t="s">
        <v>54</v>
      </c>
      <c r="E260" s="133"/>
      <c r="F260" s="38"/>
      <c r="G260" s="38"/>
      <c r="H260" s="38"/>
    </row>
    <row r="261" spans="1:8" s="35" customFormat="1">
      <c r="A261" s="134"/>
      <c r="B261" s="135">
        <v>11</v>
      </c>
      <c r="C261" s="135" t="s">
        <v>55</v>
      </c>
      <c r="D261" s="135" t="s">
        <v>56</v>
      </c>
      <c r="E261" s="133"/>
      <c r="F261" s="38"/>
      <c r="G261" s="38"/>
      <c r="H261" s="38"/>
    </row>
    <row r="262" spans="1:8" s="35" customFormat="1">
      <c r="A262" s="134"/>
      <c r="B262" s="135">
        <v>12</v>
      </c>
      <c r="C262" s="135" t="s">
        <v>57</v>
      </c>
      <c r="D262" s="135" t="s">
        <v>58</v>
      </c>
      <c r="E262" s="133"/>
      <c r="F262" s="38"/>
      <c r="G262" s="38"/>
      <c r="H262" s="38"/>
    </row>
    <row r="263" spans="1:8" s="35" customFormat="1">
      <c r="A263" s="134"/>
      <c r="B263" s="135">
        <v>13</v>
      </c>
      <c r="C263" s="135" t="s">
        <v>59</v>
      </c>
      <c r="D263" s="135" t="s">
        <v>60</v>
      </c>
      <c r="E263" s="133"/>
      <c r="F263" s="38"/>
      <c r="G263" s="38"/>
      <c r="H263" s="38"/>
    </row>
    <row r="264" spans="1:8" s="35" customFormat="1">
      <c r="A264" s="134"/>
      <c r="B264" s="135">
        <v>14</v>
      </c>
      <c r="C264" s="135" t="s">
        <v>61</v>
      </c>
      <c r="D264" s="135" t="s">
        <v>62</v>
      </c>
      <c r="E264" s="133"/>
      <c r="F264" s="38"/>
      <c r="G264" s="38"/>
      <c r="H264" s="38"/>
    </row>
    <row r="265" spans="1:8" s="35" customFormat="1">
      <c r="A265" s="134"/>
      <c r="B265" s="135">
        <v>15</v>
      </c>
      <c r="C265" s="135" t="s">
        <v>63</v>
      </c>
      <c r="D265" s="135" t="s">
        <v>64</v>
      </c>
      <c r="E265" s="133"/>
      <c r="F265" s="38"/>
      <c r="G265" s="38"/>
      <c r="H265" s="38"/>
    </row>
    <row r="266" spans="1:8" s="35" customFormat="1">
      <c r="A266" s="134"/>
      <c r="B266" s="135">
        <v>16</v>
      </c>
      <c r="C266" s="135" t="s">
        <v>65</v>
      </c>
      <c r="D266" s="135" t="s">
        <v>66</v>
      </c>
      <c r="E266" s="133"/>
      <c r="F266" s="38"/>
      <c r="G266" s="38"/>
      <c r="H266" s="38"/>
    </row>
    <row r="267" spans="1:8" s="35" customFormat="1">
      <c r="A267" s="134"/>
      <c r="B267" s="135">
        <v>17</v>
      </c>
      <c r="C267" s="135" t="s">
        <v>67</v>
      </c>
      <c r="D267" s="135" t="s">
        <v>68</v>
      </c>
      <c r="E267" s="133"/>
      <c r="F267" s="38"/>
      <c r="G267" s="38"/>
      <c r="H267" s="38"/>
    </row>
    <row r="268" spans="1:8" s="35" customFormat="1">
      <c r="A268" s="134"/>
      <c r="B268" s="135">
        <v>18</v>
      </c>
      <c r="C268" s="135" t="s">
        <v>69</v>
      </c>
      <c r="D268" s="135" t="s">
        <v>70</v>
      </c>
      <c r="E268" s="133"/>
      <c r="F268" s="38"/>
      <c r="G268" s="38"/>
      <c r="H268" s="38"/>
    </row>
    <row r="269" spans="1:8" s="35" customFormat="1">
      <c r="A269" s="134"/>
      <c r="B269" s="135">
        <v>19</v>
      </c>
      <c r="C269" s="135" t="s">
        <v>71</v>
      </c>
      <c r="D269" s="135" t="s">
        <v>72</v>
      </c>
      <c r="E269" s="133"/>
      <c r="F269" s="38"/>
      <c r="G269" s="38"/>
      <c r="H269" s="38"/>
    </row>
    <row r="270" spans="1:8" s="35" customFormat="1">
      <c r="A270" s="134"/>
      <c r="B270" s="135">
        <v>20</v>
      </c>
      <c r="C270" s="135" t="s">
        <v>73</v>
      </c>
      <c r="D270" s="135" t="s">
        <v>74</v>
      </c>
      <c r="E270" s="133"/>
      <c r="F270" s="38"/>
      <c r="G270" s="38"/>
      <c r="H270" s="38"/>
    </row>
    <row r="271" spans="1:8" s="35" customFormat="1">
      <c r="A271" s="134"/>
      <c r="B271" s="135">
        <v>21</v>
      </c>
      <c r="C271" s="135" t="s">
        <v>75</v>
      </c>
      <c r="D271" s="135" t="s">
        <v>76</v>
      </c>
      <c r="E271" s="133"/>
      <c r="F271" s="38"/>
      <c r="G271" s="38"/>
      <c r="H271" s="38"/>
    </row>
    <row r="272" spans="1:8" s="35" customFormat="1">
      <c r="A272" s="134"/>
      <c r="B272" s="135">
        <v>22</v>
      </c>
      <c r="C272" s="135" t="s">
        <v>77</v>
      </c>
      <c r="D272" s="135" t="s">
        <v>78</v>
      </c>
      <c r="E272" s="133"/>
      <c r="F272" s="38"/>
      <c r="G272" s="38"/>
      <c r="H272" s="38"/>
    </row>
    <row r="273" spans="1:8" s="35" customFormat="1">
      <c r="A273" s="134"/>
      <c r="B273" s="135">
        <v>23</v>
      </c>
      <c r="C273" s="135" t="s">
        <v>79</v>
      </c>
      <c r="D273" s="135" t="s">
        <v>80</v>
      </c>
      <c r="E273" s="133"/>
      <c r="F273" s="38"/>
      <c r="G273" s="38"/>
      <c r="H273" s="38"/>
    </row>
    <row r="274" spans="1:8" s="35" customFormat="1">
      <c r="A274" s="134"/>
      <c r="B274" s="135">
        <v>24</v>
      </c>
      <c r="C274" s="135" t="s">
        <v>81</v>
      </c>
      <c r="D274" s="135" t="s">
        <v>82</v>
      </c>
      <c r="E274" s="133"/>
      <c r="F274" s="38"/>
      <c r="G274" s="38"/>
      <c r="H274" s="38"/>
    </row>
    <row r="275" spans="1:8" s="35" customFormat="1">
      <c r="A275" s="134"/>
      <c r="B275" s="135">
        <v>25</v>
      </c>
      <c r="C275" s="135" t="s">
        <v>83</v>
      </c>
      <c r="D275" s="135" t="s">
        <v>84</v>
      </c>
      <c r="E275" s="133"/>
      <c r="F275" s="38"/>
      <c r="G275" s="38"/>
      <c r="H275" s="38"/>
    </row>
    <row r="276" spans="1:8" s="35" customFormat="1">
      <c r="A276" s="134"/>
      <c r="B276" s="135">
        <v>26</v>
      </c>
      <c r="C276" s="135" t="s">
        <v>85</v>
      </c>
      <c r="D276" s="135" t="s">
        <v>86</v>
      </c>
      <c r="E276" s="133"/>
      <c r="F276" s="38"/>
      <c r="G276" s="38"/>
      <c r="H276" s="38"/>
    </row>
    <row r="277" spans="1:8" s="35" customFormat="1">
      <c r="A277" s="134"/>
      <c r="B277" s="135">
        <v>27</v>
      </c>
      <c r="C277" s="135" t="s">
        <v>87</v>
      </c>
      <c r="D277" s="135" t="s">
        <v>88</v>
      </c>
      <c r="E277" s="133"/>
      <c r="F277" s="38"/>
      <c r="G277" s="38"/>
      <c r="H277" s="38"/>
    </row>
    <row r="278" spans="1:8" s="35" customFormat="1">
      <c r="A278" s="134"/>
      <c r="B278" s="135">
        <v>28</v>
      </c>
      <c r="C278" s="135" t="s">
        <v>89</v>
      </c>
      <c r="D278" s="135" t="s">
        <v>90</v>
      </c>
      <c r="E278" s="133"/>
      <c r="F278" s="38"/>
      <c r="G278" s="38"/>
      <c r="H278" s="38"/>
    </row>
    <row r="279" spans="1:8" s="35" customFormat="1">
      <c r="A279" s="134"/>
      <c r="B279" s="135">
        <v>29</v>
      </c>
      <c r="C279" s="135" t="s">
        <v>91</v>
      </c>
      <c r="D279" s="135" t="s">
        <v>92</v>
      </c>
      <c r="E279" s="133"/>
      <c r="F279" s="38"/>
      <c r="G279" s="38"/>
      <c r="H279" s="38"/>
    </row>
    <row r="280" spans="1:8" s="35" customFormat="1">
      <c r="A280" s="134"/>
      <c r="B280" s="135">
        <v>30</v>
      </c>
      <c r="C280" s="135" t="s">
        <v>93</v>
      </c>
      <c r="D280" s="135" t="s">
        <v>94</v>
      </c>
      <c r="E280" s="133"/>
      <c r="F280" s="38"/>
      <c r="G280" s="38"/>
      <c r="H280" s="38"/>
    </row>
    <row r="281" spans="1:8" s="35" customFormat="1">
      <c r="A281" s="134"/>
      <c r="B281" s="135">
        <v>31</v>
      </c>
      <c r="C281" s="135" t="s">
        <v>95</v>
      </c>
      <c r="D281" s="135" t="s">
        <v>96</v>
      </c>
      <c r="E281" s="133"/>
      <c r="F281" s="38"/>
      <c r="G281" s="38"/>
      <c r="H281" s="38"/>
    </row>
    <row r="282" spans="1:8" s="35" customFormat="1">
      <c r="A282" s="134"/>
      <c r="B282" s="135">
        <v>32</v>
      </c>
      <c r="C282" s="135" t="s">
        <v>97</v>
      </c>
      <c r="D282" s="135" t="s">
        <v>98</v>
      </c>
      <c r="E282" s="133"/>
      <c r="F282" s="38"/>
      <c r="G282" s="38"/>
      <c r="H282" s="38"/>
    </row>
    <row r="283" spans="1:8" s="35" customFormat="1">
      <c r="A283" s="134"/>
      <c r="B283" s="135">
        <v>33</v>
      </c>
      <c r="C283" s="135" t="s">
        <v>99</v>
      </c>
      <c r="D283" s="135" t="s">
        <v>100</v>
      </c>
      <c r="E283" s="133"/>
      <c r="F283" s="38"/>
      <c r="G283" s="38"/>
      <c r="H283" s="38"/>
    </row>
    <row r="284" spans="1:8" s="35" customFormat="1">
      <c r="A284" s="134"/>
      <c r="B284" s="135">
        <v>34</v>
      </c>
      <c r="C284" s="135" t="s">
        <v>101</v>
      </c>
      <c r="D284" s="135" t="s">
        <v>102</v>
      </c>
      <c r="E284" s="133"/>
      <c r="F284" s="38"/>
      <c r="G284" s="38"/>
      <c r="H284" s="38"/>
    </row>
    <row r="285" spans="1:8" s="35" customFormat="1">
      <c r="A285" s="134"/>
      <c r="B285" s="135">
        <v>35</v>
      </c>
      <c r="C285" s="135" t="s">
        <v>103</v>
      </c>
      <c r="D285" s="135" t="s">
        <v>104</v>
      </c>
      <c r="E285" s="133"/>
      <c r="F285" s="38"/>
      <c r="G285" s="38"/>
      <c r="H285" s="38"/>
    </row>
    <row r="286" spans="1:8" s="35" customFormat="1">
      <c r="A286" s="134"/>
      <c r="B286" s="135">
        <v>36</v>
      </c>
      <c r="C286" s="135" t="s">
        <v>105</v>
      </c>
      <c r="D286" s="135" t="s">
        <v>106</v>
      </c>
      <c r="E286" s="133"/>
      <c r="F286" s="38"/>
      <c r="G286" s="38"/>
      <c r="H286" s="38"/>
    </row>
    <row r="287" spans="1:8" s="35" customFormat="1">
      <c r="A287" s="134"/>
      <c r="B287" s="135">
        <v>37</v>
      </c>
      <c r="C287" s="135" t="s">
        <v>107</v>
      </c>
      <c r="D287" s="135" t="s">
        <v>108</v>
      </c>
      <c r="E287" s="133"/>
      <c r="F287" s="38"/>
      <c r="G287" s="38"/>
      <c r="H287" s="38"/>
    </row>
    <row r="288" spans="1:8" s="35" customFormat="1">
      <c r="A288" s="134"/>
      <c r="B288" s="135">
        <v>38</v>
      </c>
      <c r="C288" s="135" t="s">
        <v>109</v>
      </c>
      <c r="D288" s="135" t="s">
        <v>110</v>
      </c>
      <c r="E288" s="133"/>
      <c r="F288" s="38"/>
      <c r="G288" s="38"/>
      <c r="H288" s="38"/>
    </row>
    <row r="289" spans="1:8" s="35" customFormat="1">
      <c r="A289" s="134"/>
      <c r="B289" s="135">
        <v>39</v>
      </c>
      <c r="C289" s="135" t="s">
        <v>111</v>
      </c>
      <c r="D289" s="135" t="s">
        <v>112</v>
      </c>
      <c r="E289" s="133"/>
      <c r="F289" s="38"/>
      <c r="G289" s="38"/>
      <c r="H289" s="38"/>
    </row>
    <row r="290" spans="1:8" s="35" customFormat="1">
      <c r="A290" s="134"/>
      <c r="B290" s="135">
        <v>40</v>
      </c>
      <c r="C290" s="135" t="s">
        <v>113</v>
      </c>
      <c r="D290" s="135" t="s">
        <v>114</v>
      </c>
      <c r="E290" s="133"/>
      <c r="F290" s="38"/>
      <c r="G290" s="38"/>
      <c r="H290" s="38"/>
    </row>
    <row r="291" spans="1:8" s="35" customFormat="1">
      <c r="A291" s="134"/>
      <c r="B291" s="135">
        <v>41</v>
      </c>
      <c r="C291" s="135" t="s">
        <v>115</v>
      </c>
      <c r="D291" s="135" t="s">
        <v>116</v>
      </c>
      <c r="E291" s="133"/>
      <c r="F291" s="38"/>
      <c r="G291" s="38"/>
      <c r="H291" s="38"/>
    </row>
    <row r="292" spans="1:8" s="35" customFormat="1">
      <c r="A292" s="134"/>
      <c r="B292" s="135">
        <v>42</v>
      </c>
      <c r="C292" s="135" t="s">
        <v>117</v>
      </c>
      <c r="D292" s="135" t="s">
        <v>118</v>
      </c>
      <c r="E292" s="133"/>
      <c r="F292" s="38"/>
      <c r="G292" s="38"/>
      <c r="H292" s="38"/>
    </row>
    <row r="293" spans="1:8" s="35" customFormat="1">
      <c r="A293" s="134"/>
      <c r="B293" s="135">
        <v>43</v>
      </c>
      <c r="C293" s="135" t="s">
        <v>119</v>
      </c>
      <c r="D293" s="135" t="s">
        <v>120</v>
      </c>
      <c r="E293" s="133"/>
      <c r="F293" s="38"/>
      <c r="G293" s="38"/>
      <c r="H293" s="38"/>
    </row>
    <row r="294" spans="1:8" s="35" customFormat="1">
      <c r="A294" s="134"/>
      <c r="B294" s="135">
        <v>44</v>
      </c>
      <c r="C294" s="135" t="s">
        <v>121</v>
      </c>
      <c r="D294" s="135" t="s">
        <v>122</v>
      </c>
      <c r="E294" s="133"/>
      <c r="F294" s="38"/>
      <c r="G294" s="38"/>
      <c r="H294" s="38"/>
    </row>
    <row r="295" spans="1:8" s="35" customFormat="1">
      <c r="A295" s="134"/>
      <c r="B295" s="135"/>
      <c r="C295" s="135"/>
      <c r="D295" s="135"/>
      <c r="E295" s="133"/>
      <c r="F295" s="38"/>
      <c r="G295" s="38"/>
      <c r="H295" s="38"/>
    </row>
    <row r="296" spans="1:8" s="35" customFormat="1">
      <c r="A296" s="134"/>
      <c r="B296" s="135"/>
      <c r="C296" s="135"/>
      <c r="D296" s="135"/>
      <c r="E296" s="133"/>
      <c r="F296" s="38"/>
      <c r="G296" s="38"/>
      <c r="H296" s="38"/>
    </row>
    <row r="297" spans="1:8" s="35" customFormat="1">
      <c r="A297" s="134"/>
      <c r="B297" s="135"/>
      <c r="C297" s="135"/>
      <c r="D297" s="135"/>
      <c r="E297" s="133"/>
      <c r="F297" s="38"/>
      <c r="G297" s="38"/>
      <c r="H297" s="38"/>
    </row>
    <row r="298" spans="1:8" s="35" customFormat="1">
      <c r="A298" s="134"/>
      <c r="B298" s="135"/>
      <c r="C298" s="135"/>
      <c r="D298" s="135"/>
      <c r="E298" s="133"/>
      <c r="F298" s="38"/>
      <c r="G298" s="38"/>
      <c r="H298" s="38"/>
    </row>
    <row r="299" spans="1:8" s="35" customFormat="1">
      <c r="A299" s="134"/>
      <c r="B299" s="135"/>
      <c r="C299" s="135"/>
      <c r="D299" s="135"/>
      <c r="E299" s="133"/>
      <c r="F299" s="38"/>
      <c r="G299" s="38"/>
      <c r="H299" s="38"/>
    </row>
    <row r="300" spans="1:8" s="35" customFormat="1">
      <c r="A300" s="134"/>
      <c r="B300" s="135"/>
      <c r="C300" s="135"/>
      <c r="D300" s="135"/>
      <c r="E300" s="133"/>
      <c r="F300" s="38"/>
      <c r="G300" s="38"/>
      <c r="H300" s="38"/>
    </row>
    <row r="301" spans="1:8" s="35" customFormat="1">
      <c r="A301" s="134"/>
      <c r="B301" s="135"/>
      <c r="C301" s="135"/>
      <c r="D301" s="135"/>
      <c r="E301" s="133"/>
      <c r="F301" s="38"/>
      <c r="G301" s="38"/>
      <c r="H301" s="38"/>
    </row>
    <row r="302" spans="1:8" s="35" customFormat="1">
      <c r="A302" s="134"/>
      <c r="B302" s="135"/>
      <c r="C302" s="135"/>
      <c r="D302" s="135"/>
      <c r="E302" s="133"/>
      <c r="F302" s="38"/>
      <c r="G302" s="38"/>
      <c r="H302" s="38"/>
    </row>
    <row r="303" spans="1:8" s="35" customFormat="1">
      <c r="A303" s="134"/>
      <c r="B303" s="135"/>
      <c r="C303" s="135"/>
      <c r="D303" s="135"/>
      <c r="E303" s="133"/>
      <c r="F303" s="38"/>
      <c r="G303" s="38"/>
      <c r="H303" s="38"/>
    </row>
    <row r="304" spans="1:8" s="35" customFormat="1">
      <c r="A304" s="134"/>
      <c r="B304" s="135"/>
      <c r="C304" s="135"/>
      <c r="D304" s="135"/>
      <c r="E304" s="133"/>
      <c r="F304" s="38"/>
      <c r="G304" s="38"/>
      <c r="H304" s="38"/>
    </row>
    <row r="305" spans="1:8" s="35" customFormat="1">
      <c r="A305" s="134"/>
      <c r="B305" s="135"/>
      <c r="C305" s="135"/>
      <c r="D305" s="135"/>
      <c r="E305" s="133"/>
      <c r="F305" s="38"/>
      <c r="G305" s="38"/>
      <c r="H305" s="38"/>
    </row>
    <row r="306" spans="1:8" s="35" customFormat="1">
      <c r="A306" s="134"/>
      <c r="B306" s="135"/>
      <c r="C306" s="135"/>
      <c r="D306" s="135"/>
      <c r="E306" s="133"/>
      <c r="F306" s="38"/>
      <c r="G306" s="38"/>
      <c r="H306" s="38"/>
    </row>
    <row r="307" spans="1:8" s="35" customFormat="1">
      <c r="A307" s="134"/>
      <c r="B307" s="135"/>
      <c r="C307" s="135"/>
      <c r="D307" s="135"/>
      <c r="E307" s="133"/>
      <c r="F307" s="38"/>
      <c r="G307" s="38"/>
      <c r="H307" s="38"/>
    </row>
    <row r="308" spans="1:8" s="35" customFormat="1">
      <c r="A308" s="134"/>
      <c r="B308" s="135"/>
      <c r="C308" s="135"/>
      <c r="D308" s="135"/>
      <c r="E308" s="133"/>
      <c r="F308" s="38"/>
      <c r="G308" s="38"/>
      <c r="H308" s="38"/>
    </row>
    <row r="309" spans="1:8" s="35" customFormat="1">
      <c r="A309" s="134"/>
      <c r="B309" s="135"/>
      <c r="C309" s="135"/>
      <c r="D309" s="135"/>
      <c r="E309" s="133"/>
      <c r="F309" s="38"/>
      <c r="G309" s="38"/>
      <c r="H309" s="38"/>
    </row>
    <row r="310" spans="1:8" s="35" customFormat="1">
      <c r="A310" s="134"/>
      <c r="B310" s="135"/>
      <c r="C310" s="135"/>
      <c r="D310" s="135"/>
      <c r="E310" s="133"/>
      <c r="F310" s="38"/>
      <c r="G310" s="38"/>
      <c r="H310" s="38"/>
    </row>
    <row r="311" spans="1:8" s="35" customFormat="1">
      <c r="A311" s="134"/>
      <c r="B311" s="135"/>
      <c r="C311" s="135"/>
      <c r="D311" s="135"/>
      <c r="E311" s="133"/>
      <c r="F311" s="38"/>
      <c r="G311" s="38"/>
      <c r="H311" s="38"/>
    </row>
    <row r="312" spans="1:8" s="35" customFormat="1">
      <c r="A312" s="134"/>
      <c r="B312" s="135"/>
      <c r="C312" s="135"/>
      <c r="D312" s="135"/>
      <c r="E312" s="133"/>
      <c r="F312" s="38"/>
      <c r="G312" s="38"/>
      <c r="H312" s="38"/>
    </row>
    <row r="313" spans="1:8" s="35" customFormat="1">
      <c r="A313" s="134"/>
      <c r="B313" s="135"/>
      <c r="C313" s="135"/>
      <c r="D313" s="135"/>
      <c r="E313" s="133"/>
      <c r="F313" s="38"/>
      <c r="G313" s="38"/>
      <c r="H313" s="38"/>
    </row>
    <row r="314" spans="1:8" s="35" customFormat="1">
      <c r="A314" s="134"/>
      <c r="B314" s="135"/>
      <c r="C314" s="135"/>
      <c r="D314" s="135"/>
      <c r="E314" s="133"/>
      <c r="F314" s="38"/>
      <c r="G314" s="38"/>
      <c r="H314" s="38"/>
    </row>
    <row r="315" spans="1:8" s="35" customFormat="1">
      <c r="A315" s="134"/>
      <c r="B315" s="135"/>
      <c r="C315" s="135"/>
      <c r="D315" s="135"/>
      <c r="E315" s="133"/>
      <c r="F315" s="38"/>
      <c r="G315" s="38"/>
      <c r="H315" s="38"/>
    </row>
    <row r="316" spans="1:8" s="35" customFormat="1">
      <c r="A316" s="134"/>
      <c r="B316" s="135">
        <v>0</v>
      </c>
      <c r="C316" s="135" t="s">
        <v>123</v>
      </c>
      <c r="D316" s="136">
        <v>0</v>
      </c>
      <c r="E316" s="133"/>
      <c r="F316" s="38"/>
      <c r="G316" s="38"/>
      <c r="H316" s="38"/>
    </row>
    <row r="317" spans="1:8" s="35" customFormat="1" ht="14.25">
      <c r="A317" s="133"/>
      <c r="B317" s="133"/>
      <c r="C317" s="133"/>
      <c r="D317" s="133"/>
      <c r="E317" s="133"/>
      <c r="F317" s="38"/>
      <c r="G317" s="38"/>
      <c r="H317" s="38"/>
    </row>
    <row r="318" spans="1:8" s="35" customFormat="1" ht="14.25">
      <c r="A318" s="133"/>
      <c r="B318" s="133"/>
      <c r="C318" s="133"/>
      <c r="D318" s="133"/>
      <c r="E318" s="133"/>
      <c r="F318" s="38"/>
      <c r="G318" s="38"/>
      <c r="H318" s="38"/>
    </row>
    <row r="319" spans="1:8" s="35" customFormat="1" ht="14.25">
      <c r="A319" s="133"/>
      <c r="B319" s="137" t="s">
        <v>124</v>
      </c>
      <c r="C319" s="137">
        <v>2023</v>
      </c>
      <c r="D319" s="137" t="s">
        <v>125</v>
      </c>
      <c r="E319" s="133"/>
      <c r="F319" s="38"/>
      <c r="G319" s="38"/>
      <c r="H319" s="38"/>
    </row>
    <row r="320" spans="1:8" s="35" customFormat="1" ht="14.25">
      <c r="A320" s="133"/>
      <c r="B320" s="137" t="s">
        <v>0</v>
      </c>
      <c r="C320" s="137">
        <v>2024</v>
      </c>
      <c r="D320" s="137" t="s">
        <v>126</v>
      </c>
      <c r="E320" s="133"/>
      <c r="F320" s="38"/>
      <c r="G320" s="38"/>
      <c r="H320" s="38"/>
    </row>
    <row r="321" spans="1:8" s="35" customFormat="1" ht="15" customHeight="1">
      <c r="A321" s="133"/>
      <c r="B321" s="137" t="s">
        <v>127</v>
      </c>
      <c r="C321" s="137">
        <v>2025</v>
      </c>
      <c r="D321" s="137" t="s">
        <v>128</v>
      </c>
      <c r="E321" s="133"/>
      <c r="F321" s="38"/>
      <c r="G321" s="38"/>
      <c r="H321" s="38"/>
    </row>
    <row r="322" spans="1:8" s="35" customFormat="1" ht="15" customHeight="1">
      <c r="A322" s="133"/>
      <c r="B322" s="137" t="s">
        <v>129</v>
      </c>
      <c r="C322" s="137">
        <v>2026</v>
      </c>
      <c r="D322" s="137" t="s">
        <v>130</v>
      </c>
      <c r="E322" s="133"/>
      <c r="F322" s="38"/>
      <c r="G322" s="38"/>
      <c r="H322" s="38"/>
    </row>
    <row r="323" spans="1:8" s="35" customFormat="1" ht="15" customHeight="1">
      <c r="A323" s="133"/>
      <c r="B323" s="137" t="s">
        <v>131</v>
      </c>
      <c r="C323" s="137">
        <v>2027</v>
      </c>
      <c r="D323" s="137" t="s">
        <v>132</v>
      </c>
      <c r="E323" s="133"/>
      <c r="F323" s="38"/>
      <c r="G323" s="38"/>
      <c r="H323" s="38"/>
    </row>
    <row r="324" spans="1:8" s="35" customFormat="1" ht="15" customHeight="1">
      <c r="A324" s="133"/>
      <c r="B324" s="137" t="s">
        <v>133</v>
      </c>
      <c r="C324" s="137">
        <v>2028</v>
      </c>
      <c r="D324" s="137" t="s">
        <v>134</v>
      </c>
      <c r="E324" s="133"/>
      <c r="F324" s="38"/>
      <c r="G324" s="38"/>
      <c r="H324" s="38"/>
    </row>
    <row r="325" spans="1:8" s="35" customFormat="1" ht="15" customHeight="1">
      <c r="A325" s="89"/>
      <c r="B325" s="89"/>
      <c r="C325" s="89"/>
      <c r="D325" s="137" t="s">
        <v>135</v>
      </c>
      <c r="E325" s="89"/>
      <c r="F325" s="38"/>
      <c r="G325" s="38"/>
      <c r="H325" s="38"/>
    </row>
    <row r="326" spans="1:8" s="35" customFormat="1" ht="15" customHeight="1">
      <c r="A326" s="89"/>
      <c r="B326" s="89"/>
      <c r="C326" s="89"/>
      <c r="D326" s="89"/>
      <c r="E326" s="89"/>
      <c r="F326" s="38"/>
      <c r="G326" s="38"/>
      <c r="H326" s="38"/>
    </row>
    <row r="327" spans="1:8" s="35" customFormat="1" ht="15" customHeight="1">
      <c r="A327" s="89"/>
      <c r="B327" s="89"/>
      <c r="C327" s="89"/>
      <c r="D327" s="89"/>
      <c r="E327" s="89"/>
      <c r="F327" s="38"/>
      <c r="G327" s="38"/>
      <c r="H327" s="38"/>
    </row>
    <row r="328" spans="1:8" s="35" customFormat="1" ht="15" customHeight="1">
      <c r="A328" s="89"/>
      <c r="B328" s="89"/>
      <c r="C328" s="89"/>
      <c r="D328" s="89"/>
      <c r="E328" s="89"/>
      <c r="F328" s="38"/>
      <c r="G328" s="38"/>
      <c r="H328" s="38"/>
    </row>
    <row r="329" spans="1:8" s="35" customFormat="1" ht="15" customHeight="1">
      <c r="A329" s="89"/>
      <c r="B329" s="89"/>
      <c r="C329" s="89"/>
      <c r="D329" s="89"/>
      <c r="E329" s="89"/>
      <c r="F329" s="38"/>
      <c r="G329" s="38"/>
      <c r="H329" s="38"/>
    </row>
    <row r="330" spans="1:8" s="35" customFormat="1" ht="15" customHeight="1">
      <c r="A330" s="89"/>
      <c r="B330" s="89"/>
      <c r="C330" s="89"/>
      <c r="D330" s="89"/>
      <c r="E330" s="89"/>
    </row>
    <row r="331" spans="1:8" s="35" customFormat="1" ht="15" customHeight="1">
      <c r="A331" s="133"/>
      <c r="B331" s="133"/>
      <c r="C331" s="133"/>
      <c r="D331" s="133"/>
      <c r="E331" s="133"/>
    </row>
    <row r="332" spans="1:8" s="35" customFormat="1" ht="15" customHeight="1">
      <c r="A332" s="133"/>
      <c r="B332" s="133"/>
      <c r="C332" s="133"/>
      <c r="D332" s="133"/>
      <c r="E332" s="133"/>
    </row>
    <row r="333" spans="1:8" s="35" customFormat="1" ht="15" customHeight="1">
      <c r="A333" s="133"/>
      <c r="B333" s="133"/>
      <c r="C333" s="133"/>
      <c r="D333" s="133"/>
      <c r="E333" s="133"/>
    </row>
    <row r="334" spans="1:8" s="35" customFormat="1" ht="15" customHeight="1">
      <c r="A334" s="133"/>
      <c r="B334" s="133"/>
      <c r="C334" s="133"/>
      <c r="D334" s="133"/>
      <c r="E334" s="133"/>
    </row>
    <row r="335" spans="1:8" s="35" customFormat="1" ht="15" customHeight="1">
      <c r="A335" s="133"/>
      <c r="B335" s="133"/>
      <c r="C335" s="133"/>
      <c r="D335" s="133"/>
      <c r="E335" s="133"/>
    </row>
    <row r="336" spans="1:8" s="35" customFormat="1" ht="15" customHeight="1">
      <c r="A336" s="133"/>
      <c r="B336" s="133"/>
      <c r="C336" s="133"/>
      <c r="D336" s="133"/>
      <c r="E336" s="133"/>
    </row>
    <row r="337" spans="1:5" s="35" customFormat="1" ht="15" customHeight="1">
      <c r="A337" s="133"/>
      <c r="B337" s="133"/>
      <c r="C337" s="133"/>
      <c r="D337" s="133"/>
      <c r="E337" s="133"/>
    </row>
    <row r="338" spans="1:5" s="35" customFormat="1" ht="15" customHeight="1">
      <c r="A338" s="133"/>
      <c r="B338" s="133"/>
      <c r="C338" s="133"/>
      <c r="D338" s="133"/>
      <c r="E338" s="133"/>
    </row>
    <row r="339" spans="1:5" s="35" customFormat="1" ht="15" customHeight="1">
      <c r="A339" s="133"/>
      <c r="B339" s="133"/>
      <c r="C339" s="133"/>
      <c r="D339" s="133"/>
      <c r="E339" s="133"/>
    </row>
    <row r="340" spans="1:5" s="35" customFormat="1" ht="15" customHeight="1">
      <c r="A340" s="133"/>
      <c r="B340" s="133"/>
      <c r="C340" s="133"/>
      <c r="D340" s="133"/>
      <c r="E340" s="133"/>
    </row>
    <row r="341" spans="1:5" s="35" customFormat="1" ht="15" customHeight="1">
      <c r="A341" s="133"/>
      <c r="B341" s="133"/>
      <c r="C341" s="133"/>
      <c r="D341" s="133"/>
      <c r="E341" s="133"/>
    </row>
    <row r="342" spans="1:5" s="35" customFormat="1" ht="15" customHeight="1">
      <c r="A342" s="133"/>
      <c r="B342" s="133"/>
      <c r="C342" s="133"/>
      <c r="D342" s="133"/>
      <c r="E342" s="133"/>
    </row>
    <row r="343" spans="1:5" s="35" customFormat="1" ht="15" customHeight="1">
      <c r="A343" s="133"/>
      <c r="B343" s="133"/>
      <c r="C343" s="133"/>
      <c r="D343" s="133"/>
      <c r="E343" s="133"/>
    </row>
    <row r="344" spans="1:5" s="35" customFormat="1" ht="15" customHeight="1">
      <c r="A344" s="133"/>
      <c r="B344" s="133"/>
      <c r="C344" s="133"/>
      <c r="D344" s="133"/>
      <c r="E344" s="133"/>
    </row>
    <row r="345" spans="1:5" s="35" customFormat="1" ht="15" customHeight="1">
      <c r="A345" s="133"/>
      <c r="B345" s="133"/>
      <c r="C345" s="133"/>
      <c r="D345" s="133"/>
      <c r="E345" s="133"/>
    </row>
    <row r="346" spans="1:5" s="35" customFormat="1" ht="15" customHeight="1">
      <c r="A346" s="133"/>
      <c r="B346" s="133"/>
      <c r="C346" s="133"/>
      <c r="D346" s="133"/>
      <c r="E346" s="133"/>
    </row>
    <row r="347" spans="1:5" s="35" customFormat="1" ht="15" customHeight="1">
      <c r="A347" s="133"/>
      <c r="B347" s="133"/>
      <c r="C347" s="133"/>
      <c r="D347" s="133"/>
      <c r="E347" s="133"/>
    </row>
    <row r="348" spans="1:5" s="35" customFormat="1" ht="15" customHeight="1">
      <c r="A348" s="133"/>
      <c r="B348" s="133"/>
      <c r="C348" s="133"/>
      <c r="D348" s="133"/>
      <c r="E348" s="133"/>
    </row>
    <row r="349" spans="1:5" s="35" customFormat="1" ht="15" customHeight="1">
      <c r="A349" s="133"/>
      <c r="B349" s="133"/>
      <c r="C349" s="133"/>
      <c r="D349" s="133"/>
      <c r="E349" s="133"/>
    </row>
    <row r="350" spans="1:5" s="35" customFormat="1" ht="15" customHeight="1">
      <c r="A350" s="133"/>
      <c r="B350" s="133"/>
      <c r="C350" s="133"/>
      <c r="D350" s="133"/>
      <c r="E350" s="133"/>
    </row>
    <row r="351" spans="1:5" s="35" customFormat="1" ht="15" customHeight="1">
      <c r="A351" s="133"/>
      <c r="B351" s="133"/>
      <c r="C351" s="133"/>
      <c r="D351" s="133"/>
      <c r="E351" s="133"/>
    </row>
    <row r="352" spans="1:5" s="35" customFormat="1" ht="15" customHeight="1">
      <c r="A352" s="133"/>
      <c r="B352" s="133"/>
      <c r="C352" s="133"/>
      <c r="D352" s="133"/>
      <c r="E352" s="133"/>
    </row>
    <row r="353" spans="1:5" s="35" customFormat="1" ht="15" customHeight="1">
      <c r="A353" s="133"/>
      <c r="B353" s="133"/>
      <c r="C353" s="133"/>
      <c r="D353" s="133"/>
      <c r="E353" s="133"/>
    </row>
    <row r="354" spans="1:5" s="35" customFormat="1" ht="15" customHeight="1">
      <c r="A354" s="133"/>
      <c r="B354" s="133"/>
      <c r="C354" s="133"/>
      <c r="D354" s="133"/>
      <c r="E354" s="133"/>
    </row>
    <row r="355" spans="1:5" s="35" customFormat="1" ht="15" customHeight="1">
      <c r="A355" s="133"/>
      <c r="B355" s="133"/>
      <c r="C355" s="133"/>
      <c r="D355" s="133"/>
      <c r="E355" s="133"/>
    </row>
    <row r="356" spans="1:5" s="35" customFormat="1" ht="15" customHeight="1">
      <c r="A356" s="133"/>
      <c r="B356" s="133"/>
      <c r="C356" s="133"/>
      <c r="D356" s="133"/>
      <c r="E356" s="133"/>
    </row>
    <row r="357" spans="1:5" s="35" customFormat="1" ht="15" customHeight="1">
      <c r="A357" s="133"/>
      <c r="B357" s="133"/>
      <c r="C357" s="133"/>
      <c r="D357" s="133"/>
      <c r="E357" s="133"/>
    </row>
    <row r="358" spans="1:5" s="35" customFormat="1" ht="15" customHeight="1">
      <c r="A358" s="133"/>
      <c r="B358" s="133"/>
      <c r="C358" s="133"/>
      <c r="D358" s="133"/>
      <c r="E358" s="133"/>
    </row>
    <row r="359" spans="1:5" s="35" customFormat="1" ht="15" customHeight="1">
      <c r="A359" s="133"/>
      <c r="B359" s="133"/>
      <c r="C359" s="133"/>
      <c r="D359" s="133"/>
      <c r="E359" s="133"/>
    </row>
    <row r="360" spans="1:5" s="35" customFormat="1" ht="15" customHeight="1">
      <c r="A360" s="133"/>
      <c r="B360" s="133"/>
      <c r="C360" s="133"/>
      <c r="D360" s="133"/>
      <c r="E360" s="133"/>
    </row>
    <row r="361" spans="1:5" s="35" customFormat="1" ht="15" customHeight="1">
      <c r="A361" s="133"/>
      <c r="B361" s="133"/>
      <c r="C361" s="133"/>
      <c r="D361" s="133"/>
      <c r="E361" s="133"/>
    </row>
    <row r="362" spans="1:5" s="35" customFormat="1" ht="15" customHeight="1">
      <c r="A362" s="133"/>
      <c r="B362" s="133"/>
      <c r="C362" s="133"/>
      <c r="D362" s="133"/>
      <c r="E362" s="133"/>
    </row>
    <row r="363" spans="1:5" s="35" customFormat="1" ht="15" customHeight="1">
      <c r="A363" s="133"/>
      <c r="B363" s="133"/>
      <c r="C363" s="133"/>
      <c r="D363" s="133"/>
      <c r="E363" s="133"/>
    </row>
    <row r="364" spans="1:5" s="35" customFormat="1" ht="15" customHeight="1">
      <c r="A364" s="133"/>
      <c r="B364" s="133"/>
      <c r="C364" s="133"/>
      <c r="D364" s="133"/>
      <c r="E364" s="133"/>
    </row>
    <row r="365" spans="1:5" s="35" customFormat="1" ht="15" customHeight="1">
      <c r="A365" s="133"/>
      <c r="B365" s="133"/>
      <c r="C365" s="133"/>
      <c r="D365" s="133"/>
      <c r="E365" s="133"/>
    </row>
    <row r="366" spans="1:5" s="35" customFormat="1" ht="15" customHeight="1">
      <c r="A366" s="133"/>
      <c r="B366" s="133"/>
      <c r="C366" s="133"/>
      <c r="D366" s="133"/>
      <c r="E366" s="133"/>
    </row>
    <row r="367" spans="1:5" s="35" customFormat="1" ht="15" customHeight="1">
      <c r="A367" s="133"/>
      <c r="B367" s="133"/>
      <c r="C367" s="133"/>
      <c r="D367" s="133"/>
      <c r="E367" s="133"/>
    </row>
    <row r="368" spans="1:5" s="35" customFormat="1" ht="15" customHeight="1">
      <c r="A368" s="133"/>
      <c r="B368" s="133"/>
      <c r="C368" s="133"/>
      <c r="D368" s="133"/>
      <c r="E368" s="133"/>
    </row>
    <row r="369" spans="1:5" s="35" customFormat="1" ht="15" customHeight="1">
      <c r="A369" s="133"/>
      <c r="B369" s="133"/>
      <c r="C369" s="133"/>
      <c r="D369" s="133"/>
      <c r="E369" s="133"/>
    </row>
    <row r="370" spans="1:5" s="35" customFormat="1" ht="15" customHeight="1">
      <c r="A370" s="133"/>
      <c r="B370" s="133"/>
      <c r="C370" s="133"/>
      <c r="D370" s="133"/>
      <c r="E370" s="133"/>
    </row>
    <row r="371" spans="1:5" s="35" customFormat="1" ht="15" customHeight="1">
      <c r="A371" s="133"/>
      <c r="B371" s="133"/>
      <c r="C371" s="133"/>
      <c r="D371" s="133"/>
      <c r="E371" s="133"/>
    </row>
    <row r="372" spans="1:5" s="35" customFormat="1" ht="15" customHeight="1">
      <c r="A372" s="133"/>
      <c r="B372" s="133"/>
      <c r="C372" s="133"/>
      <c r="D372" s="133"/>
      <c r="E372" s="133"/>
    </row>
    <row r="373" spans="1:5" s="35" customFormat="1" ht="15" customHeight="1">
      <c r="A373" s="133"/>
      <c r="B373" s="133"/>
      <c r="C373" s="133"/>
      <c r="D373" s="133"/>
      <c r="E373" s="133"/>
    </row>
    <row r="374" spans="1:5" s="35" customFormat="1" ht="15" customHeight="1"/>
    <row r="375" spans="1:5" s="35" customFormat="1" ht="15" customHeight="1"/>
    <row r="376" spans="1:5" s="35" customFormat="1" ht="15" customHeight="1"/>
    <row r="377" spans="1:5" s="36" customFormat="1" ht="15" customHeight="1"/>
    <row r="378" spans="1:5" s="36" customFormat="1" ht="15" customHeight="1"/>
    <row r="379" spans="1:5" s="36" customFormat="1" ht="15" customHeight="1"/>
    <row r="380" spans="1:5" s="36" customFormat="1" ht="15" customHeight="1"/>
    <row r="381" spans="1:5" s="36" customFormat="1" ht="15" customHeight="1"/>
    <row r="382" spans="1:5" s="36" customFormat="1" ht="15" customHeight="1"/>
    <row r="383" spans="1:5" s="36" customFormat="1" ht="15" customHeight="1"/>
    <row r="384" spans="1:5" s="36" customFormat="1" ht="15" customHeight="1"/>
    <row r="385" s="36" customFormat="1" ht="15" customHeight="1"/>
    <row r="386" s="36" customFormat="1" ht="15" customHeight="1"/>
    <row r="387" s="36" customFormat="1" ht="15" customHeight="1"/>
    <row r="388" s="36" customFormat="1" ht="15" customHeight="1"/>
    <row r="389" s="36" customFormat="1" ht="15" customHeight="1"/>
    <row r="390" s="36" customFormat="1" ht="15" customHeight="1"/>
    <row r="391" s="36" customFormat="1" ht="15" customHeight="1"/>
    <row r="392" s="36" customFormat="1" ht="15" customHeight="1"/>
    <row r="393" s="36" customFormat="1" ht="15" customHeight="1"/>
    <row r="394" s="36" customFormat="1" ht="15" customHeight="1"/>
    <row r="395" s="36" customFormat="1" ht="15" customHeight="1"/>
    <row r="396" s="36" customFormat="1" ht="15" customHeight="1"/>
    <row r="397" s="36" customFormat="1" ht="15" customHeight="1"/>
  </sheetData>
  <mergeCells count="24">
    <mergeCell ref="B20:F20"/>
    <mergeCell ref="B13:F13"/>
    <mergeCell ref="A35:F35"/>
    <mergeCell ref="A36:F36"/>
    <mergeCell ref="B21:F21"/>
    <mergeCell ref="B24:F24"/>
    <mergeCell ref="B28:F28"/>
    <mergeCell ref="B33:F33"/>
    <mergeCell ref="A6:F6"/>
    <mergeCell ref="A7:F7"/>
    <mergeCell ref="A8:F8"/>
    <mergeCell ref="A10:F10"/>
    <mergeCell ref="B32:F32"/>
    <mergeCell ref="A11:F11"/>
    <mergeCell ref="B14:F14"/>
    <mergeCell ref="B25:F25"/>
    <mergeCell ref="A30:F30"/>
    <mergeCell ref="B15:F15"/>
    <mergeCell ref="B16:F16"/>
    <mergeCell ref="B22:F22"/>
    <mergeCell ref="B23:F23"/>
    <mergeCell ref="B17:F17"/>
    <mergeCell ref="B18:F18"/>
    <mergeCell ref="B19:F19"/>
  </mergeCells>
  <conditionalFormatting sqref="A28">
    <cfRule type="containsBlanks" dxfId="47" priority="1">
      <formula>LEN(TRIM(A28))=0</formula>
    </cfRule>
  </conditionalFormatting>
  <hyperlinks>
    <hyperlink ref="A14" location="'FS1'!A1" display="FS1" xr:uid="{00000000-0004-0000-0000-000000000000}"/>
    <hyperlink ref="A25" location="Guidance!A1" display="Guidance" xr:uid="{00000000-0004-0000-0000-000001000000}"/>
    <hyperlink ref="A15:A16" location="'FP1'!A1" display="FP1" xr:uid="{00000000-0004-0000-0000-000003000000}"/>
    <hyperlink ref="A17" location="FS6b!A1" display="FS6b" xr:uid="{00000000-0004-0000-0000-000004000000}"/>
    <hyperlink ref="A19" location="FS8a!A1" display="FS8a" xr:uid="{00000000-0004-0000-0000-000005000000}"/>
    <hyperlink ref="A20" location="FS8b!A1" display="FS8b" xr:uid="{00000000-0004-0000-0000-000006000000}"/>
    <hyperlink ref="A21" location="FS8c!A1" display="FS8c" xr:uid="{00000000-0004-0000-0000-000007000000}"/>
    <hyperlink ref="A15" location="'FS2'!A1" display="FS2" xr:uid="{00000000-0004-0000-0000-000008000000}"/>
    <hyperlink ref="A16" location="FS6a!A1" display="FS6a" xr:uid="{00000000-0004-0000-0000-000009000000}"/>
    <hyperlink ref="A23" location="'FS9'!A1" display="FS9" xr:uid="{00000000-0004-0000-0000-00000A000000}"/>
    <hyperlink ref="A18" location="'FS7'!A1" display="FS7" xr:uid="{00000000-0004-0000-0000-00000B000000}"/>
    <hyperlink ref="A22" location="FS8d!A1" display="FS8d" xr:uid="{00000000-0004-0000-0000-00000C000000}"/>
    <hyperlink ref="A24" location="'FS10'!A1" display="FS10" xr:uid="{00000000-0004-0000-0000-00000D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C9D47-9796-4FBB-8401-C918C365E820}">
  <sheetPr codeName="Sheet15"/>
  <dimension ref="A1:AN237"/>
  <sheetViews>
    <sheetView zoomScaleNormal="100" workbookViewId="0">
      <selection activeCell="B84" sqref="B84"/>
    </sheetView>
  </sheetViews>
  <sheetFormatPr defaultColWidth="9.140625" defaultRowHeight="12.75"/>
  <cols>
    <col min="1" max="1" width="115" style="1" customWidth="1"/>
    <col min="2" max="2" width="91.42578125" style="1" customWidth="1"/>
    <col min="3" max="3" width="15.5703125" style="1" customWidth="1"/>
    <col min="4" max="16384" width="9.140625" style="1"/>
  </cols>
  <sheetData>
    <row r="1" spans="1:40" ht="18">
      <c r="A1" s="148" t="s">
        <v>136</v>
      </c>
      <c r="B1" s="148"/>
      <c r="C1" s="148"/>
      <c r="D1" s="113"/>
      <c r="E1" s="113"/>
      <c r="F1" s="113"/>
      <c r="G1" s="113"/>
      <c r="H1" s="113"/>
      <c r="I1" s="113"/>
      <c r="J1" s="113"/>
      <c r="K1" s="113"/>
      <c r="L1" s="113"/>
      <c r="M1" s="113"/>
      <c r="N1" s="113"/>
      <c r="O1" s="113"/>
      <c r="P1" s="113"/>
      <c r="Q1" s="113"/>
      <c r="R1" s="113"/>
      <c r="S1" s="113"/>
      <c r="T1" s="113"/>
      <c r="U1" s="113"/>
      <c r="V1" s="113"/>
      <c r="W1" s="113"/>
      <c r="X1" s="113"/>
      <c r="Y1" s="113"/>
      <c r="Z1" s="113"/>
      <c r="AA1" s="113"/>
      <c r="AB1" s="113"/>
      <c r="AC1" s="113"/>
      <c r="AD1" s="113"/>
      <c r="AE1" s="113"/>
      <c r="AF1" s="113"/>
      <c r="AG1" s="113"/>
      <c r="AH1" s="113"/>
      <c r="AI1" s="113"/>
      <c r="AJ1" s="113"/>
      <c r="AK1" s="113"/>
      <c r="AL1" s="113"/>
      <c r="AM1" s="113"/>
      <c r="AN1" s="113"/>
    </row>
    <row r="2" spans="1:40" ht="15">
      <c r="A2" s="149" t="s">
        <v>137</v>
      </c>
      <c r="B2" s="149"/>
      <c r="C2" s="113"/>
      <c r="D2" s="113"/>
      <c r="E2" s="113"/>
      <c r="F2" s="113"/>
      <c r="G2" s="113"/>
      <c r="H2" s="113"/>
      <c r="I2" s="113"/>
      <c r="J2" s="113"/>
      <c r="K2" s="113"/>
      <c r="L2" s="113"/>
      <c r="M2" s="113"/>
      <c r="N2" s="113"/>
      <c r="O2" s="113"/>
      <c r="P2" s="113"/>
      <c r="Q2" s="113"/>
      <c r="R2" s="113"/>
      <c r="S2" s="113"/>
      <c r="T2" s="113"/>
      <c r="U2" s="113"/>
      <c r="V2" s="113"/>
      <c r="W2" s="113"/>
      <c r="X2" s="113"/>
      <c r="Y2" s="113"/>
      <c r="Z2" s="113"/>
      <c r="AA2" s="113"/>
      <c r="AB2" s="113"/>
      <c r="AC2" s="113"/>
      <c r="AD2" s="113"/>
      <c r="AE2" s="113"/>
      <c r="AF2" s="113"/>
      <c r="AG2" s="113"/>
      <c r="AH2" s="113"/>
      <c r="AI2" s="113"/>
      <c r="AJ2" s="113"/>
      <c r="AK2" s="113"/>
      <c r="AL2" s="113"/>
      <c r="AM2" s="113"/>
      <c r="AN2" s="113"/>
    </row>
    <row r="3" spans="1:40" ht="15">
      <c r="A3" s="149"/>
      <c r="B3" s="113"/>
      <c r="C3" s="113"/>
      <c r="D3" s="113"/>
      <c r="E3" s="113"/>
      <c r="F3" s="113"/>
      <c r="G3" s="113"/>
      <c r="H3" s="113"/>
      <c r="I3" s="113"/>
      <c r="J3" s="113"/>
      <c r="K3" s="113"/>
      <c r="L3" s="113"/>
      <c r="M3" s="113"/>
      <c r="N3" s="113"/>
      <c r="O3" s="113"/>
      <c r="P3" s="113"/>
      <c r="Q3" s="113"/>
      <c r="R3" s="113"/>
      <c r="S3" s="113"/>
      <c r="T3" s="113"/>
      <c r="U3" s="113"/>
      <c r="V3" s="113"/>
      <c r="W3" s="113"/>
      <c r="X3" s="113"/>
      <c r="Y3" s="113"/>
      <c r="Z3" s="113"/>
      <c r="AA3" s="113"/>
      <c r="AB3" s="113"/>
      <c r="AC3" s="113"/>
      <c r="AD3" s="113"/>
      <c r="AE3" s="113"/>
      <c r="AF3" s="113"/>
      <c r="AG3" s="113"/>
      <c r="AH3" s="113"/>
      <c r="AI3" s="113"/>
      <c r="AJ3" s="113"/>
      <c r="AK3" s="113"/>
      <c r="AL3" s="113"/>
      <c r="AM3" s="113"/>
      <c r="AN3" s="113"/>
    </row>
    <row r="4" spans="1:40" ht="15.75">
      <c r="A4" s="150" t="s">
        <v>138</v>
      </c>
      <c r="B4" s="150"/>
      <c r="C4" s="150"/>
      <c r="D4" s="113"/>
      <c r="E4" s="113"/>
      <c r="F4" s="113"/>
      <c r="G4" s="113"/>
      <c r="H4" s="113"/>
      <c r="I4" s="113"/>
      <c r="J4" s="113"/>
      <c r="K4" s="113"/>
      <c r="L4" s="113"/>
      <c r="M4" s="113"/>
      <c r="N4" s="113"/>
      <c r="O4" s="113"/>
      <c r="P4" s="113"/>
      <c r="Q4" s="113"/>
      <c r="R4" s="113"/>
      <c r="S4" s="113"/>
      <c r="T4" s="113"/>
      <c r="U4" s="113"/>
      <c r="V4" s="113"/>
      <c r="W4" s="113"/>
      <c r="X4" s="113"/>
      <c r="Y4" s="113"/>
      <c r="Z4" s="113"/>
      <c r="AA4" s="113"/>
      <c r="AB4" s="113"/>
      <c r="AC4" s="113"/>
      <c r="AD4" s="113"/>
      <c r="AE4" s="113"/>
      <c r="AF4" s="113"/>
      <c r="AG4" s="113"/>
      <c r="AH4" s="113"/>
      <c r="AI4" s="113"/>
      <c r="AJ4" s="113"/>
      <c r="AK4" s="113"/>
      <c r="AL4" s="113"/>
      <c r="AM4" s="113"/>
      <c r="AN4" s="113"/>
    </row>
    <row r="5" spans="1:40" ht="15">
      <c r="A5" s="149"/>
      <c r="B5" s="113"/>
      <c r="C5" s="113"/>
      <c r="D5" s="113"/>
      <c r="E5" s="113"/>
      <c r="F5" s="113"/>
      <c r="G5" s="113"/>
      <c r="H5" s="113"/>
      <c r="I5" s="113"/>
      <c r="J5" s="113"/>
      <c r="K5" s="113"/>
      <c r="L5" s="113"/>
      <c r="M5" s="113"/>
      <c r="N5" s="113"/>
      <c r="O5" s="113"/>
      <c r="P5" s="113"/>
      <c r="Q5" s="113"/>
      <c r="R5" s="113"/>
      <c r="S5" s="113"/>
      <c r="T5" s="113"/>
      <c r="U5" s="113"/>
      <c r="V5" s="113"/>
      <c r="W5" s="113"/>
      <c r="X5" s="113"/>
      <c r="Y5" s="113"/>
      <c r="Z5" s="113"/>
      <c r="AA5" s="113"/>
      <c r="AB5" s="113"/>
      <c r="AC5" s="113"/>
      <c r="AD5" s="113"/>
      <c r="AE5" s="113"/>
      <c r="AF5" s="113"/>
      <c r="AG5" s="113"/>
      <c r="AH5" s="113"/>
      <c r="AI5" s="113"/>
      <c r="AJ5" s="113"/>
      <c r="AK5" s="113"/>
      <c r="AL5" s="113"/>
      <c r="AM5" s="113"/>
      <c r="AN5" s="113"/>
    </row>
    <row r="6" spans="1:40" ht="15.75">
      <c r="A6" s="150" t="s">
        <v>139</v>
      </c>
      <c r="B6" s="150"/>
      <c r="C6" s="150"/>
      <c r="D6" s="113"/>
      <c r="E6" s="113"/>
      <c r="F6" s="113"/>
      <c r="G6" s="113"/>
      <c r="H6" s="113"/>
      <c r="I6" s="113"/>
      <c r="J6" s="113"/>
      <c r="K6" s="113"/>
      <c r="L6" s="113"/>
      <c r="M6" s="113"/>
      <c r="N6" s="113"/>
      <c r="O6" s="113"/>
      <c r="P6" s="113"/>
      <c r="Q6" s="113"/>
      <c r="R6" s="113"/>
      <c r="S6" s="113"/>
      <c r="T6" s="113"/>
      <c r="U6" s="113"/>
      <c r="V6" s="113"/>
      <c r="W6" s="113"/>
      <c r="X6" s="113"/>
      <c r="Y6" s="113"/>
      <c r="Z6" s="113"/>
      <c r="AA6" s="113"/>
      <c r="AB6" s="113"/>
      <c r="AC6" s="113"/>
      <c r="AD6" s="113"/>
      <c r="AE6" s="113"/>
      <c r="AF6" s="113"/>
      <c r="AG6" s="113"/>
      <c r="AH6" s="113"/>
      <c r="AI6" s="113"/>
      <c r="AJ6" s="113"/>
      <c r="AK6" s="113"/>
      <c r="AL6" s="113"/>
      <c r="AM6" s="113"/>
      <c r="AN6" s="113"/>
    </row>
    <row r="7" spans="1:40" ht="15">
      <c r="A7" s="150" t="s">
        <v>140</v>
      </c>
      <c r="B7" s="150"/>
      <c r="C7" s="113"/>
      <c r="D7" s="113"/>
      <c r="E7" s="113"/>
      <c r="F7" s="113"/>
      <c r="G7" s="113"/>
      <c r="H7" s="113"/>
      <c r="I7" s="113"/>
      <c r="J7" s="113"/>
      <c r="K7" s="113"/>
      <c r="L7" s="113"/>
      <c r="M7" s="113"/>
      <c r="N7" s="113"/>
      <c r="O7" s="113"/>
      <c r="P7" s="113"/>
      <c r="Q7" s="113"/>
      <c r="R7" s="113"/>
      <c r="S7" s="113"/>
      <c r="T7" s="113"/>
      <c r="U7" s="113"/>
      <c r="V7" s="113"/>
      <c r="W7" s="113"/>
      <c r="X7" s="113"/>
      <c r="Y7" s="113"/>
      <c r="Z7" s="113"/>
      <c r="AA7" s="113"/>
      <c r="AB7" s="113"/>
      <c r="AC7" s="113"/>
      <c r="AD7" s="113"/>
      <c r="AE7" s="113"/>
      <c r="AF7" s="113"/>
      <c r="AG7" s="113"/>
      <c r="AH7" s="113"/>
      <c r="AI7" s="113"/>
      <c r="AJ7" s="113"/>
      <c r="AK7" s="113"/>
      <c r="AL7" s="113"/>
      <c r="AM7" s="113"/>
      <c r="AN7" s="113"/>
    </row>
    <row r="8" spans="1:40" ht="15">
      <c r="A8" s="150" t="s">
        <v>141</v>
      </c>
      <c r="B8" s="150"/>
      <c r="C8" s="113"/>
      <c r="D8" s="113"/>
      <c r="E8" s="113"/>
      <c r="F8" s="113"/>
      <c r="G8" s="113"/>
      <c r="H8" s="113"/>
      <c r="I8" s="113"/>
      <c r="J8" s="113"/>
      <c r="K8" s="113"/>
      <c r="L8" s="113"/>
      <c r="M8" s="113"/>
      <c r="N8" s="113"/>
      <c r="O8" s="113"/>
      <c r="P8" s="113"/>
      <c r="Q8" s="113"/>
      <c r="R8" s="113"/>
      <c r="S8" s="113"/>
      <c r="T8" s="113"/>
      <c r="U8" s="113"/>
      <c r="V8" s="113"/>
      <c r="W8" s="113"/>
      <c r="X8" s="113"/>
      <c r="Y8" s="113"/>
      <c r="Z8" s="113"/>
      <c r="AA8" s="113"/>
      <c r="AB8" s="113"/>
      <c r="AC8" s="113"/>
      <c r="AD8" s="113"/>
      <c r="AE8" s="113"/>
      <c r="AF8" s="113"/>
      <c r="AG8" s="113"/>
      <c r="AH8" s="113"/>
      <c r="AI8" s="113"/>
      <c r="AJ8" s="113"/>
      <c r="AK8" s="113"/>
      <c r="AL8" s="113"/>
      <c r="AM8" s="113"/>
      <c r="AN8" s="113"/>
    </row>
    <row r="9" spans="1:40" ht="15">
      <c r="A9" s="150" t="s">
        <v>142</v>
      </c>
      <c r="B9" s="150"/>
      <c r="C9" s="113"/>
      <c r="D9" s="113"/>
      <c r="E9" s="113"/>
      <c r="F9" s="113"/>
      <c r="G9" s="113"/>
      <c r="H9" s="113"/>
      <c r="I9" s="113"/>
      <c r="J9" s="113"/>
      <c r="K9" s="113"/>
      <c r="L9" s="113"/>
      <c r="M9" s="113"/>
      <c r="N9" s="113"/>
      <c r="O9" s="113"/>
      <c r="P9" s="113"/>
      <c r="Q9" s="113"/>
      <c r="R9" s="113"/>
      <c r="S9" s="113"/>
      <c r="T9" s="113"/>
      <c r="U9" s="113"/>
      <c r="V9" s="113"/>
      <c r="W9" s="113"/>
      <c r="X9" s="113"/>
      <c r="Y9" s="113"/>
      <c r="Z9" s="113"/>
      <c r="AA9" s="113"/>
      <c r="AB9" s="113"/>
      <c r="AC9" s="113"/>
      <c r="AD9" s="113"/>
      <c r="AE9" s="113"/>
      <c r="AF9" s="113"/>
      <c r="AG9" s="113"/>
      <c r="AH9" s="113"/>
      <c r="AI9" s="113"/>
      <c r="AJ9" s="113"/>
      <c r="AK9" s="113"/>
      <c r="AL9" s="113"/>
      <c r="AM9" s="113"/>
      <c r="AN9" s="113"/>
    </row>
    <row r="10" spans="1:40" ht="15">
      <c r="A10" s="150" t="s">
        <v>143</v>
      </c>
      <c r="B10" s="150"/>
      <c r="C10" s="113"/>
      <c r="D10" s="113"/>
      <c r="E10" s="113"/>
      <c r="F10" s="113"/>
      <c r="G10" s="113"/>
      <c r="H10" s="113"/>
      <c r="I10" s="113"/>
      <c r="J10" s="113"/>
      <c r="K10" s="113"/>
      <c r="L10" s="113"/>
      <c r="M10" s="113"/>
      <c r="N10" s="113"/>
      <c r="O10" s="113"/>
      <c r="P10" s="113"/>
      <c r="Q10" s="113"/>
      <c r="R10" s="113"/>
      <c r="S10" s="113"/>
      <c r="T10" s="113"/>
      <c r="U10" s="113"/>
      <c r="V10" s="113"/>
      <c r="W10" s="113"/>
      <c r="X10" s="113"/>
      <c r="Y10" s="113"/>
      <c r="Z10" s="113"/>
      <c r="AA10" s="113"/>
      <c r="AB10" s="113"/>
      <c r="AC10" s="113"/>
      <c r="AD10" s="113"/>
      <c r="AE10" s="113"/>
      <c r="AF10" s="113"/>
      <c r="AG10" s="113"/>
      <c r="AH10" s="113"/>
      <c r="AI10" s="113"/>
      <c r="AJ10" s="113"/>
      <c r="AK10" s="113"/>
      <c r="AL10" s="113"/>
      <c r="AM10" s="113"/>
      <c r="AN10" s="113"/>
    </row>
    <row r="11" spans="1:40" ht="15.75">
      <c r="A11" s="150" t="s">
        <v>144</v>
      </c>
      <c r="B11" s="150"/>
      <c r="C11" s="150"/>
      <c r="D11" s="113"/>
      <c r="E11" s="113"/>
      <c r="F11" s="113"/>
      <c r="G11" s="113"/>
      <c r="H11" s="113"/>
      <c r="I11" s="113"/>
      <c r="J11" s="113"/>
      <c r="K11" s="113"/>
      <c r="L11" s="113"/>
      <c r="M11" s="113"/>
      <c r="N11" s="113"/>
      <c r="O11" s="113"/>
      <c r="P11" s="113"/>
      <c r="Q11" s="113"/>
      <c r="R11" s="113"/>
      <c r="S11" s="113"/>
      <c r="T11" s="113"/>
      <c r="U11" s="113"/>
      <c r="V11" s="113"/>
      <c r="W11" s="113"/>
      <c r="X11" s="113"/>
      <c r="Y11" s="113"/>
      <c r="Z11" s="113"/>
      <c r="AA11" s="113"/>
      <c r="AB11" s="113"/>
      <c r="AC11" s="113"/>
      <c r="AD11" s="113"/>
      <c r="AE11" s="113"/>
      <c r="AF11" s="113"/>
      <c r="AG11" s="113"/>
      <c r="AH11" s="113"/>
      <c r="AI11" s="113"/>
      <c r="AJ11" s="113"/>
      <c r="AK11" s="113"/>
      <c r="AL11" s="113"/>
      <c r="AM11" s="113"/>
      <c r="AN11" s="113"/>
    </row>
    <row r="12" spans="1:40" ht="15">
      <c r="A12" s="149"/>
      <c r="B12" s="113"/>
      <c r="C12" s="113"/>
      <c r="D12" s="113"/>
      <c r="E12" s="113"/>
      <c r="F12" s="113"/>
      <c r="G12" s="113"/>
      <c r="H12" s="113"/>
      <c r="I12" s="113"/>
      <c r="J12" s="113"/>
      <c r="K12" s="113"/>
      <c r="L12" s="113"/>
      <c r="M12" s="113"/>
      <c r="N12" s="113"/>
      <c r="O12" s="113"/>
      <c r="P12" s="113"/>
      <c r="Q12" s="113"/>
      <c r="R12" s="113"/>
      <c r="S12" s="113"/>
      <c r="T12" s="113"/>
      <c r="U12" s="113"/>
      <c r="V12" s="113"/>
      <c r="W12" s="113"/>
      <c r="X12" s="113"/>
      <c r="Y12" s="113"/>
      <c r="Z12" s="113"/>
      <c r="AA12" s="113"/>
      <c r="AB12" s="113"/>
      <c r="AC12" s="113"/>
      <c r="AD12" s="113"/>
      <c r="AE12" s="113"/>
      <c r="AF12" s="113"/>
      <c r="AG12" s="113"/>
      <c r="AH12" s="113"/>
      <c r="AI12" s="113"/>
      <c r="AJ12" s="113"/>
      <c r="AK12" s="113"/>
      <c r="AL12" s="113"/>
      <c r="AM12" s="113"/>
      <c r="AN12" s="113"/>
    </row>
    <row r="13" spans="1:40" ht="30">
      <c r="A13" s="149" t="s">
        <v>145</v>
      </c>
      <c r="B13" s="149"/>
      <c r="C13" s="149"/>
      <c r="D13" s="113"/>
      <c r="E13" s="113"/>
      <c r="F13" s="113"/>
      <c r="G13" s="113"/>
      <c r="H13" s="113"/>
      <c r="I13" s="113"/>
      <c r="J13" s="113"/>
      <c r="K13" s="113"/>
      <c r="L13" s="113"/>
      <c r="M13" s="113"/>
      <c r="N13" s="113"/>
      <c r="O13" s="113"/>
      <c r="P13" s="113"/>
      <c r="Q13" s="113"/>
      <c r="R13" s="113"/>
      <c r="S13" s="113"/>
      <c r="T13" s="113"/>
      <c r="U13" s="113"/>
      <c r="V13" s="113"/>
      <c r="W13" s="113"/>
      <c r="X13" s="113"/>
      <c r="Y13" s="113"/>
      <c r="Z13" s="113"/>
      <c r="AA13" s="113"/>
      <c r="AB13" s="113"/>
      <c r="AC13" s="113"/>
      <c r="AD13" s="113"/>
      <c r="AE13" s="113"/>
      <c r="AF13" s="113"/>
      <c r="AG13" s="113"/>
      <c r="AH13" s="113"/>
      <c r="AI13" s="113"/>
      <c r="AJ13" s="113"/>
      <c r="AK13" s="113"/>
      <c r="AL13" s="113"/>
      <c r="AM13" s="113"/>
      <c r="AN13" s="113"/>
    </row>
    <row r="14" spans="1:40" ht="15.75">
      <c r="A14" s="151" t="s">
        <v>146</v>
      </c>
      <c r="B14" s="113"/>
      <c r="C14" s="113"/>
      <c r="D14" s="113"/>
      <c r="E14" s="113"/>
      <c r="F14" s="113"/>
      <c r="G14" s="113"/>
      <c r="H14" s="113"/>
      <c r="I14" s="113"/>
      <c r="J14" s="113"/>
      <c r="K14" s="113"/>
      <c r="L14" s="113"/>
      <c r="M14" s="113"/>
      <c r="N14" s="113"/>
      <c r="O14" s="113"/>
      <c r="P14" s="113"/>
      <c r="Q14" s="113"/>
      <c r="R14" s="113"/>
      <c r="S14" s="113"/>
      <c r="T14" s="113"/>
      <c r="U14" s="113"/>
      <c r="V14" s="113"/>
      <c r="W14" s="113"/>
      <c r="X14" s="113"/>
      <c r="Y14" s="113"/>
      <c r="Z14" s="113"/>
      <c r="AA14" s="113"/>
      <c r="AB14" s="113"/>
      <c r="AC14" s="113"/>
      <c r="AD14" s="113"/>
      <c r="AE14" s="113"/>
      <c r="AF14" s="113"/>
      <c r="AG14" s="113"/>
      <c r="AH14" s="113"/>
      <c r="AI14" s="113"/>
      <c r="AJ14" s="113"/>
      <c r="AK14" s="113"/>
      <c r="AL14" s="113"/>
      <c r="AM14" s="113"/>
      <c r="AN14" s="113"/>
    </row>
    <row r="15" spans="1:40" ht="76.5">
      <c r="A15" s="149" t="s">
        <v>147</v>
      </c>
      <c r="B15" s="149"/>
      <c r="C15" s="149"/>
      <c r="D15" s="113"/>
      <c r="E15" s="113"/>
      <c r="F15" s="113"/>
      <c r="G15" s="113"/>
      <c r="H15" s="113"/>
      <c r="I15" s="113"/>
      <c r="J15" s="113"/>
      <c r="K15" s="113"/>
      <c r="L15" s="113"/>
      <c r="M15" s="113"/>
      <c r="N15" s="113"/>
      <c r="O15" s="113"/>
      <c r="P15" s="113"/>
      <c r="Q15" s="113"/>
      <c r="R15" s="113"/>
      <c r="S15" s="113"/>
      <c r="T15" s="113"/>
      <c r="U15" s="113"/>
      <c r="V15" s="113"/>
      <c r="W15" s="113"/>
      <c r="X15" s="113"/>
      <c r="Y15" s="113"/>
      <c r="Z15" s="113"/>
      <c r="AA15" s="113"/>
      <c r="AB15" s="113"/>
      <c r="AC15" s="113"/>
      <c r="AD15" s="113"/>
      <c r="AE15" s="113"/>
      <c r="AF15" s="113"/>
      <c r="AG15" s="113"/>
      <c r="AH15" s="113"/>
      <c r="AI15" s="113"/>
      <c r="AJ15" s="113"/>
      <c r="AK15" s="113"/>
      <c r="AL15" s="113"/>
      <c r="AM15" s="113"/>
      <c r="AN15" s="113"/>
    </row>
    <row r="16" spans="1:40" ht="15">
      <c r="A16" s="152" t="s">
        <v>148</v>
      </c>
      <c r="B16" s="149"/>
      <c r="C16" s="149"/>
      <c r="D16" s="113"/>
      <c r="E16" s="113"/>
      <c r="F16" s="113"/>
      <c r="G16" s="113"/>
      <c r="H16" s="113"/>
      <c r="I16" s="113"/>
      <c r="J16" s="113"/>
      <c r="K16" s="113"/>
      <c r="L16" s="113"/>
      <c r="M16" s="113"/>
      <c r="N16" s="113"/>
      <c r="O16" s="113"/>
      <c r="P16" s="113"/>
      <c r="Q16" s="113"/>
      <c r="R16" s="113"/>
      <c r="S16" s="113"/>
      <c r="T16" s="113"/>
      <c r="U16" s="113"/>
      <c r="V16" s="113"/>
      <c r="W16" s="113"/>
      <c r="X16" s="113"/>
      <c r="Y16" s="113"/>
      <c r="Z16" s="113"/>
      <c r="AA16" s="113"/>
      <c r="AB16" s="113"/>
      <c r="AC16" s="113"/>
      <c r="AD16" s="113"/>
      <c r="AE16" s="113"/>
      <c r="AF16" s="113"/>
      <c r="AG16" s="113"/>
      <c r="AH16" s="113"/>
      <c r="AI16" s="113"/>
      <c r="AJ16" s="113"/>
      <c r="AK16" s="113"/>
      <c r="AL16" s="113"/>
      <c r="AM16" s="113"/>
      <c r="AN16" s="113"/>
    </row>
    <row r="17" spans="1:40" ht="15.75">
      <c r="A17" s="151" t="s">
        <v>149</v>
      </c>
      <c r="B17" s="149"/>
      <c r="C17" s="149"/>
      <c r="D17" s="113"/>
      <c r="E17" s="113"/>
      <c r="F17" s="113"/>
      <c r="G17" s="113"/>
      <c r="H17" s="113"/>
      <c r="I17" s="113"/>
      <c r="J17" s="113"/>
      <c r="K17" s="113"/>
      <c r="L17" s="113"/>
      <c r="M17" s="113"/>
      <c r="N17" s="113"/>
      <c r="O17" s="113"/>
      <c r="P17" s="113"/>
      <c r="Q17" s="113"/>
      <c r="R17" s="113"/>
      <c r="S17" s="113"/>
      <c r="T17" s="113"/>
      <c r="U17" s="113"/>
      <c r="V17" s="113"/>
      <c r="W17" s="113"/>
      <c r="X17" s="113"/>
      <c r="Y17" s="113"/>
      <c r="Z17" s="113"/>
      <c r="AA17" s="113"/>
      <c r="AB17" s="113"/>
      <c r="AC17" s="113"/>
      <c r="AD17" s="113"/>
      <c r="AE17" s="113"/>
      <c r="AF17" s="113"/>
      <c r="AG17" s="113"/>
      <c r="AH17" s="113"/>
      <c r="AI17" s="113"/>
      <c r="AJ17" s="113"/>
      <c r="AK17" s="113"/>
      <c r="AL17" s="113"/>
      <c r="AM17" s="113"/>
      <c r="AN17" s="113"/>
    </row>
    <row r="18" spans="1:40" ht="15">
      <c r="A18" s="153" t="s">
        <v>150</v>
      </c>
      <c r="B18" s="153"/>
      <c r="C18" s="153"/>
      <c r="D18" s="113"/>
      <c r="E18" s="113"/>
      <c r="F18" s="113"/>
      <c r="G18" s="113"/>
      <c r="H18" s="113"/>
      <c r="I18" s="113"/>
      <c r="J18" s="113"/>
      <c r="K18" s="113"/>
      <c r="L18" s="113"/>
      <c r="M18" s="113"/>
      <c r="N18" s="113"/>
      <c r="O18" s="113"/>
      <c r="P18" s="113"/>
      <c r="Q18" s="113"/>
      <c r="R18" s="113"/>
      <c r="S18" s="113"/>
      <c r="T18" s="113"/>
      <c r="U18" s="113"/>
      <c r="V18" s="113"/>
      <c r="W18" s="113"/>
      <c r="X18" s="113"/>
      <c r="Y18" s="113"/>
      <c r="Z18" s="113"/>
      <c r="AA18" s="113"/>
      <c r="AB18" s="113"/>
      <c r="AC18" s="113"/>
      <c r="AD18" s="113"/>
      <c r="AE18" s="113"/>
      <c r="AF18" s="113"/>
      <c r="AG18" s="113"/>
      <c r="AH18" s="113"/>
      <c r="AI18" s="113"/>
      <c r="AJ18" s="113"/>
      <c r="AK18" s="113"/>
      <c r="AL18" s="113"/>
      <c r="AM18" s="113"/>
      <c r="AN18" s="113"/>
    </row>
    <row r="19" spans="1:40" ht="15">
      <c r="A19" s="154" t="s">
        <v>151</v>
      </c>
      <c r="B19" s="128"/>
      <c r="C19" s="128"/>
      <c r="D19" s="113"/>
      <c r="E19" s="113"/>
      <c r="F19" s="113"/>
      <c r="G19" s="113"/>
      <c r="H19" s="113"/>
      <c r="I19" s="113"/>
      <c r="J19" s="113"/>
      <c r="K19" s="113"/>
      <c r="L19" s="113"/>
      <c r="M19" s="113"/>
      <c r="N19" s="113"/>
      <c r="O19" s="113"/>
      <c r="P19" s="113"/>
      <c r="Q19" s="113"/>
      <c r="R19" s="113"/>
      <c r="S19" s="113"/>
      <c r="T19" s="113"/>
      <c r="U19" s="113"/>
      <c r="V19" s="113"/>
      <c r="W19" s="113"/>
      <c r="X19" s="113"/>
      <c r="Y19" s="113"/>
      <c r="Z19" s="113"/>
      <c r="AA19" s="113"/>
      <c r="AB19" s="113"/>
      <c r="AC19" s="113"/>
      <c r="AD19" s="113"/>
      <c r="AE19" s="113"/>
      <c r="AF19" s="113"/>
      <c r="AG19" s="113"/>
      <c r="AH19" s="113"/>
      <c r="AI19" s="113"/>
      <c r="AJ19" s="113"/>
      <c r="AK19" s="113"/>
      <c r="AL19" s="113"/>
      <c r="AM19" s="113"/>
      <c r="AN19" s="113"/>
    </row>
    <row r="20" spans="1:40" ht="15">
      <c r="A20" s="149"/>
      <c r="B20" s="113"/>
      <c r="C20" s="113"/>
      <c r="D20" s="113"/>
      <c r="E20" s="113"/>
      <c r="F20" s="113"/>
      <c r="G20" s="113"/>
      <c r="H20" s="113"/>
      <c r="I20" s="113"/>
      <c r="J20" s="113"/>
      <c r="K20" s="113"/>
      <c r="L20" s="113"/>
      <c r="M20" s="113"/>
      <c r="N20" s="113"/>
      <c r="O20" s="113"/>
      <c r="P20" s="113"/>
      <c r="Q20" s="113"/>
      <c r="R20" s="113"/>
      <c r="S20" s="113"/>
      <c r="T20" s="113"/>
      <c r="U20" s="113"/>
      <c r="V20" s="113"/>
      <c r="W20" s="113"/>
      <c r="X20" s="113"/>
      <c r="Y20" s="113"/>
      <c r="Z20" s="113"/>
      <c r="AA20" s="113"/>
      <c r="AB20" s="113"/>
      <c r="AC20" s="113"/>
      <c r="AD20" s="113"/>
      <c r="AE20" s="113"/>
      <c r="AF20" s="113"/>
      <c r="AG20" s="113"/>
      <c r="AH20" s="113"/>
      <c r="AI20" s="113"/>
      <c r="AJ20" s="113"/>
      <c r="AK20" s="113"/>
      <c r="AL20" s="113"/>
      <c r="AM20" s="113"/>
      <c r="AN20" s="113"/>
    </row>
    <row r="21" spans="1:40" ht="15.75">
      <c r="A21" s="151" t="s">
        <v>152</v>
      </c>
      <c r="B21" s="113"/>
      <c r="C21" s="113"/>
      <c r="D21" s="113"/>
      <c r="E21" s="113"/>
      <c r="F21" s="113"/>
      <c r="G21" s="113"/>
      <c r="H21" s="113"/>
      <c r="I21" s="113"/>
      <c r="J21" s="113"/>
      <c r="K21" s="113"/>
      <c r="L21" s="113"/>
      <c r="M21" s="113"/>
      <c r="N21" s="113"/>
      <c r="O21" s="113"/>
      <c r="P21" s="113"/>
      <c r="Q21" s="113"/>
      <c r="R21" s="113"/>
      <c r="S21" s="113"/>
      <c r="T21" s="113"/>
      <c r="U21" s="113"/>
      <c r="V21" s="113"/>
      <c r="W21" s="113"/>
      <c r="X21" s="113"/>
      <c r="Y21" s="113"/>
      <c r="Z21" s="113"/>
      <c r="AA21" s="113"/>
      <c r="AB21" s="113"/>
      <c r="AC21" s="113"/>
      <c r="AD21" s="113"/>
      <c r="AE21" s="113"/>
      <c r="AF21" s="113"/>
      <c r="AG21" s="113"/>
      <c r="AH21" s="113"/>
      <c r="AI21" s="113"/>
      <c r="AJ21" s="113"/>
      <c r="AK21" s="113"/>
      <c r="AL21" s="113"/>
      <c r="AM21" s="113"/>
      <c r="AN21" s="113"/>
    </row>
    <row r="22" spans="1:40" ht="60">
      <c r="A22" s="149" t="s">
        <v>153</v>
      </c>
      <c r="B22" s="113"/>
      <c r="C22" s="113"/>
      <c r="D22" s="113"/>
      <c r="E22" s="113"/>
      <c r="F22" s="113"/>
      <c r="G22" s="113"/>
      <c r="H22" s="113"/>
      <c r="I22" s="113"/>
      <c r="J22" s="113"/>
      <c r="K22" s="113"/>
      <c r="L22" s="113"/>
      <c r="M22" s="113"/>
      <c r="N22" s="113"/>
      <c r="O22" s="113"/>
      <c r="P22" s="113"/>
      <c r="Q22" s="113"/>
      <c r="R22" s="113"/>
      <c r="S22" s="113"/>
      <c r="T22" s="113"/>
      <c r="U22" s="113"/>
      <c r="V22" s="113"/>
      <c r="W22" s="113"/>
      <c r="X22" s="113"/>
      <c r="Y22" s="113"/>
      <c r="Z22" s="113"/>
      <c r="AA22" s="113"/>
      <c r="AB22" s="113"/>
      <c r="AC22" s="113"/>
      <c r="AD22" s="113"/>
      <c r="AE22" s="113"/>
      <c r="AF22" s="113"/>
      <c r="AG22" s="113"/>
      <c r="AH22" s="113"/>
      <c r="AI22" s="113"/>
      <c r="AJ22" s="113"/>
      <c r="AK22" s="113"/>
      <c r="AL22" s="113"/>
      <c r="AM22" s="113"/>
      <c r="AN22" s="113"/>
    </row>
    <row r="23" spans="1:40" ht="31.5">
      <c r="A23" s="149" t="s">
        <v>154</v>
      </c>
      <c r="B23" s="113"/>
      <c r="C23" s="113"/>
      <c r="D23" s="113"/>
      <c r="E23" s="113"/>
      <c r="F23" s="113"/>
      <c r="G23" s="113"/>
      <c r="H23" s="113"/>
      <c r="I23" s="113"/>
      <c r="J23" s="113"/>
      <c r="K23" s="113"/>
      <c r="L23" s="113"/>
      <c r="M23" s="113"/>
      <c r="N23" s="113"/>
      <c r="O23" s="113"/>
      <c r="P23" s="113"/>
      <c r="Q23" s="113"/>
      <c r="R23" s="113"/>
      <c r="S23" s="113"/>
      <c r="T23" s="113"/>
      <c r="U23" s="113"/>
      <c r="V23" s="113"/>
      <c r="W23" s="113"/>
      <c r="X23" s="113"/>
      <c r="Y23" s="113"/>
      <c r="Z23" s="113"/>
      <c r="AA23" s="113"/>
      <c r="AB23" s="113"/>
      <c r="AC23" s="113"/>
      <c r="AD23" s="113"/>
      <c r="AE23" s="113"/>
      <c r="AF23" s="113"/>
      <c r="AG23" s="113"/>
      <c r="AH23" s="113"/>
      <c r="AI23" s="113"/>
      <c r="AJ23" s="113"/>
      <c r="AK23" s="113"/>
      <c r="AL23" s="113"/>
      <c r="AM23" s="113"/>
      <c r="AN23" s="113"/>
    </row>
    <row r="24" spans="1:40" ht="15">
      <c r="A24" s="149"/>
      <c r="B24" s="113"/>
      <c r="C24" s="113"/>
      <c r="D24" s="113"/>
      <c r="E24" s="113"/>
      <c r="F24" s="113"/>
      <c r="G24" s="113"/>
      <c r="H24" s="113"/>
      <c r="I24" s="113"/>
      <c r="J24" s="113"/>
      <c r="K24" s="113"/>
      <c r="L24" s="113"/>
      <c r="M24" s="113"/>
      <c r="N24" s="113"/>
      <c r="O24" s="113"/>
      <c r="P24" s="113"/>
      <c r="Q24" s="113"/>
      <c r="R24" s="113"/>
      <c r="S24" s="113"/>
      <c r="T24" s="113"/>
      <c r="U24" s="113"/>
      <c r="V24" s="113"/>
      <c r="W24" s="113"/>
      <c r="X24" s="113"/>
      <c r="Y24" s="113"/>
      <c r="Z24" s="113"/>
      <c r="AA24" s="113"/>
      <c r="AB24" s="113"/>
      <c r="AC24" s="113"/>
      <c r="AD24" s="113"/>
      <c r="AE24" s="113"/>
      <c r="AF24" s="113"/>
      <c r="AG24" s="113"/>
      <c r="AH24" s="113"/>
      <c r="AI24" s="113"/>
      <c r="AJ24" s="113"/>
      <c r="AK24" s="113"/>
      <c r="AL24" s="113"/>
      <c r="AM24" s="113"/>
      <c r="AN24" s="113"/>
    </row>
    <row r="25" spans="1:40" ht="15.75">
      <c r="A25" s="151" t="s">
        <v>155</v>
      </c>
      <c r="B25" s="113"/>
      <c r="C25" s="113"/>
      <c r="D25" s="113"/>
      <c r="E25" s="113"/>
      <c r="F25" s="113"/>
      <c r="G25" s="113"/>
      <c r="H25" s="113"/>
      <c r="I25" s="113"/>
      <c r="J25" s="113"/>
      <c r="K25" s="113"/>
      <c r="L25" s="113"/>
      <c r="M25" s="113"/>
      <c r="N25" s="113"/>
      <c r="O25" s="113"/>
      <c r="P25" s="113"/>
      <c r="Q25" s="113"/>
      <c r="R25" s="113"/>
      <c r="S25" s="113"/>
      <c r="T25" s="113"/>
      <c r="U25" s="113"/>
      <c r="V25" s="113"/>
      <c r="W25" s="113"/>
      <c r="X25" s="113"/>
      <c r="Y25" s="113"/>
      <c r="Z25" s="113"/>
      <c r="AA25" s="113"/>
      <c r="AB25" s="113"/>
      <c r="AC25" s="113"/>
      <c r="AD25" s="113"/>
      <c r="AE25" s="113"/>
      <c r="AF25" s="113"/>
      <c r="AG25" s="113"/>
      <c r="AH25" s="113"/>
      <c r="AI25" s="113"/>
      <c r="AJ25" s="113"/>
      <c r="AK25" s="113"/>
      <c r="AL25" s="113"/>
      <c r="AM25" s="113"/>
      <c r="AN25" s="113"/>
    </row>
    <row r="26" spans="1:40" ht="15">
      <c r="A26" s="149"/>
      <c r="B26" s="113"/>
      <c r="C26" s="113"/>
      <c r="D26" s="113"/>
      <c r="E26" s="113"/>
      <c r="F26" s="113"/>
      <c r="G26" s="113"/>
      <c r="H26" s="113"/>
      <c r="I26" s="113"/>
      <c r="J26" s="113"/>
      <c r="K26" s="113"/>
      <c r="L26" s="113"/>
      <c r="M26" s="113"/>
      <c r="N26" s="113"/>
      <c r="O26" s="113"/>
      <c r="P26" s="113"/>
      <c r="Q26" s="113"/>
      <c r="R26" s="113"/>
      <c r="S26" s="113"/>
      <c r="T26" s="113"/>
      <c r="U26" s="113"/>
      <c r="V26" s="113"/>
      <c r="W26" s="113"/>
      <c r="X26" s="113"/>
      <c r="Y26" s="113"/>
      <c r="Z26" s="113"/>
      <c r="AA26" s="113"/>
      <c r="AB26" s="113"/>
      <c r="AC26" s="113"/>
      <c r="AD26" s="113"/>
      <c r="AE26" s="113"/>
      <c r="AF26" s="113"/>
      <c r="AG26" s="113"/>
      <c r="AH26" s="113"/>
      <c r="AI26" s="113"/>
      <c r="AJ26" s="113"/>
      <c r="AK26" s="113"/>
      <c r="AL26" s="113"/>
      <c r="AM26" s="113"/>
      <c r="AN26" s="113"/>
    </row>
    <row r="27" spans="1:40" ht="15.75">
      <c r="A27" s="151" t="s">
        <v>156</v>
      </c>
      <c r="B27" s="155"/>
      <c r="C27" s="113"/>
      <c r="D27" s="113"/>
      <c r="E27" s="113"/>
      <c r="F27" s="113"/>
      <c r="G27" s="113"/>
      <c r="H27" s="113"/>
      <c r="I27" s="113"/>
      <c r="J27" s="113"/>
      <c r="K27" s="113"/>
      <c r="L27" s="113"/>
      <c r="M27" s="113"/>
      <c r="N27" s="113"/>
      <c r="O27" s="113"/>
      <c r="P27" s="113"/>
      <c r="Q27" s="113"/>
      <c r="R27" s="113"/>
      <c r="S27" s="113"/>
      <c r="T27" s="113"/>
      <c r="U27" s="113"/>
      <c r="V27" s="113"/>
      <c r="W27" s="113"/>
      <c r="X27" s="113"/>
      <c r="Y27" s="113"/>
      <c r="Z27" s="113"/>
      <c r="AA27" s="113"/>
      <c r="AB27" s="113"/>
      <c r="AC27" s="113"/>
      <c r="AD27" s="113"/>
      <c r="AE27" s="113"/>
      <c r="AF27" s="113"/>
      <c r="AG27" s="113"/>
      <c r="AH27" s="113"/>
      <c r="AI27" s="113"/>
      <c r="AJ27" s="113"/>
      <c r="AK27" s="113"/>
      <c r="AL27" s="113"/>
      <c r="AM27" s="113"/>
      <c r="AN27" s="113"/>
    </row>
    <row r="28" spans="1:40" ht="15">
      <c r="A28" s="149"/>
      <c r="B28" s="113"/>
      <c r="C28" s="113"/>
      <c r="D28" s="113"/>
      <c r="E28" s="113"/>
      <c r="F28" s="113"/>
      <c r="G28" s="113"/>
      <c r="H28" s="113"/>
      <c r="I28" s="113"/>
      <c r="J28" s="113"/>
      <c r="K28" s="113"/>
      <c r="L28" s="113"/>
      <c r="M28" s="113"/>
      <c r="N28" s="113"/>
      <c r="O28" s="113"/>
      <c r="P28" s="113"/>
      <c r="Q28" s="113"/>
      <c r="R28" s="113"/>
      <c r="S28" s="113"/>
      <c r="T28" s="113"/>
      <c r="U28" s="113"/>
      <c r="V28" s="113"/>
      <c r="W28" s="113"/>
      <c r="X28" s="113"/>
      <c r="Y28" s="113"/>
      <c r="Z28" s="113"/>
      <c r="AA28" s="113"/>
      <c r="AB28" s="113"/>
      <c r="AC28" s="113"/>
      <c r="AD28" s="113"/>
      <c r="AE28" s="113"/>
      <c r="AF28" s="113"/>
      <c r="AG28" s="113"/>
      <c r="AH28" s="113"/>
      <c r="AI28" s="113"/>
      <c r="AJ28" s="113"/>
      <c r="AK28" s="113"/>
      <c r="AL28" s="113"/>
      <c r="AM28" s="113"/>
      <c r="AN28" s="113"/>
    </row>
    <row r="29" spans="1:40" ht="105">
      <c r="A29" s="149" t="s">
        <v>157</v>
      </c>
      <c r="B29" s="149"/>
      <c r="C29" s="149"/>
      <c r="D29" s="113"/>
      <c r="E29" s="113"/>
      <c r="F29" s="113"/>
      <c r="G29" s="113"/>
      <c r="H29" s="113"/>
      <c r="I29" s="113"/>
      <c r="J29" s="113"/>
      <c r="K29" s="113"/>
      <c r="L29" s="113"/>
      <c r="M29" s="113"/>
      <c r="N29" s="113"/>
      <c r="O29" s="113"/>
      <c r="P29" s="113"/>
      <c r="Q29" s="113"/>
      <c r="R29" s="113"/>
      <c r="S29" s="113"/>
      <c r="T29" s="113"/>
      <c r="U29" s="113"/>
      <c r="V29" s="113"/>
      <c r="W29" s="113"/>
      <c r="X29" s="113"/>
      <c r="Y29" s="113"/>
      <c r="Z29" s="113"/>
      <c r="AA29" s="113"/>
      <c r="AB29" s="113"/>
      <c r="AC29" s="113"/>
      <c r="AD29" s="113"/>
      <c r="AE29" s="113"/>
      <c r="AF29" s="113"/>
      <c r="AG29" s="113"/>
      <c r="AH29" s="113"/>
      <c r="AI29" s="113"/>
      <c r="AJ29" s="113"/>
      <c r="AK29" s="113"/>
      <c r="AL29" s="113"/>
      <c r="AM29" s="113"/>
      <c r="AN29" s="113"/>
    </row>
    <row r="30" spans="1:40" ht="15">
      <c r="A30" s="149"/>
      <c r="B30" s="113"/>
      <c r="C30" s="113"/>
      <c r="D30" s="113"/>
      <c r="E30" s="113"/>
      <c r="F30" s="113"/>
      <c r="G30" s="113"/>
      <c r="H30" s="113"/>
      <c r="I30" s="113"/>
      <c r="J30" s="113"/>
      <c r="K30" s="113"/>
      <c r="L30" s="113"/>
      <c r="M30" s="113"/>
      <c r="N30" s="113"/>
      <c r="O30" s="113"/>
      <c r="P30" s="113"/>
      <c r="Q30" s="113"/>
      <c r="R30" s="113"/>
      <c r="S30" s="113"/>
      <c r="T30" s="113"/>
      <c r="U30" s="113"/>
      <c r="V30" s="113"/>
      <c r="W30" s="113"/>
      <c r="X30" s="113"/>
      <c r="Y30" s="113"/>
      <c r="Z30" s="113"/>
      <c r="AA30" s="113"/>
      <c r="AB30" s="113"/>
      <c r="AC30" s="113"/>
      <c r="AD30" s="113"/>
      <c r="AE30" s="113"/>
      <c r="AF30" s="113"/>
      <c r="AG30" s="113"/>
      <c r="AH30" s="113"/>
      <c r="AI30" s="113"/>
      <c r="AJ30" s="113"/>
      <c r="AK30" s="113"/>
      <c r="AL30" s="113"/>
      <c r="AM30" s="113"/>
      <c r="AN30" s="113"/>
    </row>
    <row r="31" spans="1:40" ht="15.75">
      <c r="A31" s="151" t="s">
        <v>158</v>
      </c>
      <c r="B31" s="113"/>
      <c r="C31" s="113"/>
      <c r="D31" s="113"/>
      <c r="E31" s="113"/>
      <c r="F31" s="113"/>
      <c r="G31" s="113"/>
      <c r="H31" s="113"/>
      <c r="I31" s="113"/>
      <c r="J31" s="113"/>
      <c r="K31" s="113"/>
      <c r="L31" s="113"/>
      <c r="M31" s="113"/>
      <c r="N31" s="113"/>
      <c r="O31" s="113"/>
      <c r="P31" s="113"/>
      <c r="Q31" s="113"/>
      <c r="R31" s="113"/>
      <c r="S31" s="113"/>
      <c r="T31" s="113"/>
      <c r="U31" s="113"/>
      <c r="V31" s="113"/>
      <c r="W31" s="113"/>
      <c r="X31" s="113"/>
      <c r="Y31" s="113"/>
      <c r="Z31" s="113"/>
      <c r="AA31" s="113"/>
      <c r="AB31" s="113"/>
      <c r="AC31" s="113"/>
      <c r="AD31" s="113"/>
      <c r="AE31" s="113"/>
      <c r="AF31" s="113"/>
      <c r="AG31" s="113"/>
      <c r="AH31" s="113"/>
      <c r="AI31" s="113"/>
      <c r="AJ31" s="113"/>
      <c r="AK31" s="113"/>
      <c r="AL31" s="113"/>
      <c r="AM31" s="113"/>
      <c r="AN31" s="113"/>
    </row>
    <row r="32" spans="1:40" ht="15">
      <c r="A32" s="149" t="s">
        <v>159</v>
      </c>
      <c r="B32" s="113"/>
      <c r="C32" s="113"/>
      <c r="D32" s="113"/>
      <c r="E32" s="113"/>
      <c r="F32" s="113"/>
      <c r="G32" s="113"/>
      <c r="H32" s="113"/>
      <c r="I32" s="113"/>
      <c r="J32" s="113"/>
      <c r="K32" s="113"/>
      <c r="L32" s="113"/>
      <c r="M32" s="113"/>
      <c r="N32" s="113"/>
      <c r="O32" s="113"/>
      <c r="P32" s="113"/>
      <c r="Q32" s="113"/>
      <c r="R32" s="113"/>
      <c r="S32" s="113"/>
      <c r="T32" s="113"/>
      <c r="U32" s="113"/>
      <c r="V32" s="113"/>
      <c r="W32" s="113"/>
      <c r="X32" s="113"/>
      <c r="Y32" s="113"/>
      <c r="Z32" s="113"/>
      <c r="AA32" s="113"/>
      <c r="AB32" s="113"/>
      <c r="AC32" s="113"/>
      <c r="AD32" s="113"/>
      <c r="AE32" s="113"/>
      <c r="AF32" s="113"/>
      <c r="AG32" s="113"/>
      <c r="AH32" s="113"/>
      <c r="AI32" s="113"/>
      <c r="AJ32" s="113"/>
      <c r="AK32" s="113"/>
      <c r="AL32" s="113"/>
      <c r="AM32" s="113"/>
      <c r="AN32" s="113"/>
    </row>
    <row r="33" spans="1:40" ht="90.75">
      <c r="A33" s="151" t="s">
        <v>160</v>
      </c>
      <c r="B33" s="149" t="s">
        <v>161</v>
      </c>
      <c r="C33" s="149"/>
      <c r="D33" s="113"/>
      <c r="E33" s="113"/>
      <c r="F33" s="113"/>
      <c r="G33" s="113"/>
      <c r="H33" s="113"/>
      <c r="I33" s="113"/>
      <c r="J33" s="113"/>
      <c r="K33" s="113"/>
      <c r="L33" s="113"/>
      <c r="M33" s="113"/>
      <c r="N33" s="113"/>
      <c r="O33" s="113"/>
      <c r="P33" s="113"/>
      <c r="Q33" s="113"/>
      <c r="R33" s="113"/>
      <c r="S33" s="113"/>
      <c r="T33" s="113"/>
      <c r="U33" s="113"/>
      <c r="V33" s="113"/>
      <c r="W33" s="113"/>
      <c r="X33" s="113"/>
      <c r="Y33" s="113"/>
      <c r="Z33" s="113"/>
      <c r="AA33" s="113"/>
      <c r="AB33" s="113"/>
      <c r="AC33" s="113"/>
      <c r="AD33" s="113"/>
      <c r="AE33" s="113"/>
      <c r="AF33" s="113"/>
      <c r="AG33" s="113"/>
      <c r="AH33" s="113"/>
      <c r="AI33" s="113"/>
      <c r="AJ33" s="113"/>
      <c r="AK33" s="113"/>
      <c r="AL33" s="113"/>
      <c r="AM33" s="113"/>
      <c r="AN33" s="113"/>
    </row>
    <row r="34" spans="1:40" ht="15">
      <c r="A34" s="149"/>
      <c r="B34" s="113"/>
      <c r="C34" s="113"/>
      <c r="D34" s="113"/>
      <c r="E34" s="113"/>
      <c r="F34" s="113"/>
      <c r="G34" s="113"/>
      <c r="H34" s="113"/>
      <c r="I34" s="113"/>
      <c r="J34" s="113"/>
      <c r="K34" s="113"/>
      <c r="L34" s="113"/>
      <c r="M34" s="113"/>
      <c r="N34" s="113"/>
      <c r="O34" s="113"/>
      <c r="P34" s="113"/>
      <c r="Q34" s="113"/>
      <c r="R34" s="113"/>
      <c r="S34" s="113"/>
      <c r="T34" s="113"/>
      <c r="U34" s="113"/>
      <c r="V34" s="113"/>
      <c r="W34" s="113"/>
      <c r="X34" s="113"/>
      <c r="Y34" s="113"/>
      <c r="Z34" s="113"/>
      <c r="AA34" s="113"/>
      <c r="AB34" s="113"/>
      <c r="AC34" s="113"/>
      <c r="AD34" s="113"/>
      <c r="AE34" s="113"/>
      <c r="AF34" s="113"/>
      <c r="AG34" s="113"/>
      <c r="AH34" s="113"/>
      <c r="AI34" s="113"/>
      <c r="AJ34" s="113"/>
      <c r="AK34" s="113"/>
      <c r="AL34" s="113"/>
      <c r="AM34" s="113"/>
      <c r="AN34" s="113"/>
    </row>
    <row r="35" spans="1:40" ht="15.75">
      <c r="A35" s="151" t="s">
        <v>162</v>
      </c>
      <c r="B35" s="149" t="s">
        <v>163</v>
      </c>
      <c r="C35" s="149"/>
      <c r="D35" s="113"/>
      <c r="E35" s="113"/>
      <c r="F35" s="113"/>
      <c r="G35" s="113"/>
      <c r="H35" s="113"/>
      <c r="I35" s="113"/>
      <c r="J35" s="113"/>
      <c r="K35" s="113"/>
      <c r="L35" s="113"/>
      <c r="M35" s="113"/>
      <c r="N35" s="113"/>
      <c r="O35" s="113"/>
      <c r="P35" s="113"/>
      <c r="Q35" s="113"/>
      <c r="R35" s="113"/>
      <c r="S35" s="113"/>
      <c r="T35" s="113"/>
      <c r="U35" s="113"/>
      <c r="V35" s="113"/>
      <c r="W35" s="113"/>
      <c r="X35" s="113"/>
      <c r="Y35" s="113"/>
      <c r="Z35" s="113"/>
      <c r="AA35" s="113"/>
      <c r="AB35" s="113"/>
      <c r="AC35" s="113"/>
      <c r="AD35" s="113"/>
      <c r="AE35" s="113"/>
      <c r="AF35" s="113"/>
      <c r="AG35" s="113"/>
      <c r="AH35" s="113"/>
      <c r="AI35" s="113"/>
      <c r="AJ35" s="113"/>
      <c r="AK35" s="113"/>
      <c r="AL35" s="113"/>
      <c r="AM35" s="113"/>
      <c r="AN35" s="113"/>
    </row>
    <row r="36" spans="1:40" ht="30">
      <c r="A36" s="151" t="s">
        <v>164</v>
      </c>
      <c r="B36" s="149" t="s">
        <v>165</v>
      </c>
      <c r="C36" s="149"/>
      <c r="D36" s="113"/>
      <c r="E36" s="113"/>
      <c r="F36" s="113"/>
      <c r="G36" s="113"/>
      <c r="H36" s="113"/>
      <c r="I36" s="113"/>
      <c r="J36" s="113"/>
      <c r="K36" s="113"/>
      <c r="L36" s="113"/>
      <c r="M36" s="113"/>
      <c r="N36" s="113"/>
      <c r="O36" s="113"/>
      <c r="P36" s="113"/>
      <c r="Q36" s="113"/>
      <c r="R36" s="113"/>
      <c r="S36" s="113"/>
      <c r="T36" s="113"/>
      <c r="U36" s="113"/>
      <c r="V36" s="113"/>
      <c r="W36" s="113"/>
      <c r="X36" s="113"/>
      <c r="Y36" s="113"/>
      <c r="Z36" s="113"/>
      <c r="AA36" s="113"/>
      <c r="AB36" s="113"/>
      <c r="AC36" s="113"/>
      <c r="AD36" s="113"/>
      <c r="AE36" s="113"/>
      <c r="AF36" s="113"/>
      <c r="AG36" s="113"/>
      <c r="AH36" s="113"/>
      <c r="AI36" s="113"/>
      <c r="AJ36" s="113"/>
      <c r="AK36" s="113"/>
      <c r="AL36" s="113"/>
      <c r="AM36" s="113"/>
      <c r="AN36" s="113"/>
    </row>
    <row r="37" spans="1:40" ht="15">
      <c r="A37" s="149"/>
      <c r="B37" s="113"/>
      <c r="C37" s="113"/>
      <c r="D37" s="113"/>
      <c r="E37" s="113"/>
      <c r="F37" s="113"/>
      <c r="G37" s="113"/>
      <c r="H37" s="113"/>
      <c r="I37" s="113"/>
      <c r="J37" s="113"/>
      <c r="K37" s="113"/>
      <c r="L37" s="113"/>
      <c r="M37" s="113"/>
      <c r="N37" s="113"/>
      <c r="O37" s="113"/>
      <c r="P37" s="113"/>
      <c r="Q37" s="113"/>
      <c r="R37" s="113"/>
      <c r="S37" s="113"/>
      <c r="T37" s="113"/>
      <c r="U37" s="113"/>
      <c r="V37" s="113"/>
      <c r="W37" s="113"/>
      <c r="X37" s="113"/>
      <c r="Y37" s="113"/>
      <c r="Z37" s="113"/>
      <c r="AA37" s="113"/>
      <c r="AB37" s="113"/>
      <c r="AC37" s="113"/>
      <c r="AD37" s="113"/>
      <c r="AE37" s="113"/>
      <c r="AF37" s="113"/>
      <c r="AG37" s="113"/>
      <c r="AH37" s="113"/>
      <c r="AI37" s="113"/>
      <c r="AJ37" s="113"/>
      <c r="AK37" s="113"/>
      <c r="AL37" s="113"/>
      <c r="AM37" s="113"/>
      <c r="AN37" s="113"/>
    </row>
    <row r="38" spans="1:40" ht="105">
      <c r="A38" s="151" t="s">
        <v>166</v>
      </c>
      <c r="B38" s="149" t="s">
        <v>167</v>
      </c>
      <c r="C38" s="149"/>
      <c r="D38" s="113"/>
      <c r="E38" s="113"/>
      <c r="F38" s="113"/>
      <c r="G38" s="113"/>
      <c r="H38" s="113"/>
      <c r="I38" s="113"/>
      <c r="J38" s="113"/>
      <c r="K38" s="113"/>
      <c r="L38" s="113"/>
      <c r="M38" s="113"/>
      <c r="N38" s="113"/>
      <c r="O38" s="113"/>
      <c r="P38" s="113"/>
      <c r="Q38" s="113"/>
      <c r="R38" s="113"/>
      <c r="S38" s="113"/>
      <c r="T38" s="113"/>
      <c r="U38" s="113"/>
      <c r="V38" s="113"/>
      <c r="W38" s="113"/>
      <c r="X38" s="113"/>
      <c r="Y38" s="113"/>
      <c r="Z38" s="113"/>
      <c r="AA38" s="113"/>
      <c r="AB38" s="113"/>
      <c r="AC38" s="113"/>
      <c r="AD38" s="113"/>
      <c r="AE38" s="113"/>
      <c r="AF38" s="113"/>
      <c r="AG38" s="113"/>
      <c r="AH38" s="113"/>
      <c r="AI38" s="113"/>
      <c r="AJ38" s="113"/>
      <c r="AK38" s="113"/>
      <c r="AL38" s="113"/>
      <c r="AM38" s="113"/>
      <c r="AN38" s="113"/>
    </row>
    <row r="39" spans="1:40" ht="15">
      <c r="A39" s="149"/>
      <c r="B39" s="113"/>
      <c r="C39" s="113"/>
      <c r="D39" s="113"/>
      <c r="E39" s="113"/>
      <c r="F39" s="113"/>
      <c r="G39" s="113"/>
      <c r="H39" s="113"/>
      <c r="I39" s="113"/>
      <c r="J39" s="113"/>
      <c r="K39" s="113"/>
      <c r="L39" s="113"/>
      <c r="M39" s="113"/>
      <c r="N39" s="113"/>
      <c r="O39" s="113"/>
      <c r="P39" s="113"/>
      <c r="Q39" s="113"/>
      <c r="R39" s="113"/>
      <c r="S39" s="113"/>
      <c r="T39" s="113"/>
      <c r="U39" s="113"/>
      <c r="V39" s="113"/>
      <c r="W39" s="113"/>
      <c r="X39" s="113"/>
      <c r="Y39" s="113"/>
      <c r="Z39" s="113"/>
      <c r="AA39" s="113"/>
      <c r="AB39" s="113"/>
      <c r="AC39" s="113"/>
      <c r="AD39" s="113"/>
      <c r="AE39" s="113"/>
      <c r="AF39" s="113"/>
      <c r="AG39" s="113"/>
      <c r="AH39" s="113"/>
      <c r="AI39" s="113"/>
      <c r="AJ39" s="113"/>
      <c r="AK39" s="113"/>
      <c r="AL39" s="113"/>
      <c r="AM39" s="113"/>
      <c r="AN39" s="113"/>
    </row>
    <row r="40" spans="1:40" ht="75">
      <c r="A40" s="151" t="s">
        <v>168</v>
      </c>
      <c r="B40" s="149" t="s">
        <v>169</v>
      </c>
      <c r="C40" s="113"/>
      <c r="D40" s="113"/>
      <c r="E40" s="113"/>
      <c r="F40" s="113"/>
      <c r="G40" s="113"/>
      <c r="H40" s="113"/>
      <c r="I40" s="113"/>
      <c r="J40" s="113"/>
      <c r="K40" s="113"/>
      <c r="L40" s="113"/>
      <c r="M40" s="113"/>
      <c r="N40" s="113"/>
      <c r="O40" s="113"/>
      <c r="P40" s="113"/>
      <c r="Q40" s="113"/>
      <c r="R40" s="113"/>
      <c r="S40" s="113"/>
      <c r="T40" s="113"/>
      <c r="U40" s="113"/>
      <c r="V40" s="113"/>
      <c r="W40" s="113"/>
      <c r="X40" s="113"/>
      <c r="Y40" s="113"/>
      <c r="Z40" s="113"/>
      <c r="AA40" s="113"/>
      <c r="AB40" s="113"/>
      <c r="AC40" s="113"/>
      <c r="AD40" s="113"/>
      <c r="AE40" s="113"/>
      <c r="AF40" s="113"/>
      <c r="AG40" s="113"/>
      <c r="AH40" s="113"/>
      <c r="AI40" s="113"/>
      <c r="AJ40" s="113"/>
      <c r="AK40" s="113"/>
      <c r="AL40" s="113"/>
      <c r="AM40" s="113"/>
      <c r="AN40" s="113"/>
    </row>
    <row r="41" spans="1:40" ht="90">
      <c r="B41" s="149" t="s">
        <v>170</v>
      </c>
      <c r="C41" s="149"/>
      <c r="D41" s="113"/>
      <c r="E41" s="113"/>
      <c r="F41" s="113"/>
      <c r="G41" s="113"/>
      <c r="H41" s="113"/>
      <c r="I41" s="113"/>
      <c r="J41" s="113"/>
      <c r="K41" s="113"/>
      <c r="L41" s="113"/>
      <c r="M41" s="113"/>
      <c r="N41" s="113"/>
      <c r="O41" s="113"/>
      <c r="P41" s="113"/>
      <c r="Q41" s="113"/>
      <c r="R41" s="113"/>
      <c r="S41" s="113"/>
      <c r="T41" s="113"/>
      <c r="U41" s="113"/>
      <c r="V41" s="113"/>
      <c r="W41" s="113"/>
      <c r="X41" s="113"/>
      <c r="Y41" s="113"/>
      <c r="Z41" s="113"/>
      <c r="AA41" s="113"/>
      <c r="AB41" s="113"/>
      <c r="AC41" s="113"/>
      <c r="AD41" s="113"/>
      <c r="AE41" s="113"/>
      <c r="AF41" s="113"/>
      <c r="AG41" s="113"/>
      <c r="AH41" s="113"/>
      <c r="AI41" s="113"/>
      <c r="AJ41" s="113"/>
      <c r="AK41" s="113"/>
      <c r="AL41" s="113"/>
      <c r="AM41" s="113"/>
      <c r="AN41" s="113"/>
    </row>
    <row r="42" spans="1:40" ht="15">
      <c r="A42" s="113"/>
      <c r="B42" s="149" t="s">
        <v>171</v>
      </c>
      <c r="C42" s="149"/>
      <c r="D42" s="113"/>
      <c r="E42" s="113"/>
      <c r="F42" s="113"/>
      <c r="G42" s="113"/>
      <c r="H42" s="113"/>
      <c r="I42" s="113"/>
      <c r="J42" s="113"/>
      <c r="K42" s="113"/>
      <c r="L42" s="113"/>
      <c r="M42" s="113"/>
      <c r="N42" s="113"/>
      <c r="O42" s="113"/>
      <c r="P42" s="113"/>
      <c r="Q42" s="113"/>
      <c r="R42" s="113"/>
      <c r="S42" s="113"/>
      <c r="T42" s="113"/>
      <c r="U42" s="113"/>
      <c r="V42" s="113"/>
      <c r="W42" s="113"/>
      <c r="X42" s="113"/>
      <c r="Y42" s="113"/>
      <c r="Z42" s="113"/>
      <c r="AA42" s="113"/>
      <c r="AB42" s="113"/>
      <c r="AC42" s="113"/>
      <c r="AD42" s="113"/>
      <c r="AE42" s="113"/>
      <c r="AF42" s="113"/>
      <c r="AG42" s="113"/>
      <c r="AH42" s="113"/>
      <c r="AI42" s="113"/>
      <c r="AJ42" s="113"/>
      <c r="AK42" s="113"/>
      <c r="AL42" s="113"/>
      <c r="AM42" s="113"/>
      <c r="AN42" s="113"/>
    </row>
    <row r="43" spans="1:40" ht="15">
      <c r="A43" s="149"/>
      <c r="B43" s="113"/>
      <c r="C43" s="113"/>
      <c r="D43" s="113"/>
      <c r="E43" s="113"/>
      <c r="F43" s="113"/>
      <c r="G43" s="113"/>
      <c r="H43" s="113"/>
      <c r="I43" s="113"/>
      <c r="J43" s="113"/>
      <c r="K43" s="113"/>
      <c r="L43" s="113"/>
      <c r="M43" s="113"/>
      <c r="N43" s="113"/>
      <c r="O43" s="113"/>
      <c r="P43" s="113"/>
      <c r="Q43" s="113"/>
      <c r="R43" s="113"/>
      <c r="S43" s="113"/>
      <c r="T43" s="113"/>
      <c r="U43" s="113"/>
      <c r="V43" s="113"/>
      <c r="W43" s="113"/>
      <c r="X43" s="113"/>
      <c r="Y43" s="113"/>
      <c r="Z43" s="113"/>
      <c r="AA43" s="113"/>
      <c r="AB43" s="113"/>
      <c r="AC43" s="113"/>
      <c r="AD43" s="113"/>
      <c r="AE43" s="113"/>
      <c r="AF43" s="113"/>
      <c r="AG43" s="113"/>
      <c r="AH43" s="113"/>
      <c r="AI43" s="113"/>
      <c r="AJ43" s="113"/>
      <c r="AK43" s="113"/>
      <c r="AL43" s="113"/>
      <c r="AM43" s="113"/>
      <c r="AN43" s="113"/>
    </row>
    <row r="44" spans="1:40" ht="15">
      <c r="A44" s="113"/>
      <c r="B44" s="156" t="s">
        <v>172</v>
      </c>
      <c r="C44" s="113"/>
      <c r="D44" s="113"/>
      <c r="E44" s="113"/>
      <c r="F44" s="113"/>
      <c r="G44" s="113"/>
      <c r="H44" s="113"/>
      <c r="I44" s="113"/>
      <c r="J44" s="113"/>
      <c r="K44" s="113"/>
      <c r="L44" s="113"/>
      <c r="M44" s="113"/>
      <c r="N44" s="113"/>
      <c r="O44" s="113"/>
      <c r="P44" s="113"/>
      <c r="Q44" s="113"/>
      <c r="R44" s="113"/>
      <c r="S44" s="113"/>
      <c r="T44" s="113"/>
      <c r="U44" s="113"/>
      <c r="V44" s="113"/>
      <c r="W44" s="113"/>
      <c r="X44" s="113"/>
      <c r="Y44" s="113"/>
      <c r="Z44" s="113"/>
      <c r="AA44" s="113"/>
      <c r="AB44" s="113"/>
      <c r="AC44" s="113"/>
      <c r="AD44" s="113"/>
      <c r="AE44" s="113"/>
      <c r="AF44" s="113"/>
      <c r="AG44" s="113"/>
      <c r="AH44" s="113"/>
      <c r="AI44" s="113"/>
      <c r="AJ44" s="113"/>
      <c r="AK44" s="113"/>
      <c r="AL44" s="113"/>
      <c r="AM44" s="113"/>
      <c r="AN44" s="113"/>
    </row>
    <row r="45" spans="1:40" ht="15.75">
      <c r="A45" s="113"/>
      <c r="B45" s="151"/>
      <c r="C45" s="113"/>
      <c r="D45" s="113"/>
      <c r="E45" s="113"/>
      <c r="F45" s="113"/>
      <c r="G45" s="113"/>
      <c r="H45" s="113"/>
      <c r="I45" s="113"/>
      <c r="J45" s="113"/>
      <c r="K45" s="113"/>
      <c r="L45" s="113"/>
      <c r="M45" s="113"/>
      <c r="N45" s="113"/>
      <c r="O45" s="113"/>
      <c r="P45" s="113"/>
      <c r="Q45" s="113"/>
      <c r="R45" s="113"/>
      <c r="S45" s="113"/>
      <c r="T45" s="113"/>
      <c r="U45" s="113"/>
      <c r="V45" s="113"/>
      <c r="W45" s="113"/>
      <c r="X45" s="113"/>
      <c r="Y45" s="113"/>
      <c r="Z45" s="113"/>
      <c r="AA45" s="113"/>
      <c r="AB45" s="113"/>
      <c r="AC45" s="113"/>
      <c r="AD45" s="113"/>
      <c r="AE45" s="113"/>
      <c r="AF45" s="113"/>
      <c r="AG45" s="113"/>
      <c r="AH45" s="113"/>
      <c r="AI45" s="113"/>
      <c r="AJ45" s="113"/>
      <c r="AK45" s="113"/>
      <c r="AL45" s="113"/>
      <c r="AM45" s="113"/>
      <c r="AN45" s="113"/>
    </row>
    <row r="46" spans="1:40" ht="15">
      <c r="A46" s="113"/>
      <c r="B46" s="149" t="s">
        <v>173</v>
      </c>
      <c r="C46" s="149" t="s">
        <v>174</v>
      </c>
      <c r="D46" s="113"/>
      <c r="E46" s="113"/>
      <c r="F46" s="113"/>
      <c r="G46" s="113"/>
      <c r="H46" s="113"/>
      <c r="I46" s="113"/>
      <c r="J46" s="113"/>
      <c r="K46" s="113"/>
      <c r="L46" s="113"/>
      <c r="M46" s="113"/>
      <c r="N46" s="113"/>
      <c r="O46" s="113"/>
      <c r="P46" s="113"/>
      <c r="Q46" s="113"/>
      <c r="R46" s="113"/>
      <c r="S46" s="113"/>
      <c r="T46" s="113"/>
      <c r="U46" s="113"/>
      <c r="V46" s="113"/>
      <c r="W46" s="113"/>
      <c r="X46" s="113"/>
      <c r="Y46" s="113"/>
      <c r="Z46" s="113"/>
      <c r="AA46" s="113"/>
      <c r="AB46" s="113"/>
      <c r="AC46" s="113"/>
      <c r="AD46" s="113"/>
      <c r="AE46" s="113"/>
      <c r="AF46" s="113"/>
      <c r="AG46" s="113"/>
      <c r="AH46" s="113"/>
      <c r="AI46" s="113"/>
      <c r="AJ46" s="113"/>
      <c r="AK46" s="113"/>
      <c r="AL46" s="113"/>
      <c r="AM46" s="113"/>
      <c r="AN46" s="113"/>
    </row>
    <row r="47" spans="1:40" ht="15">
      <c r="A47" s="113"/>
      <c r="B47" s="149"/>
      <c r="C47" s="113"/>
      <c r="D47" s="113"/>
      <c r="E47" s="113"/>
      <c r="F47" s="113"/>
      <c r="G47" s="113"/>
      <c r="H47" s="113"/>
      <c r="I47" s="113"/>
      <c r="J47" s="113"/>
      <c r="K47" s="113"/>
      <c r="L47" s="113"/>
      <c r="M47" s="113"/>
      <c r="N47" s="113"/>
      <c r="O47" s="113"/>
      <c r="P47" s="113"/>
      <c r="Q47" s="113"/>
      <c r="R47" s="113"/>
      <c r="S47" s="113"/>
      <c r="T47" s="113"/>
      <c r="U47" s="113"/>
      <c r="V47" s="113"/>
      <c r="W47" s="113"/>
      <c r="X47" s="113"/>
      <c r="Y47" s="113"/>
      <c r="Z47" s="113"/>
      <c r="AA47" s="113"/>
      <c r="AB47" s="113"/>
      <c r="AC47" s="113"/>
      <c r="AD47" s="113"/>
      <c r="AE47" s="113"/>
      <c r="AF47" s="113"/>
      <c r="AG47" s="113"/>
      <c r="AH47" s="113"/>
      <c r="AI47" s="113"/>
      <c r="AJ47" s="113"/>
      <c r="AK47" s="113"/>
      <c r="AL47" s="113"/>
      <c r="AM47" s="113"/>
      <c r="AN47" s="113"/>
    </row>
    <row r="48" spans="1:40" ht="30">
      <c r="A48" s="113"/>
      <c r="B48" s="157" t="s">
        <v>175</v>
      </c>
      <c r="C48" s="157" t="s">
        <v>176</v>
      </c>
      <c r="D48" s="113"/>
      <c r="E48" s="113"/>
      <c r="F48" s="113"/>
      <c r="G48" s="113"/>
      <c r="H48" s="113"/>
      <c r="I48" s="113"/>
      <c r="J48" s="113"/>
      <c r="K48" s="113"/>
      <c r="L48" s="113"/>
      <c r="M48" s="113"/>
      <c r="N48" s="113"/>
      <c r="O48" s="113"/>
      <c r="P48" s="113"/>
      <c r="Q48" s="113"/>
      <c r="R48" s="113"/>
      <c r="S48" s="113"/>
      <c r="T48" s="113"/>
      <c r="U48" s="113"/>
      <c r="V48" s="113"/>
      <c r="W48" s="113"/>
      <c r="X48" s="113"/>
      <c r="Y48" s="113"/>
      <c r="Z48" s="113"/>
      <c r="AA48" s="113"/>
      <c r="AB48" s="113"/>
      <c r="AC48" s="113"/>
      <c r="AD48" s="113"/>
      <c r="AE48" s="113"/>
      <c r="AF48" s="113"/>
      <c r="AG48" s="113"/>
      <c r="AH48" s="113"/>
      <c r="AI48" s="113"/>
      <c r="AJ48" s="113"/>
      <c r="AK48" s="113"/>
      <c r="AL48" s="113"/>
      <c r="AM48" s="113"/>
      <c r="AN48" s="113"/>
    </row>
    <row r="49" spans="1:40" ht="15">
      <c r="A49" s="113"/>
      <c r="B49" s="149"/>
      <c r="C49" s="149"/>
      <c r="D49" s="113"/>
      <c r="E49" s="113"/>
      <c r="F49" s="113"/>
      <c r="G49" s="113"/>
      <c r="H49" s="113"/>
      <c r="I49" s="113"/>
      <c r="J49" s="113"/>
      <c r="K49" s="113"/>
      <c r="L49" s="113"/>
      <c r="M49" s="113"/>
      <c r="N49" s="113"/>
      <c r="O49" s="113"/>
      <c r="P49" s="113"/>
      <c r="Q49" s="113"/>
      <c r="R49" s="113"/>
      <c r="S49" s="113"/>
      <c r="T49" s="113"/>
      <c r="U49" s="113"/>
      <c r="V49" s="113"/>
      <c r="W49" s="113"/>
      <c r="X49" s="113"/>
      <c r="Y49" s="113"/>
      <c r="Z49" s="113"/>
      <c r="AA49" s="113"/>
      <c r="AB49" s="113"/>
      <c r="AC49" s="113"/>
      <c r="AD49" s="113"/>
      <c r="AE49" s="113"/>
      <c r="AF49" s="113"/>
      <c r="AG49" s="113"/>
      <c r="AH49" s="113"/>
      <c r="AI49" s="113"/>
      <c r="AJ49" s="113"/>
      <c r="AK49" s="113"/>
      <c r="AL49" s="113"/>
      <c r="AM49" s="113"/>
      <c r="AN49" s="113"/>
    </row>
    <row r="50" spans="1:40" ht="15">
      <c r="A50" s="113"/>
      <c r="B50" s="155" t="s">
        <v>177</v>
      </c>
      <c r="C50" s="155" t="s">
        <v>178</v>
      </c>
      <c r="D50" s="113"/>
      <c r="E50" s="113"/>
      <c r="F50" s="113"/>
      <c r="G50" s="113"/>
      <c r="H50" s="113"/>
      <c r="I50" s="113"/>
      <c r="J50" s="113"/>
      <c r="K50" s="113"/>
      <c r="L50" s="113"/>
      <c r="M50" s="113"/>
      <c r="N50" s="113"/>
      <c r="O50" s="113"/>
      <c r="P50" s="113"/>
      <c r="Q50" s="113"/>
      <c r="R50" s="113"/>
      <c r="S50" s="113"/>
      <c r="T50" s="113"/>
      <c r="U50" s="113"/>
      <c r="V50" s="113"/>
      <c r="W50" s="113"/>
      <c r="X50" s="113"/>
      <c r="Y50" s="113"/>
      <c r="Z50" s="113"/>
      <c r="AA50" s="113"/>
      <c r="AB50" s="113"/>
      <c r="AC50" s="113"/>
      <c r="AD50" s="113"/>
      <c r="AE50" s="113"/>
      <c r="AF50" s="113"/>
      <c r="AG50" s="113"/>
      <c r="AH50" s="113"/>
      <c r="AI50" s="113"/>
      <c r="AJ50" s="113"/>
      <c r="AK50" s="113"/>
      <c r="AL50" s="113"/>
      <c r="AM50" s="113"/>
      <c r="AN50" s="113"/>
    </row>
    <row r="51" spans="1:40" ht="15">
      <c r="A51" s="113"/>
      <c r="B51" s="156"/>
      <c r="C51" s="113"/>
      <c r="D51" s="113"/>
      <c r="E51" s="113"/>
      <c r="F51" s="113"/>
      <c r="G51" s="113"/>
      <c r="H51" s="113"/>
      <c r="I51" s="113"/>
      <c r="J51" s="113"/>
      <c r="K51" s="113"/>
      <c r="L51" s="113"/>
      <c r="M51" s="113"/>
      <c r="N51" s="113"/>
      <c r="O51" s="113"/>
      <c r="P51" s="113"/>
      <c r="Q51" s="113"/>
      <c r="R51" s="113"/>
      <c r="S51" s="113"/>
      <c r="T51" s="113"/>
      <c r="U51" s="113"/>
      <c r="V51" s="113"/>
      <c r="W51" s="113"/>
      <c r="X51" s="113"/>
      <c r="Y51" s="113"/>
      <c r="Z51" s="113"/>
      <c r="AA51" s="113"/>
      <c r="AB51" s="113"/>
      <c r="AC51" s="113"/>
      <c r="AD51" s="113"/>
      <c r="AE51" s="113"/>
      <c r="AF51" s="113"/>
      <c r="AG51" s="113"/>
      <c r="AH51" s="113"/>
      <c r="AI51" s="113"/>
      <c r="AJ51" s="113"/>
      <c r="AK51" s="113"/>
      <c r="AL51" s="113"/>
      <c r="AM51" s="113"/>
      <c r="AN51" s="113"/>
    </row>
    <row r="52" spans="1:40" ht="15">
      <c r="A52" s="113"/>
      <c r="B52" s="156" t="s">
        <v>179</v>
      </c>
      <c r="C52" s="113"/>
      <c r="D52" s="113"/>
      <c r="E52" s="113"/>
      <c r="F52" s="113"/>
      <c r="G52" s="113"/>
      <c r="H52" s="113"/>
      <c r="I52" s="113"/>
      <c r="J52" s="113"/>
      <c r="K52" s="113"/>
      <c r="L52" s="113"/>
      <c r="M52" s="113"/>
      <c r="N52" s="113"/>
      <c r="O52" s="113"/>
      <c r="P52" s="113"/>
      <c r="Q52" s="113"/>
      <c r="R52" s="113"/>
      <c r="S52" s="113"/>
      <c r="T52" s="113"/>
      <c r="U52" s="113"/>
      <c r="V52" s="113"/>
      <c r="W52" s="113"/>
      <c r="X52" s="113"/>
      <c r="Y52" s="113"/>
      <c r="Z52" s="113"/>
      <c r="AA52" s="113"/>
      <c r="AB52" s="113"/>
      <c r="AC52" s="113"/>
      <c r="AD52" s="113"/>
      <c r="AE52" s="113"/>
      <c r="AF52" s="113"/>
      <c r="AG52" s="113"/>
      <c r="AH52" s="113"/>
      <c r="AI52" s="113"/>
      <c r="AJ52" s="113"/>
      <c r="AK52" s="113"/>
      <c r="AL52" s="113"/>
      <c r="AM52" s="113"/>
      <c r="AN52" s="113"/>
    </row>
    <row r="53" spans="1:40" ht="15">
      <c r="A53" s="113"/>
      <c r="B53" s="149"/>
      <c r="C53" s="113"/>
      <c r="D53" s="113"/>
      <c r="E53" s="113"/>
      <c r="F53" s="113"/>
      <c r="G53" s="113"/>
      <c r="H53" s="113"/>
      <c r="I53" s="113"/>
      <c r="J53" s="113"/>
      <c r="K53" s="113"/>
      <c r="L53" s="113"/>
      <c r="M53" s="113"/>
      <c r="N53" s="113"/>
      <c r="O53" s="113"/>
      <c r="P53" s="113"/>
      <c r="Q53" s="113"/>
      <c r="R53" s="113"/>
      <c r="S53" s="113"/>
      <c r="T53" s="113"/>
      <c r="U53" s="113"/>
      <c r="V53" s="113"/>
      <c r="W53" s="113"/>
      <c r="X53" s="113"/>
      <c r="Y53" s="113"/>
      <c r="Z53" s="113"/>
      <c r="AA53" s="113"/>
      <c r="AB53" s="113"/>
      <c r="AC53" s="113"/>
      <c r="AD53" s="113"/>
      <c r="AE53" s="113"/>
      <c r="AF53" s="113"/>
      <c r="AG53" s="113"/>
      <c r="AH53" s="113"/>
      <c r="AI53" s="113"/>
      <c r="AJ53" s="113"/>
      <c r="AK53" s="113"/>
      <c r="AL53" s="113"/>
      <c r="AM53" s="113"/>
      <c r="AN53" s="113"/>
    </row>
    <row r="54" spans="1:40" ht="15">
      <c r="A54" s="113"/>
      <c r="B54" s="149" t="s">
        <v>180</v>
      </c>
      <c r="C54" s="149" t="s">
        <v>181</v>
      </c>
      <c r="D54" s="113"/>
      <c r="E54" s="113"/>
      <c r="F54" s="113"/>
      <c r="G54" s="113"/>
      <c r="H54" s="113"/>
      <c r="I54" s="113"/>
      <c r="J54" s="113"/>
      <c r="K54" s="113"/>
      <c r="L54" s="113"/>
      <c r="M54" s="113"/>
      <c r="N54" s="113"/>
      <c r="O54" s="113"/>
      <c r="P54" s="113"/>
      <c r="Q54" s="113"/>
      <c r="R54" s="113"/>
      <c r="S54" s="113"/>
      <c r="T54" s="113"/>
      <c r="U54" s="113"/>
      <c r="V54" s="113"/>
      <c r="W54" s="113"/>
      <c r="X54" s="113"/>
      <c r="Y54" s="113"/>
      <c r="Z54" s="113"/>
      <c r="AA54" s="113"/>
      <c r="AB54" s="113"/>
      <c r="AC54" s="113"/>
      <c r="AD54" s="113"/>
      <c r="AE54" s="113"/>
      <c r="AF54" s="113"/>
      <c r="AG54" s="113"/>
      <c r="AH54" s="113"/>
      <c r="AI54" s="113"/>
      <c r="AJ54" s="113"/>
      <c r="AK54" s="113"/>
      <c r="AL54" s="113"/>
      <c r="AM54" s="113"/>
      <c r="AN54" s="113"/>
    </row>
    <row r="55" spans="1:40" ht="15">
      <c r="A55" s="113"/>
      <c r="B55" s="149" t="s">
        <v>182</v>
      </c>
      <c r="C55" s="149" t="s">
        <v>174</v>
      </c>
      <c r="D55" s="113"/>
      <c r="E55" s="113"/>
      <c r="F55" s="113"/>
      <c r="G55" s="113"/>
      <c r="H55" s="113"/>
      <c r="I55" s="113"/>
      <c r="J55" s="113"/>
      <c r="K55" s="113"/>
      <c r="L55" s="113"/>
      <c r="M55" s="113"/>
      <c r="N55" s="113"/>
      <c r="O55" s="113"/>
      <c r="P55" s="113"/>
      <c r="Q55" s="113"/>
      <c r="R55" s="113"/>
      <c r="S55" s="113"/>
      <c r="T55" s="113"/>
      <c r="U55" s="113"/>
      <c r="V55" s="113"/>
      <c r="W55" s="113"/>
      <c r="X55" s="113"/>
      <c r="Y55" s="113"/>
      <c r="Z55" s="113"/>
      <c r="AA55" s="113"/>
      <c r="AB55" s="113"/>
      <c r="AC55" s="113"/>
      <c r="AD55" s="113"/>
      <c r="AE55" s="113"/>
      <c r="AF55" s="113"/>
      <c r="AG55" s="113"/>
      <c r="AH55" s="113"/>
      <c r="AI55" s="113"/>
      <c r="AJ55" s="113"/>
      <c r="AK55" s="113"/>
      <c r="AL55" s="113"/>
      <c r="AM55" s="113"/>
      <c r="AN55" s="113"/>
    </row>
    <row r="56" spans="1:40" ht="15">
      <c r="A56" s="113"/>
      <c r="B56" s="149" t="s">
        <v>183</v>
      </c>
      <c r="C56" s="149" t="s">
        <v>174</v>
      </c>
      <c r="D56" s="113"/>
      <c r="E56" s="113"/>
      <c r="F56" s="113"/>
      <c r="G56" s="113"/>
      <c r="H56" s="113"/>
      <c r="I56" s="113"/>
      <c r="J56" s="113"/>
      <c r="K56" s="113"/>
      <c r="L56" s="113"/>
      <c r="M56" s="113"/>
      <c r="N56" s="113"/>
      <c r="O56" s="113"/>
      <c r="P56" s="113"/>
      <c r="Q56" s="113"/>
      <c r="R56" s="113"/>
      <c r="S56" s="113"/>
      <c r="T56" s="113"/>
      <c r="U56" s="113"/>
      <c r="V56" s="113"/>
      <c r="W56" s="113"/>
      <c r="X56" s="113"/>
      <c r="Y56" s="113"/>
      <c r="Z56" s="113"/>
      <c r="AA56" s="113"/>
      <c r="AB56" s="113"/>
      <c r="AC56" s="113"/>
      <c r="AD56" s="113"/>
      <c r="AE56" s="113"/>
      <c r="AF56" s="113"/>
      <c r="AG56" s="113"/>
      <c r="AH56" s="113"/>
      <c r="AI56" s="113"/>
      <c r="AJ56" s="113"/>
      <c r="AK56" s="113"/>
      <c r="AL56" s="113"/>
      <c r="AM56" s="113"/>
      <c r="AN56" s="113"/>
    </row>
    <row r="57" spans="1:40" ht="15">
      <c r="A57" s="113"/>
      <c r="B57" s="149" t="s">
        <v>184</v>
      </c>
      <c r="C57" s="149" t="s">
        <v>174</v>
      </c>
      <c r="D57" s="113"/>
      <c r="E57" s="113"/>
      <c r="F57" s="113"/>
      <c r="G57" s="113"/>
      <c r="H57" s="113"/>
      <c r="I57" s="113"/>
      <c r="J57" s="113"/>
      <c r="K57" s="113"/>
      <c r="L57" s="113"/>
      <c r="M57" s="113"/>
      <c r="N57" s="113"/>
      <c r="O57" s="113"/>
      <c r="P57" s="113"/>
      <c r="Q57" s="113"/>
      <c r="R57" s="113"/>
      <c r="S57" s="113"/>
      <c r="T57" s="113"/>
      <c r="U57" s="113"/>
      <c r="V57" s="113"/>
      <c r="W57" s="113"/>
      <c r="X57" s="113"/>
      <c r="Y57" s="113"/>
      <c r="Z57" s="113"/>
      <c r="AA57" s="113"/>
      <c r="AB57" s="113"/>
      <c r="AC57" s="113"/>
      <c r="AD57" s="113"/>
      <c r="AE57" s="113"/>
      <c r="AF57" s="113"/>
      <c r="AG57" s="113"/>
      <c r="AH57" s="113"/>
      <c r="AI57" s="113"/>
      <c r="AJ57" s="113"/>
      <c r="AK57" s="113"/>
      <c r="AL57" s="113"/>
      <c r="AM57" s="113"/>
      <c r="AN57" s="113"/>
    </row>
    <row r="58" spans="1:40" ht="15">
      <c r="A58" s="113"/>
      <c r="B58" s="149" t="s">
        <v>185</v>
      </c>
      <c r="C58" s="149" t="s">
        <v>186</v>
      </c>
      <c r="D58" s="113"/>
      <c r="E58" s="113"/>
      <c r="F58" s="113"/>
      <c r="G58" s="113"/>
      <c r="H58" s="113"/>
      <c r="I58" s="113"/>
      <c r="J58" s="113"/>
      <c r="K58" s="113"/>
      <c r="L58" s="113"/>
      <c r="M58" s="113"/>
      <c r="N58" s="113"/>
      <c r="O58" s="113"/>
      <c r="P58" s="113"/>
      <c r="Q58" s="113"/>
      <c r="R58" s="113"/>
      <c r="S58" s="113"/>
      <c r="T58" s="113"/>
      <c r="U58" s="113"/>
      <c r="V58" s="113"/>
      <c r="W58" s="113"/>
      <c r="X58" s="113"/>
      <c r="Y58" s="113"/>
      <c r="Z58" s="113"/>
      <c r="AA58" s="113"/>
      <c r="AB58" s="113"/>
      <c r="AC58" s="113"/>
      <c r="AD58" s="113"/>
      <c r="AE58" s="113"/>
      <c r="AF58" s="113"/>
      <c r="AG58" s="113"/>
      <c r="AH58" s="113"/>
      <c r="AI58" s="113"/>
      <c r="AJ58" s="113"/>
      <c r="AK58" s="113"/>
      <c r="AL58" s="113"/>
      <c r="AM58" s="113"/>
      <c r="AN58" s="113"/>
    </row>
    <row r="59" spans="1:40" ht="30">
      <c r="A59" s="113"/>
      <c r="B59" s="157" t="s">
        <v>187</v>
      </c>
      <c r="C59" s="157" t="s">
        <v>188</v>
      </c>
      <c r="D59" s="113"/>
      <c r="E59" s="113"/>
      <c r="F59" s="113"/>
      <c r="G59" s="113"/>
      <c r="H59" s="113"/>
      <c r="I59" s="113"/>
      <c r="J59" s="113"/>
      <c r="K59" s="113"/>
      <c r="L59" s="113"/>
      <c r="M59" s="113"/>
      <c r="N59" s="113"/>
      <c r="O59" s="113"/>
      <c r="P59" s="113"/>
      <c r="Q59" s="113"/>
      <c r="R59" s="113"/>
      <c r="S59" s="113"/>
      <c r="T59" s="113"/>
      <c r="U59" s="113"/>
      <c r="V59" s="113"/>
      <c r="W59" s="113"/>
      <c r="X59" s="113"/>
      <c r="Y59" s="113"/>
      <c r="Z59" s="113"/>
      <c r="AA59" s="113"/>
      <c r="AB59" s="113"/>
      <c r="AC59" s="113"/>
      <c r="AD59" s="113"/>
      <c r="AE59" s="113"/>
      <c r="AF59" s="113"/>
      <c r="AG59" s="113"/>
      <c r="AH59" s="113"/>
      <c r="AI59" s="113"/>
      <c r="AJ59" s="113"/>
      <c r="AK59" s="113"/>
      <c r="AL59" s="113"/>
      <c r="AM59" s="113"/>
      <c r="AN59" s="113"/>
    </row>
    <row r="60" spans="1:40" ht="15">
      <c r="A60" s="113"/>
      <c r="B60" s="149"/>
      <c r="C60" s="113"/>
      <c r="D60" s="113"/>
      <c r="E60" s="113"/>
      <c r="F60" s="113"/>
      <c r="G60" s="113"/>
      <c r="H60" s="113"/>
      <c r="I60" s="113"/>
      <c r="J60" s="113"/>
      <c r="K60" s="113"/>
      <c r="L60" s="113"/>
      <c r="M60" s="113"/>
      <c r="N60" s="113"/>
      <c r="O60" s="113"/>
      <c r="P60" s="113"/>
      <c r="Q60" s="113"/>
      <c r="R60" s="113"/>
      <c r="S60" s="113"/>
      <c r="T60" s="113"/>
      <c r="U60" s="113"/>
      <c r="V60" s="113"/>
      <c r="W60" s="113"/>
      <c r="X60" s="113"/>
      <c r="Y60" s="113"/>
      <c r="Z60" s="113"/>
      <c r="AA60" s="113"/>
      <c r="AB60" s="113"/>
      <c r="AC60" s="113"/>
      <c r="AD60" s="113"/>
      <c r="AE60" s="113"/>
      <c r="AF60" s="113"/>
      <c r="AG60" s="113"/>
      <c r="AH60" s="113"/>
      <c r="AI60" s="113"/>
      <c r="AJ60" s="113"/>
      <c r="AK60" s="113"/>
      <c r="AL60" s="113"/>
      <c r="AM60" s="113"/>
      <c r="AN60" s="113"/>
    </row>
    <row r="61" spans="1:40" ht="15">
      <c r="A61" s="113"/>
      <c r="B61" s="155" t="s">
        <v>177</v>
      </c>
      <c r="C61" s="155" t="s">
        <v>189</v>
      </c>
      <c r="D61" s="113"/>
      <c r="E61" s="113"/>
      <c r="F61" s="113"/>
      <c r="G61" s="113"/>
      <c r="H61" s="113"/>
      <c r="I61" s="113"/>
      <c r="J61" s="113"/>
      <c r="K61" s="113"/>
      <c r="L61" s="113"/>
      <c r="M61" s="113"/>
      <c r="N61" s="113"/>
      <c r="O61" s="113"/>
      <c r="P61" s="113"/>
      <c r="Q61" s="113"/>
      <c r="R61" s="113"/>
      <c r="S61" s="113"/>
      <c r="T61" s="113"/>
      <c r="U61" s="113"/>
      <c r="V61" s="113"/>
      <c r="W61" s="113"/>
      <c r="X61" s="113"/>
      <c r="Y61" s="113"/>
      <c r="Z61" s="113"/>
      <c r="AA61" s="113"/>
      <c r="AB61" s="113"/>
      <c r="AC61" s="113"/>
      <c r="AD61" s="113"/>
      <c r="AE61" s="113"/>
      <c r="AF61" s="113"/>
      <c r="AG61" s="113"/>
      <c r="AH61" s="113"/>
      <c r="AI61" s="113"/>
      <c r="AJ61" s="113"/>
      <c r="AK61" s="113"/>
      <c r="AL61" s="113"/>
      <c r="AM61" s="113"/>
      <c r="AN61" s="113"/>
    </row>
    <row r="62" spans="1:40" ht="15">
      <c r="A62" s="113"/>
      <c r="B62" s="155"/>
      <c r="C62" s="155"/>
      <c r="D62" s="113"/>
      <c r="E62" s="113"/>
      <c r="F62" s="113"/>
      <c r="G62" s="113"/>
      <c r="H62" s="113"/>
      <c r="I62" s="113"/>
      <c r="J62" s="113"/>
      <c r="K62" s="113"/>
      <c r="L62" s="113"/>
      <c r="M62" s="113"/>
      <c r="N62" s="113"/>
      <c r="O62" s="113"/>
      <c r="P62" s="113"/>
      <c r="Q62" s="113"/>
      <c r="R62" s="113"/>
      <c r="S62" s="113"/>
      <c r="T62" s="113"/>
      <c r="U62" s="113"/>
      <c r="V62" s="113"/>
      <c r="W62" s="113"/>
      <c r="X62" s="113"/>
      <c r="Y62" s="113"/>
      <c r="Z62" s="113"/>
      <c r="AA62" s="113"/>
      <c r="AB62" s="113"/>
      <c r="AC62" s="113"/>
      <c r="AD62" s="113"/>
      <c r="AE62" s="113"/>
      <c r="AF62" s="113"/>
      <c r="AG62" s="113"/>
      <c r="AH62" s="113"/>
      <c r="AI62" s="113"/>
      <c r="AJ62" s="113"/>
      <c r="AK62" s="113"/>
      <c r="AL62" s="113"/>
      <c r="AM62" s="113"/>
      <c r="AN62" s="113"/>
    </row>
    <row r="63" spans="1:40" ht="121.5">
      <c r="A63" s="149"/>
      <c r="B63" s="149" t="s">
        <v>190</v>
      </c>
      <c r="C63" s="113"/>
      <c r="D63" s="113"/>
      <c r="E63" s="113"/>
      <c r="F63" s="113"/>
      <c r="G63" s="113"/>
      <c r="H63" s="113"/>
      <c r="I63" s="113"/>
      <c r="J63" s="113"/>
      <c r="K63" s="113"/>
      <c r="L63" s="113"/>
      <c r="M63" s="113"/>
      <c r="N63" s="113"/>
      <c r="O63" s="113"/>
      <c r="P63" s="113"/>
      <c r="Q63" s="113"/>
      <c r="R63" s="113"/>
      <c r="S63" s="113"/>
      <c r="T63" s="113"/>
      <c r="U63" s="113"/>
      <c r="V63" s="113"/>
      <c r="W63" s="113"/>
      <c r="X63" s="113"/>
      <c r="Y63" s="113"/>
      <c r="Z63" s="113"/>
      <c r="AA63" s="113"/>
      <c r="AB63" s="113"/>
      <c r="AC63" s="113"/>
      <c r="AD63" s="113"/>
      <c r="AE63" s="113"/>
      <c r="AF63" s="113"/>
      <c r="AG63" s="113"/>
      <c r="AH63" s="113"/>
      <c r="AI63" s="113"/>
      <c r="AJ63" s="113"/>
      <c r="AK63" s="113"/>
      <c r="AL63" s="113"/>
      <c r="AM63" s="113"/>
      <c r="AN63" s="113"/>
    </row>
    <row r="64" spans="1:40" ht="15">
      <c r="A64" s="149"/>
      <c r="B64" s="113"/>
      <c r="C64" s="113"/>
      <c r="D64" s="113"/>
      <c r="E64" s="113"/>
      <c r="F64" s="113"/>
      <c r="G64" s="113"/>
      <c r="H64" s="113"/>
      <c r="I64" s="113"/>
      <c r="J64" s="113"/>
      <c r="K64" s="113"/>
      <c r="L64" s="113"/>
      <c r="M64" s="113"/>
      <c r="N64" s="113"/>
      <c r="O64" s="113"/>
      <c r="P64" s="113"/>
      <c r="Q64" s="113"/>
      <c r="R64" s="113"/>
      <c r="S64" s="113"/>
      <c r="T64" s="113"/>
      <c r="U64" s="113"/>
      <c r="V64" s="113"/>
      <c r="W64" s="113"/>
      <c r="X64" s="113"/>
      <c r="Y64" s="113"/>
      <c r="Z64" s="113"/>
      <c r="AA64" s="113"/>
      <c r="AB64" s="113"/>
      <c r="AC64" s="113"/>
      <c r="AD64" s="113"/>
      <c r="AE64" s="113"/>
      <c r="AF64" s="113"/>
      <c r="AG64" s="113"/>
      <c r="AH64" s="113"/>
      <c r="AI64" s="113"/>
      <c r="AJ64" s="113"/>
      <c r="AK64" s="113"/>
      <c r="AL64" s="113"/>
      <c r="AM64" s="113"/>
      <c r="AN64" s="113"/>
    </row>
    <row r="65" spans="1:40" ht="15.75">
      <c r="A65" s="151" t="s">
        <v>191</v>
      </c>
      <c r="B65" s="113"/>
      <c r="C65" s="113"/>
      <c r="D65" s="113"/>
      <c r="E65" s="113"/>
      <c r="F65" s="113"/>
      <c r="G65" s="113"/>
      <c r="H65" s="113"/>
      <c r="I65" s="113"/>
      <c r="J65" s="113"/>
      <c r="K65" s="113"/>
      <c r="L65" s="113"/>
      <c r="M65" s="113"/>
      <c r="N65" s="113"/>
      <c r="O65" s="113"/>
      <c r="P65" s="113"/>
      <c r="Q65" s="113"/>
      <c r="R65" s="113"/>
      <c r="S65" s="113"/>
      <c r="T65" s="113"/>
      <c r="U65" s="113"/>
      <c r="V65" s="113"/>
      <c r="W65" s="113"/>
      <c r="X65" s="113"/>
      <c r="Y65" s="113"/>
      <c r="Z65" s="113"/>
      <c r="AA65" s="113"/>
      <c r="AB65" s="113"/>
      <c r="AC65" s="113"/>
      <c r="AD65" s="113"/>
      <c r="AE65" s="113"/>
      <c r="AF65" s="113"/>
      <c r="AG65" s="113"/>
      <c r="AH65" s="113"/>
      <c r="AI65" s="113"/>
      <c r="AJ65" s="113"/>
      <c r="AK65" s="113"/>
      <c r="AL65" s="113"/>
      <c r="AM65" s="113"/>
      <c r="AN65" s="113"/>
    </row>
    <row r="66" spans="1:40" ht="30">
      <c r="A66" s="151" t="s">
        <v>192</v>
      </c>
      <c r="B66" s="149" t="s">
        <v>193</v>
      </c>
      <c r="C66" s="149"/>
      <c r="D66" s="113"/>
      <c r="E66" s="113"/>
      <c r="F66" s="113"/>
      <c r="G66" s="113"/>
      <c r="H66" s="113"/>
      <c r="I66" s="113"/>
      <c r="J66" s="113"/>
      <c r="K66" s="113"/>
      <c r="L66" s="113"/>
      <c r="M66" s="113"/>
      <c r="N66" s="113"/>
      <c r="O66" s="113"/>
      <c r="P66" s="113"/>
      <c r="Q66" s="113"/>
      <c r="R66" s="113"/>
      <c r="S66" s="113"/>
      <c r="T66" s="113"/>
      <c r="U66" s="113"/>
      <c r="V66" s="113"/>
      <c r="W66" s="113"/>
      <c r="X66" s="113"/>
      <c r="Y66" s="113"/>
      <c r="Z66" s="113"/>
      <c r="AA66" s="113"/>
      <c r="AB66" s="113"/>
      <c r="AC66" s="113"/>
      <c r="AD66" s="113"/>
      <c r="AE66" s="113"/>
      <c r="AF66" s="113"/>
      <c r="AG66" s="113"/>
      <c r="AH66" s="113"/>
      <c r="AI66" s="113"/>
      <c r="AJ66" s="113"/>
      <c r="AK66" s="113"/>
      <c r="AL66" s="113"/>
      <c r="AM66" s="113"/>
      <c r="AN66" s="113"/>
    </row>
    <row r="67" spans="1:40">
      <c r="A67" s="158"/>
      <c r="B67" s="113"/>
      <c r="C67" s="113"/>
      <c r="D67" s="113"/>
      <c r="E67" s="113"/>
      <c r="F67" s="113"/>
      <c r="G67" s="113"/>
      <c r="H67" s="113"/>
      <c r="I67" s="113"/>
      <c r="J67" s="113"/>
      <c r="K67" s="113"/>
      <c r="L67" s="113"/>
      <c r="M67" s="113"/>
      <c r="N67" s="113"/>
      <c r="O67" s="113"/>
      <c r="P67" s="113"/>
      <c r="Q67" s="113"/>
      <c r="R67" s="113"/>
      <c r="S67" s="113"/>
      <c r="T67" s="113"/>
      <c r="U67" s="113"/>
      <c r="V67" s="113"/>
      <c r="W67" s="113"/>
      <c r="X67" s="113"/>
      <c r="Y67" s="113"/>
      <c r="Z67" s="113"/>
      <c r="AA67" s="113"/>
      <c r="AB67" s="113"/>
      <c r="AC67" s="113"/>
      <c r="AD67" s="113"/>
      <c r="AE67" s="113"/>
      <c r="AF67" s="113"/>
      <c r="AG67" s="113"/>
      <c r="AH67" s="113"/>
      <c r="AI67" s="113"/>
      <c r="AJ67" s="113"/>
      <c r="AK67" s="113"/>
      <c r="AL67" s="113"/>
      <c r="AM67" s="113"/>
      <c r="AN67" s="113"/>
    </row>
    <row r="68" spans="1:40" ht="60">
      <c r="A68" s="151" t="s">
        <v>194</v>
      </c>
      <c r="B68" s="149" t="s">
        <v>195</v>
      </c>
      <c r="C68" s="149"/>
      <c r="D68" s="113"/>
      <c r="E68" s="113"/>
      <c r="F68" s="113"/>
      <c r="G68" s="113"/>
      <c r="H68" s="113"/>
      <c r="I68" s="113"/>
      <c r="J68" s="113"/>
      <c r="K68" s="113"/>
      <c r="L68" s="113"/>
      <c r="M68" s="113"/>
      <c r="N68" s="113"/>
      <c r="O68" s="113"/>
      <c r="P68" s="113"/>
      <c r="Q68" s="113"/>
      <c r="R68" s="113"/>
      <c r="S68" s="113"/>
      <c r="T68" s="113"/>
      <c r="U68" s="113"/>
      <c r="V68" s="113"/>
      <c r="W68" s="113"/>
      <c r="X68" s="113"/>
      <c r="Y68" s="113"/>
      <c r="Z68" s="113"/>
      <c r="AA68" s="113"/>
      <c r="AB68" s="113"/>
      <c r="AC68" s="113"/>
      <c r="AD68" s="113"/>
      <c r="AE68" s="113"/>
      <c r="AF68" s="113"/>
      <c r="AG68" s="113"/>
      <c r="AH68" s="113"/>
      <c r="AI68" s="113"/>
      <c r="AJ68" s="113"/>
      <c r="AK68" s="113"/>
      <c r="AL68" s="113"/>
      <c r="AM68" s="113"/>
      <c r="AN68" s="113"/>
    </row>
    <row r="69" spans="1:40" ht="90">
      <c r="A69" s="151" t="s">
        <v>196</v>
      </c>
      <c r="B69" s="149" t="s">
        <v>197</v>
      </c>
      <c r="C69" s="149"/>
      <c r="D69" s="113"/>
      <c r="E69" s="113"/>
      <c r="F69" s="113"/>
      <c r="G69" s="113"/>
      <c r="H69" s="113"/>
      <c r="I69" s="113"/>
      <c r="J69" s="113"/>
      <c r="K69" s="113"/>
      <c r="L69" s="113"/>
      <c r="M69" s="113"/>
      <c r="N69" s="113"/>
      <c r="O69" s="113"/>
      <c r="P69" s="113"/>
      <c r="Q69" s="113"/>
      <c r="R69" s="113"/>
      <c r="S69" s="113"/>
      <c r="T69" s="113"/>
      <c r="U69" s="113"/>
      <c r="V69" s="113"/>
      <c r="W69" s="113"/>
      <c r="X69" s="113"/>
      <c r="Y69" s="113"/>
      <c r="Z69" s="113"/>
      <c r="AA69" s="113"/>
      <c r="AB69" s="113"/>
      <c r="AC69" s="113"/>
      <c r="AD69" s="113"/>
      <c r="AE69" s="113"/>
      <c r="AF69" s="113"/>
      <c r="AG69" s="113"/>
      <c r="AH69" s="113"/>
      <c r="AI69" s="113"/>
      <c r="AJ69" s="113"/>
      <c r="AK69" s="113"/>
      <c r="AL69" s="113"/>
      <c r="AM69" s="113"/>
      <c r="AN69" s="113"/>
    </row>
    <row r="70" spans="1:40" ht="90">
      <c r="A70" s="151" t="s">
        <v>198</v>
      </c>
      <c r="B70" s="149" t="s">
        <v>199</v>
      </c>
      <c r="C70" s="149"/>
      <c r="D70" s="113"/>
      <c r="E70" s="113"/>
      <c r="F70" s="113"/>
      <c r="G70" s="113"/>
      <c r="H70" s="113"/>
      <c r="I70" s="113"/>
      <c r="J70" s="113"/>
      <c r="K70" s="113"/>
      <c r="L70" s="113"/>
      <c r="M70" s="113"/>
      <c r="N70" s="113"/>
      <c r="O70" s="113"/>
      <c r="P70" s="113"/>
      <c r="Q70" s="113"/>
      <c r="R70" s="113"/>
      <c r="S70" s="113"/>
      <c r="T70" s="113"/>
      <c r="U70" s="113"/>
      <c r="V70" s="113"/>
      <c r="W70" s="113"/>
      <c r="X70" s="113"/>
      <c r="Y70" s="113"/>
      <c r="Z70" s="113"/>
      <c r="AA70" s="113"/>
      <c r="AB70" s="113"/>
      <c r="AC70" s="113"/>
      <c r="AD70" s="113"/>
      <c r="AE70" s="113"/>
      <c r="AF70" s="113"/>
      <c r="AG70" s="113"/>
      <c r="AH70" s="113"/>
      <c r="AI70" s="113"/>
      <c r="AJ70" s="113"/>
      <c r="AK70" s="113"/>
      <c r="AL70" s="113"/>
      <c r="AM70" s="113"/>
      <c r="AN70" s="113"/>
    </row>
    <row r="71" spans="1:40" ht="15">
      <c r="A71" s="149"/>
      <c r="B71" s="113"/>
      <c r="C71" s="113"/>
      <c r="D71" s="113"/>
      <c r="E71" s="113"/>
      <c r="F71" s="113"/>
      <c r="G71" s="113"/>
      <c r="H71" s="113"/>
      <c r="I71" s="113"/>
      <c r="J71" s="113"/>
      <c r="K71" s="113"/>
      <c r="L71" s="113"/>
      <c r="M71" s="113"/>
      <c r="N71" s="113"/>
      <c r="O71" s="113"/>
      <c r="P71" s="113"/>
      <c r="Q71" s="113"/>
      <c r="R71" s="113"/>
      <c r="S71" s="113"/>
      <c r="T71" s="113"/>
      <c r="U71" s="113"/>
      <c r="V71" s="113"/>
      <c r="W71" s="113"/>
      <c r="X71" s="113"/>
      <c r="Y71" s="113"/>
      <c r="Z71" s="113"/>
      <c r="AA71" s="113"/>
      <c r="AB71" s="113"/>
      <c r="AC71" s="113"/>
      <c r="AD71" s="113"/>
      <c r="AE71" s="113"/>
      <c r="AF71" s="113"/>
      <c r="AG71" s="113"/>
      <c r="AH71" s="113"/>
      <c r="AI71" s="113"/>
      <c r="AJ71" s="113"/>
      <c r="AK71" s="113"/>
      <c r="AL71" s="113"/>
      <c r="AM71" s="113"/>
      <c r="AN71" s="113"/>
    </row>
    <row r="72" spans="1:40" ht="15.75">
      <c r="A72" s="151" t="s">
        <v>200</v>
      </c>
      <c r="B72" s="151"/>
      <c r="C72" s="151"/>
      <c r="D72" s="113"/>
      <c r="E72" s="113"/>
      <c r="F72" s="113"/>
      <c r="G72" s="113"/>
      <c r="H72" s="113"/>
      <c r="I72" s="113"/>
      <c r="J72" s="113"/>
      <c r="K72" s="113"/>
      <c r="L72" s="113"/>
      <c r="M72" s="113"/>
      <c r="N72" s="113"/>
      <c r="O72" s="113"/>
      <c r="P72" s="113"/>
      <c r="Q72" s="113"/>
      <c r="R72" s="113"/>
      <c r="S72" s="113"/>
      <c r="T72" s="113"/>
      <c r="U72" s="113"/>
      <c r="V72" s="113"/>
      <c r="W72" s="113"/>
      <c r="X72" s="113"/>
      <c r="Y72" s="113"/>
      <c r="Z72" s="113"/>
      <c r="AA72" s="113"/>
      <c r="AB72" s="113"/>
      <c r="AC72" s="113"/>
      <c r="AD72" s="113"/>
      <c r="AE72" s="113"/>
      <c r="AF72" s="113"/>
      <c r="AG72" s="113"/>
      <c r="AH72" s="113"/>
      <c r="AI72" s="113"/>
      <c r="AJ72" s="113"/>
      <c r="AK72" s="113"/>
      <c r="AL72" s="113"/>
      <c r="AM72" s="113"/>
      <c r="AN72" s="113"/>
    </row>
    <row r="73" spans="1:40" ht="15.75">
      <c r="A73" s="151"/>
      <c r="B73" s="113"/>
      <c r="C73" s="113"/>
      <c r="D73" s="113"/>
      <c r="E73" s="113"/>
      <c r="F73" s="113"/>
      <c r="G73" s="113"/>
      <c r="H73" s="113"/>
      <c r="I73" s="113"/>
      <c r="J73" s="113"/>
      <c r="K73" s="113"/>
      <c r="L73" s="113"/>
      <c r="M73" s="113"/>
      <c r="N73" s="113"/>
      <c r="O73" s="113"/>
      <c r="P73" s="113"/>
      <c r="Q73" s="113"/>
      <c r="R73" s="113"/>
      <c r="S73" s="113"/>
      <c r="T73" s="113"/>
      <c r="U73" s="113"/>
      <c r="V73" s="113"/>
      <c r="W73" s="113"/>
      <c r="X73" s="113"/>
      <c r="Y73" s="113"/>
      <c r="Z73" s="113"/>
      <c r="AA73" s="113"/>
      <c r="AB73" s="113"/>
      <c r="AC73" s="113"/>
      <c r="AD73" s="113"/>
      <c r="AE73" s="113"/>
      <c r="AF73" s="113"/>
      <c r="AG73" s="113"/>
      <c r="AH73" s="113"/>
      <c r="AI73" s="113"/>
      <c r="AJ73" s="113"/>
      <c r="AK73" s="113"/>
      <c r="AL73" s="113"/>
      <c r="AM73" s="113"/>
      <c r="AN73" s="113"/>
    </row>
    <row r="74" spans="1:40" ht="15.75">
      <c r="A74" s="151" t="s">
        <v>156</v>
      </c>
      <c r="B74" s="113"/>
      <c r="C74" s="113"/>
      <c r="D74" s="113"/>
      <c r="E74" s="113"/>
      <c r="F74" s="113"/>
      <c r="G74" s="113"/>
      <c r="H74" s="113"/>
      <c r="I74" s="113"/>
      <c r="J74" s="113"/>
      <c r="K74" s="113"/>
      <c r="L74" s="113"/>
      <c r="M74" s="113"/>
      <c r="N74" s="113"/>
      <c r="O74" s="113"/>
      <c r="P74" s="113"/>
      <c r="Q74" s="113"/>
      <c r="R74" s="113"/>
      <c r="S74" s="113"/>
      <c r="T74" s="113"/>
      <c r="U74" s="113"/>
      <c r="V74" s="113"/>
      <c r="W74" s="113"/>
      <c r="X74" s="113"/>
      <c r="Y74" s="113"/>
      <c r="Z74" s="113"/>
      <c r="AA74" s="113"/>
      <c r="AB74" s="113"/>
      <c r="AC74" s="113"/>
      <c r="AD74" s="113"/>
      <c r="AE74" s="113"/>
      <c r="AF74" s="113"/>
      <c r="AG74" s="113"/>
      <c r="AH74" s="113"/>
      <c r="AI74" s="113"/>
      <c r="AJ74" s="113"/>
      <c r="AK74" s="113"/>
      <c r="AL74" s="113"/>
      <c r="AM74" s="113"/>
      <c r="AN74" s="113"/>
    </row>
    <row r="75" spans="1:40" ht="15.75">
      <c r="A75" s="151"/>
      <c r="B75" s="113"/>
      <c r="C75" s="113"/>
      <c r="D75" s="113"/>
      <c r="E75" s="113"/>
      <c r="F75" s="113"/>
      <c r="G75" s="113"/>
      <c r="H75" s="113"/>
      <c r="I75" s="113"/>
      <c r="J75" s="113"/>
      <c r="K75" s="113"/>
      <c r="L75" s="113"/>
      <c r="M75" s="113"/>
      <c r="N75" s="113"/>
      <c r="O75" s="113"/>
      <c r="P75" s="113"/>
      <c r="Q75" s="113"/>
      <c r="R75" s="113"/>
      <c r="S75" s="113"/>
      <c r="T75" s="113"/>
      <c r="U75" s="113"/>
      <c r="V75" s="113"/>
      <c r="W75" s="113"/>
      <c r="X75" s="113"/>
      <c r="Y75" s="113"/>
      <c r="Z75" s="113"/>
      <c r="AA75" s="113"/>
      <c r="AB75" s="113"/>
      <c r="AC75" s="113"/>
      <c r="AD75" s="113"/>
      <c r="AE75" s="113"/>
      <c r="AF75" s="113"/>
      <c r="AG75" s="113"/>
      <c r="AH75" s="113"/>
      <c r="AI75" s="113"/>
      <c r="AJ75" s="113"/>
      <c r="AK75" s="113"/>
      <c r="AL75" s="113"/>
      <c r="AM75" s="113"/>
      <c r="AN75" s="113"/>
    </row>
    <row r="76" spans="1:40" ht="45">
      <c r="A76" s="149" t="s">
        <v>201</v>
      </c>
      <c r="B76" s="149"/>
      <c r="C76" s="149"/>
      <c r="D76" s="113"/>
      <c r="E76" s="113"/>
      <c r="F76" s="113"/>
      <c r="G76" s="113"/>
      <c r="H76" s="113"/>
      <c r="I76" s="113"/>
      <c r="J76" s="113"/>
      <c r="K76" s="113"/>
      <c r="L76" s="113"/>
      <c r="M76" s="113"/>
      <c r="N76" s="113"/>
      <c r="O76" s="113"/>
      <c r="P76" s="113"/>
      <c r="Q76" s="113"/>
      <c r="R76" s="113"/>
      <c r="S76" s="113"/>
      <c r="T76" s="113"/>
      <c r="U76" s="113"/>
      <c r="V76" s="113"/>
      <c r="W76" s="113"/>
      <c r="X76" s="113"/>
      <c r="Y76" s="113"/>
      <c r="Z76" s="113"/>
      <c r="AA76" s="113"/>
      <c r="AB76" s="113"/>
      <c r="AC76" s="113"/>
      <c r="AD76" s="113"/>
      <c r="AE76" s="113"/>
      <c r="AF76" s="113"/>
      <c r="AG76" s="113"/>
      <c r="AH76" s="113"/>
      <c r="AI76" s="113"/>
      <c r="AJ76" s="113"/>
      <c r="AK76" s="113"/>
      <c r="AL76" s="113"/>
      <c r="AM76" s="113"/>
      <c r="AN76" s="113"/>
    </row>
    <row r="77" spans="1:40" ht="15">
      <c r="A77" s="149"/>
      <c r="B77" s="113"/>
      <c r="C77" s="113"/>
      <c r="D77" s="113"/>
      <c r="E77" s="113"/>
      <c r="F77" s="113"/>
      <c r="G77" s="113"/>
      <c r="H77" s="113"/>
      <c r="I77" s="113"/>
      <c r="J77" s="113"/>
      <c r="K77" s="113"/>
      <c r="L77" s="113"/>
      <c r="M77" s="113"/>
      <c r="N77" s="113"/>
      <c r="O77" s="113"/>
      <c r="P77" s="113"/>
      <c r="Q77" s="113"/>
      <c r="R77" s="113"/>
      <c r="S77" s="113"/>
      <c r="T77" s="113"/>
      <c r="U77" s="113"/>
      <c r="V77" s="113"/>
      <c r="W77" s="113"/>
      <c r="X77" s="113"/>
      <c r="Y77" s="113"/>
      <c r="Z77" s="113"/>
      <c r="AA77" s="113"/>
      <c r="AB77" s="113"/>
      <c r="AC77" s="113"/>
      <c r="AD77" s="113"/>
      <c r="AE77" s="113"/>
      <c r="AF77" s="113"/>
      <c r="AG77" s="113"/>
      <c r="AH77" s="113"/>
      <c r="AI77" s="113"/>
      <c r="AJ77" s="113"/>
      <c r="AK77" s="113"/>
      <c r="AL77" s="113"/>
      <c r="AM77" s="113"/>
      <c r="AN77" s="113"/>
    </row>
    <row r="78" spans="1:40" ht="15">
      <c r="A78" s="155" t="s">
        <v>158</v>
      </c>
      <c r="B78" s="113"/>
      <c r="C78" s="113"/>
      <c r="D78" s="113"/>
      <c r="E78" s="113"/>
      <c r="F78" s="113"/>
      <c r="G78" s="113"/>
      <c r="H78" s="113"/>
      <c r="I78" s="113"/>
      <c r="J78" s="113"/>
      <c r="K78" s="113"/>
      <c r="L78" s="113"/>
      <c r="M78" s="113"/>
      <c r="N78" s="113"/>
      <c r="O78" s="113"/>
      <c r="P78" s="113"/>
      <c r="Q78" s="113"/>
      <c r="R78" s="113"/>
      <c r="S78" s="113"/>
      <c r="T78" s="113"/>
      <c r="U78" s="113"/>
      <c r="V78" s="113"/>
      <c r="W78" s="113"/>
      <c r="X78" s="113"/>
      <c r="Y78" s="113"/>
      <c r="Z78" s="113"/>
      <c r="AA78" s="113"/>
      <c r="AB78" s="113"/>
      <c r="AC78" s="113"/>
      <c r="AD78" s="113"/>
      <c r="AE78" s="113"/>
      <c r="AF78" s="113"/>
      <c r="AG78" s="113"/>
      <c r="AH78" s="113"/>
      <c r="AI78" s="113"/>
      <c r="AJ78" s="113"/>
      <c r="AK78" s="113"/>
      <c r="AL78" s="113"/>
      <c r="AM78" s="113"/>
      <c r="AN78" s="113"/>
    </row>
    <row r="79" spans="1:40" ht="15">
      <c r="A79" s="149" t="s">
        <v>159</v>
      </c>
      <c r="B79" s="113"/>
      <c r="C79" s="113"/>
      <c r="D79" s="113"/>
      <c r="E79" s="113"/>
      <c r="F79" s="113"/>
      <c r="G79" s="113"/>
      <c r="H79" s="113"/>
      <c r="I79" s="113"/>
      <c r="J79" s="113"/>
      <c r="K79" s="113"/>
      <c r="L79" s="113"/>
      <c r="M79" s="113"/>
      <c r="N79" s="113"/>
      <c r="O79" s="113"/>
      <c r="P79" s="113"/>
      <c r="Q79" s="113"/>
      <c r="R79" s="113"/>
      <c r="S79" s="113"/>
      <c r="T79" s="113"/>
      <c r="U79" s="113"/>
      <c r="V79" s="113"/>
      <c r="W79" s="113"/>
      <c r="X79" s="113"/>
      <c r="Y79" s="113"/>
      <c r="Z79" s="113"/>
      <c r="AA79" s="113"/>
      <c r="AB79" s="113"/>
      <c r="AC79" s="113"/>
      <c r="AD79" s="113"/>
      <c r="AE79" s="113"/>
      <c r="AF79" s="113"/>
      <c r="AG79" s="113"/>
      <c r="AH79" s="113"/>
      <c r="AI79" s="113"/>
      <c r="AJ79" s="113"/>
      <c r="AK79" s="113"/>
      <c r="AL79" s="113"/>
      <c r="AM79" s="113"/>
      <c r="AN79" s="113"/>
    </row>
    <row r="80" spans="1:40" ht="45">
      <c r="A80" s="151" t="s">
        <v>202</v>
      </c>
      <c r="B80" s="149" t="s">
        <v>203</v>
      </c>
      <c r="C80" s="149"/>
      <c r="D80" s="113"/>
      <c r="E80" s="113"/>
      <c r="F80" s="113"/>
      <c r="G80" s="113"/>
      <c r="H80" s="113"/>
      <c r="I80" s="113"/>
      <c r="J80" s="113"/>
      <c r="K80" s="113"/>
      <c r="L80" s="113"/>
      <c r="M80" s="113"/>
      <c r="N80" s="113"/>
      <c r="O80" s="113"/>
      <c r="P80" s="113"/>
      <c r="Q80" s="113"/>
      <c r="R80" s="113"/>
      <c r="S80" s="113"/>
      <c r="T80" s="113"/>
      <c r="U80" s="113"/>
      <c r="V80" s="113"/>
      <c r="W80" s="113"/>
      <c r="X80" s="113"/>
      <c r="Y80" s="113"/>
      <c r="Z80" s="113"/>
      <c r="AA80" s="113"/>
      <c r="AB80" s="113"/>
      <c r="AC80" s="113"/>
      <c r="AD80" s="113"/>
      <c r="AE80" s="113"/>
      <c r="AF80" s="113"/>
      <c r="AG80" s="113"/>
      <c r="AH80" s="113"/>
      <c r="AI80" s="113"/>
      <c r="AJ80" s="113"/>
      <c r="AK80" s="113"/>
      <c r="AL80" s="113"/>
      <c r="AM80" s="113"/>
      <c r="AN80" s="113"/>
    </row>
    <row r="81" spans="1:40" ht="15">
      <c r="A81" s="149"/>
      <c r="B81" s="113"/>
      <c r="C81" s="113"/>
      <c r="D81" s="113"/>
      <c r="E81" s="113"/>
      <c r="F81" s="113"/>
      <c r="G81" s="113"/>
      <c r="H81" s="113"/>
      <c r="I81" s="113"/>
      <c r="J81" s="113"/>
      <c r="K81" s="113"/>
      <c r="L81" s="113"/>
      <c r="M81" s="113"/>
      <c r="N81" s="113"/>
      <c r="O81" s="113"/>
      <c r="P81" s="113"/>
      <c r="Q81" s="113"/>
      <c r="R81" s="113"/>
      <c r="S81" s="113"/>
      <c r="T81" s="113"/>
      <c r="U81" s="113"/>
      <c r="V81" s="113"/>
      <c r="W81" s="113"/>
      <c r="X81" s="113"/>
      <c r="Y81" s="113"/>
      <c r="Z81" s="113"/>
      <c r="AA81" s="113"/>
      <c r="AB81" s="113"/>
      <c r="AC81" s="113"/>
      <c r="AD81" s="113"/>
      <c r="AE81" s="113"/>
      <c r="AF81" s="113"/>
      <c r="AG81" s="113"/>
      <c r="AH81" s="113"/>
      <c r="AI81" s="113"/>
      <c r="AJ81" s="113"/>
      <c r="AK81" s="113"/>
      <c r="AL81" s="113"/>
      <c r="AM81" s="113"/>
      <c r="AN81" s="113"/>
    </row>
    <row r="82" spans="1:40" ht="45">
      <c r="A82" s="151" t="s">
        <v>204</v>
      </c>
      <c r="B82" s="149" t="s">
        <v>205</v>
      </c>
      <c r="C82" s="149"/>
      <c r="D82" s="113"/>
      <c r="E82" s="113"/>
      <c r="F82" s="113"/>
      <c r="G82" s="113"/>
      <c r="H82" s="113"/>
      <c r="I82" s="113"/>
      <c r="J82" s="113"/>
      <c r="K82" s="113"/>
      <c r="L82" s="113"/>
      <c r="M82" s="113"/>
      <c r="N82" s="113"/>
      <c r="O82" s="113"/>
      <c r="P82" s="113"/>
      <c r="Q82" s="113"/>
      <c r="R82" s="113"/>
      <c r="S82" s="113"/>
      <c r="T82" s="113"/>
      <c r="U82" s="113"/>
      <c r="V82" s="113"/>
      <c r="W82" s="113"/>
      <c r="X82" s="113"/>
      <c r="Y82" s="113"/>
      <c r="Z82" s="113"/>
      <c r="AA82" s="113"/>
      <c r="AB82" s="113"/>
      <c r="AC82" s="113"/>
      <c r="AD82" s="113"/>
      <c r="AE82" s="113"/>
      <c r="AF82" s="113"/>
      <c r="AG82" s="113"/>
      <c r="AH82" s="113"/>
      <c r="AI82" s="113"/>
      <c r="AJ82" s="113"/>
      <c r="AK82" s="113"/>
      <c r="AL82" s="113"/>
      <c r="AM82" s="113"/>
      <c r="AN82" s="113"/>
    </row>
    <row r="83" spans="1:40" ht="15">
      <c r="A83" s="149"/>
      <c r="B83" s="113"/>
      <c r="C83" s="113"/>
      <c r="D83" s="113"/>
      <c r="E83" s="113"/>
      <c r="F83" s="113"/>
      <c r="G83" s="113"/>
      <c r="H83" s="113"/>
      <c r="I83" s="113"/>
      <c r="J83" s="113"/>
      <c r="K83" s="113"/>
      <c r="L83" s="113"/>
      <c r="M83" s="113"/>
      <c r="N83" s="113"/>
      <c r="O83" s="113"/>
      <c r="P83" s="113"/>
      <c r="Q83" s="113"/>
      <c r="R83" s="113"/>
      <c r="S83" s="113"/>
      <c r="T83" s="113"/>
      <c r="U83" s="113"/>
      <c r="V83" s="113"/>
      <c r="W83" s="113"/>
      <c r="X83" s="113"/>
      <c r="Y83" s="113"/>
      <c r="Z83" s="113"/>
      <c r="AA83" s="113"/>
      <c r="AB83" s="113"/>
      <c r="AC83" s="113"/>
      <c r="AD83" s="113"/>
      <c r="AE83" s="113"/>
      <c r="AF83" s="113"/>
      <c r="AG83" s="113"/>
      <c r="AH83" s="113"/>
      <c r="AI83" s="113"/>
      <c r="AJ83" s="113"/>
      <c r="AK83" s="113"/>
      <c r="AL83" s="113"/>
      <c r="AM83" s="113"/>
      <c r="AN83" s="113"/>
    </row>
    <row r="84" spans="1:40" ht="60">
      <c r="A84" s="151" t="s">
        <v>206</v>
      </c>
      <c r="B84" s="149" t="s">
        <v>207</v>
      </c>
      <c r="C84" s="149"/>
      <c r="D84" s="113"/>
      <c r="E84" s="113"/>
      <c r="F84" s="113"/>
      <c r="G84" s="113"/>
      <c r="H84" s="113"/>
      <c r="I84" s="113"/>
      <c r="J84" s="113"/>
      <c r="K84" s="113"/>
      <c r="L84" s="113"/>
      <c r="M84" s="113"/>
      <c r="N84" s="113"/>
      <c r="O84" s="113"/>
      <c r="P84" s="113"/>
      <c r="Q84" s="113"/>
      <c r="R84" s="113"/>
      <c r="S84" s="113"/>
      <c r="T84" s="113"/>
      <c r="U84" s="113"/>
      <c r="V84" s="113"/>
      <c r="W84" s="113"/>
      <c r="X84" s="113"/>
      <c r="Y84" s="113"/>
      <c r="Z84" s="113"/>
      <c r="AA84" s="113"/>
      <c r="AB84" s="113"/>
      <c r="AC84" s="113"/>
      <c r="AD84" s="113"/>
      <c r="AE84" s="113"/>
      <c r="AF84" s="113"/>
      <c r="AG84" s="113"/>
      <c r="AH84" s="113"/>
      <c r="AI84" s="113"/>
      <c r="AJ84" s="113"/>
      <c r="AK84" s="113"/>
      <c r="AL84" s="113"/>
      <c r="AM84" s="113"/>
      <c r="AN84" s="113"/>
    </row>
    <row r="85" spans="1:40" ht="15.75">
      <c r="A85" s="151"/>
      <c r="B85" s="149"/>
      <c r="C85" s="149"/>
      <c r="D85" s="113"/>
      <c r="E85" s="113"/>
      <c r="F85" s="113"/>
      <c r="G85" s="113"/>
      <c r="H85" s="113"/>
      <c r="I85" s="113"/>
      <c r="J85" s="113"/>
      <c r="K85" s="113"/>
      <c r="L85" s="113"/>
      <c r="M85" s="113"/>
      <c r="N85" s="113"/>
      <c r="O85" s="113"/>
      <c r="P85" s="113"/>
      <c r="Q85" s="113"/>
      <c r="R85" s="113"/>
      <c r="S85" s="113"/>
      <c r="T85" s="113"/>
      <c r="U85" s="113"/>
      <c r="V85" s="113"/>
      <c r="W85" s="113"/>
      <c r="X85" s="113"/>
      <c r="Y85" s="113"/>
      <c r="Z85" s="113"/>
      <c r="AA85" s="113"/>
      <c r="AB85" s="113"/>
      <c r="AC85" s="113"/>
      <c r="AD85" s="113"/>
      <c r="AE85" s="113"/>
      <c r="AF85" s="113"/>
      <c r="AG85" s="113"/>
      <c r="AH85" s="113"/>
      <c r="AI85" s="113"/>
      <c r="AJ85" s="113"/>
      <c r="AK85" s="113"/>
      <c r="AL85" s="113"/>
      <c r="AM85" s="113"/>
      <c r="AN85" s="113"/>
    </row>
    <row r="86" spans="1:40" ht="15">
      <c r="A86" s="113"/>
      <c r="B86" s="149" t="s">
        <v>208</v>
      </c>
      <c r="C86" s="113"/>
      <c r="D86" s="113"/>
      <c r="E86" s="113"/>
      <c r="F86" s="113"/>
      <c r="G86" s="113"/>
      <c r="H86" s="113"/>
      <c r="I86" s="113"/>
      <c r="J86" s="113"/>
      <c r="K86" s="113"/>
      <c r="L86" s="113"/>
      <c r="M86" s="113"/>
      <c r="N86" s="113"/>
      <c r="O86" s="113"/>
      <c r="P86" s="113"/>
      <c r="Q86" s="113"/>
      <c r="R86" s="113"/>
      <c r="S86" s="113"/>
      <c r="T86" s="113"/>
      <c r="U86" s="113"/>
      <c r="V86" s="113"/>
      <c r="W86" s="113"/>
      <c r="X86" s="113"/>
      <c r="Y86" s="113"/>
      <c r="Z86" s="113"/>
      <c r="AA86" s="113"/>
      <c r="AB86" s="113"/>
      <c r="AC86" s="113"/>
      <c r="AD86" s="113"/>
      <c r="AE86" s="113"/>
      <c r="AF86" s="113"/>
      <c r="AG86" s="113"/>
      <c r="AH86" s="113"/>
      <c r="AI86" s="113"/>
      <c r="AJ86" s="113"/>
      <c r="AK86" s="113"/>
      <c r="AL86" s="113"/>
      <c r="AM86" s="113"/>
      <c r="AN86" s="113"/>
    </row>
    <row r="87" spans="1:40" ht="15">
      <c r="A87" s="113"/>
      <c r="B87" s="149"/>
      <c r="C87" s="113"/>
      <c r="D87" s="113"/>
      <c r="E87" s="113"/>
      <c r="F87" s="113"/>
      <c r="G87" s="113"/>
      <c r="H87" s="113"/>
      <c r="I87" s="113"/>
      <c r="J87" s="113"/>
      <c r="K87" s="113"/>
      <c r="L87" s="113"/>
      <c r="M87" s="113"/>
      <c r="N87" s="113"/>
      <c r="O87" s="113"/>
      <c r="P87" s="113"/>
      <c r="Q87" s="113"/>
      <c r="R87" s="113"/>
      <c r="S87" s="113"/>
      <c r="T87" s="113"/>
      <c r="U87" s="113"/>
      <c r="V87" s="113"/>
      <c r="W87" s="113"/>
      <c r="X87" s="113"/>
      <c r="Y87" s="113"/>
      <c r="Z87" s="113"/>
      <c r="AA87" s="113"/>
      <c r="AB87" s="113"/>
      <c r="AC87" s="113"/>
      <c r="AD87" s="113"/>
      <c r="AE87" s="113"/>
      <c r="AF87" s="113"/>
      <c r="AG87" s="113"/>
      <c r="AH87" s="113"/>
      <c r="AI87" s="113"/>
      <c r="AJ87" s="113"/>
      <c r="AK87" s="113"/>
      <c r="AL87" s="113"/>
      <c r="AM87" s="113"/>
      <c r="AN87" s="113"/>
    </row>
    <row r="88" spans="1:40" ht="45">
      <c r="A88" s="113"/>
      <c r="B88" s="150" t="s">
        <v>209</v>
      </c>
      <c r="C88" s="150"/>
      <c r="D88" s="113"/>
      <c r="E88" s="113"/>
      <c r="F88" s="113"/>
      <c r="G88" s="113"/>
      <c r="H88" s="113"/>
      <c r="I88" s="113"/>
      <c r="J88" s="113"/>
      <c r="K88" s="113"/>
      <c r="L88" s="113"/>
      <c r="M88" s="113"/>
      <c r="N88" s="113"/>
      <c r="O88" s="113"/>
      <c r="P88" s="113"/>
      <c r="Q88" s="113"/>
      <c r="R88" s="113"/>
      <c r="S88" s="113"/>
      <c r="T88" s="113"/>
      <c r="U88" s="113"/>
      <c r="V88" s="113"/>
      <c r="W88" s="113"/>
      <c r="X88" s="113"/>
      <c r="Y88" s="113"/>
      <c r="Z88" s="113"/>
      <c r="AA88" s="113"/>
      <c r="AB88" s="113"/>
      <c r="AC88" s="113"/>
      <c r="AD88" s="113"/>
      <c r="AE88" s="113"/>
      <c r="AF88" s="113"/>
      <c r="AG88" s="113"/>
      <c r="AH88" s="113"/>
      <c r="AI88" s="113"/>
      <c r="AJ88" s="113"/>
      <c r="AK88" s="113"/>
      <c r="AL88" s="113"/>
      <c r="AM88" s="113"/>
      <c r="AN88" s="113"/>
    </row>
    <row r="89" spans="1:40" ht="45">
      <c r="A89" s="113"/>
      <c r="B89" s="150" t="s">
        <v>210</v>
      </c>
      <c r="C89" s="150"/>
      <c r="D89" s="113"/>
      <c r="E89" s="113"/>
      <c r="F89" s="113"/>
      <c r="G89" s="113"/>
      <c r="H89" s="113"/>
      <c r="I89" s="113"/>
      <c r="J89" s="113"/>
      <c r="K89" s="113"/>
      <c r="L89" s="113"/>
      <c r="M89" s="113"/>
      <c r="N89" s="113"/>
      <c r="O89" s="113"/>
      <c r="P89" s="113"/>
      <c r="Q89" s="113"/>
      <c r="R89" s="113"/>
      <c r="S89" s="113"/>
      <c r="T89" s="113"/>
      <c r="U89" s="113"/>
      <c r="V89" s="113"/>
      <c r="W89" s="113"/>
      <c r="X89" s="113"/>
      <c r="Y89" s="113"/>
      <c r="Z89" s="113"/>
      <c r="AA89" s="113"/>
      <c r="AB89" s="113"/>
      <c r="AC89" s="113"/>
      <c r="AD89" s="113"/>
      <c r="AE89" s="113"/>
      <c r="AF89" s="113"/>
      <c r="AG89" s="113"/>
      <c r="AH89" s="113"/>
      <c r="AI89" s="113"/>
      <c r="AJ89" s="113"/>
      <c r="AK89" s="113"/>
      <c r="AL89" s="113"/>
      <c r="AM89" s="113"/>
      <c r="AN89" s="113"/>
    </row>
    <row r="90" spans="1:40" ht="15">
      <c r="A90" s="113"/>
      <c r="B90" s="150" t="s">
        <v>211</v>
      </c>
      <c r="C90" s="150"/>
      <c r="D90" s="113"/>
      <c r="E90" s="113"/>
      <c r="F90" s="113"/>
      <c r="G90" s="113"/>
      <c r="H90" s="113"/>
      <c r="I90" s="113"/>
      <c r="J90" s="113"/>
      <c r="K90" s="113"/>
      <c r="L90" s="113"/>
      <c r="M90" s="113"/>
      <c r="N90" s="113"/>
      <c r="O90" s="113"/>
      <c r="P90" s="113"/>
      <c r="Q90" s="113"/>
      <c r="R90" s="113"/>
      <c r="S90" s="113"/>
      <c r="T90" s="113"/>
      <c r="U90" s="113"/>
      <c r="V90" s="113"/>
      <c r="W90" s="113"/>
      <c r="X90" s="113"/>
      <c r="Y90" s="113"/>
      <c r="Z90" s="113"/>
      <c r="AA90" s="113"/>
      <c r="AB90" s="113"/>
      <c r="AC90" s="113"/>
      <c r="AD90" s="113"/>
      <c r="AE90" s="113"/>
      <c r="AF90" s="113"/>
      <c r="AG90" s="113"/>
      <c r="AH90" s="113"/>
      <c r="AI90" s="113"/>
      <c r="AJ90" s="113"/>
      <c r="AK90" s="113"/>
      <c r="AL90" s="113"/>
      <c r="AM90" s="113"/>
      <c r="AN90" s="113"/>
    </row>
    <row r="91" spans="1:40" ht="15">
      <c r="A91" s="113"/>
      <c r="B91" s="149"/>
      <c r="C91" s="113"/>
      <c r="D91" s="113"/>
      <c r="E91" s="113"/>
      <c r="F91" s="113"/>
      <c r="G91" s="113"/>
      <c r="H91" s="113"/>
      <c r="I91" s="113"/>
      <c r="J91" s="113"/>
      <c r="K91" s="113"/>
      <c r="L91" s="113"/>
      <c r="M91" s="113"/>
      <c r="N91" s="113"/>
      <c r="O91" s="113"/>
      <c r="P91" s="113"/>
      <c r="Q91" s="113"/>
      <c r="R91" s="113"/>
      <c r="S91" s="113"/>
      <c r="T91" s="113"/>
      <c r="U91" s="113"/>
      <c r="V91" s="113"/>
      <c r="W91" s="113"/>
      <c r="X91" s="113"/>
      <c r="Y91" s="113"/>
      <c r="Z91" s="113"/>
      <c r="AA91" s="113"/>
      <c r="AB91" s="113"/>
      <c r="AC91" s="113"/>
      <c r="AD91" s="113"/>
      <c r="AE91" s="113"/>
      <c r="AF91" s="113"/>
      <c r="AG91" s="113"/>
      <c r="AH91" s="113"/>
      <c r="AI91" s="113"/>
      <c r="AJ91" s="113"/>
      <c r="AK91" s="113"/>
      <c r="AL91" s="113"/>
      <c r="AM91" s="113"/>
      <c r="AN91" s="113"/>
    </row>
    <row r="92" spans="1:40" ht="30">
      <c r="A92" s="113"/>
      <c r="B92" s="149" t="s">
        <v>212</v>
      </c>
      <c r="C92" s="149"/>
      <c r="D92" s="113"/>
      <c r="E92" s="113"/>
      <c r="F92" s="113"/>
      <c r="G92" s="113"/>
      <c r="H92" s="113"/>
      <c r="I92" s="113"/>
      <c r="J92" s="113"/>
      <c r="K92" s="113"/>
      <c r="L92" s="113"/>
      <c r="M92" s="113"/>
      <c r="N92" s="113"/>
      <c r="O92" s="113"/>
      <c r="P92" s="113"/>
      <c r="Q92" s="113"/>
      <c r="R92" s="113"/>
      <c r="S92" s="113"/>
      <c r="T92" s="113"/>
      <c r="U92" s="113"/>
      <c r="V92" s="113"/>
      <c r="W92" s="113"/>
      <c r="X92" s="113"/>
      <c r="Y92" s="113"/>
      <c r="Z92" s="113"/>
      <c r="AA92" s="113"/>
      <c r="AB92" s="113"/>
      <c r="AC92" s="113"/>
      <c r="AD92" s="113"/>
      <c r="AE92" s="113"/>
      <c r="AF92" s="113"/>
      <c r="AG92" s="113"/>
      <c r="AH92" s="113"/>
      <c r="AI92" s="113"/>
      <c r="AJ92" s="113"/>
      <c r="AK92" s="113"/>
      <c r="AL92" s="113"/>
      <c r="AM92" s="113"/>
      <c r="AN92" s="113"/>
    </row>
    <row r="93" spans="1:40" ht="15">
      <c r="A93" s="113"/>
      <c r="B93" s="150" t="s">
        <v>213</v>
      </c>
      <c r="C93" s="150"/>
      <c r="D93" s="113"/>
      <c r="E93" s="113"/>
      <c r="F93" s="113"/>
      <c r="G93" s="113"/>
      <c r="H93" s="113"/>
      <c r="I93" s="113"/>
      <c r="J93" s="113"/>
      <c r="K93" s="113"/>
      <c r="L93" s="113"/>
      <c r="M93" s="113"/>
      <c r="N93" s="113"/>
      <c r="O93" s="113"/>
      <c r="P93" s="113"/>
      <c r="Q93" s="113"/>
      <c r="R93" s="113"/>
      <c r="S93" s="113"/>
      <c r="T93" s="113"/>
      <c r="U93" s="113"/>
      <c r="V93" s="113"/>
      <c r="W93" s="113"/>
      <c r="X93" s="113"/>
      <c r="Y93" s="113"/>
      <c r="Z93" s="113"/>
      <c r="AA93" s="113"/>
      <c r="AB93" s="113"/>
      <c r="AC93" s="113"/>
      <c r="AD93" s="113"/>
      <c r="AE93" s="113"/>
      <c r="AF93" s="113"/>
      <c r="AG93" s="113"/>
      <c r="AH93" s="113"/>
      <c r="AI93" s="113"/>
      <c r="AJ93" s="113"/>
      <c r="AK93" s="113"/>
      <c r="AL93" s="113"/>
      <c r="AM93" s="113"/>
      <c r="AN93" s="113"/>
    </row>
    <row r="94" spans="1:40" ht="15">
      <c r="A94" s="113"/>
      <c r="B94" s="150" t="s">
        <v>214</v>
      </c>
      <c r="C94" s="150"/>
      <c r="D94" s="113"/>
      <c r="E94" s="113"/>
      <c r="F94" s="113"/>
      <c r="G94" s="113"/>
      <c r="H94" s="113"/>
      <c r="I94" s="113"/>
      <c r="J94" s="113"/>
      <c r="K94" s="113"/>
      <c r="L94" s="113"/>
      <c r="M94" s="113"/>
      <c r="N94" s="113"/>
      <c r="O94" s="113"/>
      <c r="P94" s="113"/>
      <c r="Q94" s="113"/>
      <c r="R94" s="113"/>
      <c r="S94" s="113"/>
      <c r="T94" s="113"/>
      <c r="U94" s="113"/>
      <c r="V94" s="113"/>
      <c r="W94" s="113"/>
      <c r="X94" s="113"/>
      <c r="Y94" s="113"/>
      <c r="Z94" s="113"/>
      <c r="AA94" s="113"/>
      <c r="AB94" s="113"/>
      <c r="AC94" s="113"/>
      <c r="AD94" s="113"/>
      <c r="AE94" s="113"/>
      <c r="AF94" s="113"/>
      <c r="AG94" s="113"/>
      <c r="AH94" s="113"/>
      <c r="AI94" s="113"/>
      <c r="AJ94" s="113"/>
      <c r="AK94" s="113"/>
      <c r="AL94" s="113"/>
      <c r="AM94" s="113"/>
      <c r="AN94" s="113"/>
    </row>
    <row r="95" spans="1:40" ht="15">
      <c r="A95" s="113"/>
      <c r="B95" s="150" t="s">
        <v>215</v>
      </c>
      <c r="C95" s="150"/>
      <c r="D95" s="113"/>
      <c r="E95" s="113"/>
      <c r="F95" s="113"/>
      <c r="G95" s="113"/>
      <c r="H95" s="113"/>
      <c r="I95" s="113"/>
      <c r="J95" s="113"/>
      <c r="K95" s="113"/>
      <c r="L95" s="113"/>
      <c r="M95" s="113"/>
      <c r="N95" s="113"/>
      <c r="O95" s="113"/>
      <c r="P95" s="113"/>
      <c r="Q95" s="113"/>
      <c r="R95" s="113"/>
      <c r="S95" s="113"/>
      <c r="T95" s="113"/>
      <c r="U95" s="113"/>
      <c r="V95" s="113"/>
      <c r="W95" s="113"/>
      <c r="X95" s="113"/>
      <c r="Y95" s="113"/>
      <c r="Z95" s="113"/>
      <c r="AA95" s="113"/>
      <c r="AB95" s="113"/>
      <c r="AC95" s="113"/>
      <c r="AD95" s="113"/>
      <c r="AE95" s="113"/>
      <c r="AF95" s="113"/>
      <c r="AG95" s="113"/>
      <c r="AH95" s="113"/>
      <c r="AI95" s="113"/>
      <c r="AJ95" s="113"/>
      <c r="AK95" s="113"/>
      <c r="AL95" s="113"/>
      <c r="AM95" s="113"/>
      <c r="AN95" s="113"/>
    </row>
    <row r="96" spans="1:40" ht="15">
      <c r="A96" s="113"/>
      <c r="B96" s="150" t="s">
        <v>216</v>
      </c>
      <c r="C96" s="113"/>
      <c r="D96" s="113"/>
      <c r="E96" s="113"/>
      <c r="F96" s="113"/>
      <c r="G96" s="113"/>
      <c r="H96" s="113"/>
      <c r="I96" s="113"/>
      <c r="J96" s="113"/>
      <c r="K96" s="113"/>
      <c r="L96" s="113"/>
      <c r="M96" s="113"/>
      <c r="N96" s="113"/>
      <c r="O96" s="113"/>
      <c r="P96" s="113"/>
      <c r="Q96" s="113"/>
      <c r="R96" s="113"/>
      <c r="S96" s="113"/>
      <c r="T96" s="113"/>
      <c r="U96" s="113"/>
      <c r="V96" s="113"/>
      <c r="W96" s="113"/>
      <c r="X96" s="113"/>
      <c r="Y96" s="113"/>
      <c r="Z96" s="113"/>
      <c r="AA96" s="113"/>
      <c r="AB96" s="113"/>
      <c r="AC96" s="113"/>
      <c r="AD96" s="113"/>
      <c r="AE96" s="113"/>
      <c r="AF96" s="113"/>
      <c r="AG96" s="113"/>
      <c r="AH96" s="113"/>
      <c r="AI96" s="113"/>
      <c r="AJ96" s="113"/>
      <c r="AK96" s="113"/>
      <c r="AL96" s="113"/>
      <c r="AM96" s="113"/>
      <c r="AN96" s="113"/>
    </row>
    <row r="97" spans="1:40" ht="15">
      <c r="A97" s="149"/>
      <c r="B97" s="149" t="s">
        <v>217</v>
      </c>
      <c r="C97" s="113"/>
      <c r="D97" s="113"/>
      <c r="E97" s="113"/>
      <c r="F97" s="113"/>
      <c r="G97" s="113"/>
      <c r="H97" s="113"/>
      <c r="I97" s="113"/>
      <c r="J97" s="113"/>
      <c r="K97" s="113"/>
      <c r="L97" s="113"/>
      <c r="M97" s="113"/>
      <c r="N97" s="113"/>
      <c r="O97" s="113"/>
      <c r="P97" s="113"/>
      <c r="Q97" s="113"/>
      <c r="R97" s="113"/>
      <c r="S97" s="113"/>
      <c r="T97" s="113"/>
      <c r="U97" s="113"/>
      <c r="V97" s="113"/>
      <c r="W97" s="113"/>
      <c r="X97" s="113"/>
      <c r="Y97" s="113"/>
      <c r="Z97" s="113"/>
      <c r="AA97" s="113"/>
      <c r="AB97" s="113"/>
      <c r="AC97" s="113"/>
      <c r="AD97" s="113"/>
      <c r="AE97" s="113"/>
      <c r="AF97" s="113"/>
      <c r="AG97" s="113"/>
      <c r="AH97" s="113"/>
      <c r="AI97" s="113"/>
      <c r="AJ97" s="113"/>
      <c r="AK97" s="113"/>
      <c r="AL97" s="113"/>
      <c r="AM97" s="113"/>
      <c r="AN97" s="113"/>
    </row>
    <row r="98" spans="1:40" ht="15.75">
      <c r="A98" s="151"/>
      <c r="B98" s="113"/>
      <c r="C98" s="113"/>
      <c r="D98" s="113"/>
      <c r="E98" s="113"/>
      <c r="F98" s="113"/>
      <c r="G98" s="113"/>
      <c r="H98" s="113"/>
      <c r="I98" s="113"/>
      <c r="J98" s="113"/>
      <c r="K98" s="113"/>
      <c r="L98" s="113"/>
      <c r="M98" s="113"/>
      <c r="N98" s="113"/>
      <c r="O98" s="113"/>
      <c r="P98" s="113"/>
      <c r="Q98" s="113"/>
      <c r="R98" s="113"/>
      <c r="S98" s="113"/>
      <c r="T98" s="113"/>
      <c r="U98" s="113"/>
      <c r="V98" s="113"/>
      <c r="W98" s="113"/>
      <c r="X98" s="113"/>
      <c r="Y98" s="113"/>
      <c r="Z98" s="113"/>
      <c r="AA98" s="113"/>
      <c r="AB98" s="113"/>
      <c r="AC98" s="113"/>
      <c r="AD98" s="113"/>
      <c r="AE98" s="113"/>
      <c r="AF98" s="113"/>
      <c r="AG98" s="113"/>
      <c r="AH98" s="113"/>
      <c r="AI98" s="113"/>
      <c r="AJ98" s="113"/>
      <c r="AK98" s="113"/>
      <c r="AL98" s="113"/>
      <c r="AM98" s="113"/>
      <c r="AN98" s="113"/>
    </row>
    <row r="99" spans="1:40" ht="15.75">
      <c r="A99" s="151"/>
      <c r="B99" s="113"/>
      <c r="C99" s="113"/>
      <c r="D99" s="113"/>
      <c r="E99" s="113"/>
      <c r="F99" s="113"/>
      <c r="G99" s="113"/>
      <c r="H99" s="113"/>
      <c r="I99" s="113"/>
      <c r="J99" s="113"/>
      <c r="K99" s="113"/>
      <c r="L99" s="113"/>
      <c r="M99" s="113"/>
      <c r="N99" s="113"/>
      <c r="O99" s="113"/>
      <c r="P99" s="113"/>
      <c r="Q99" s="113"/>
      <c r="R99" s="113"/>
      <c r="S99" s="113"/>
      <c r="T99" s="113"/>
      <c r="U99" s="113"/>
      <c r="V99" s="113"/>
      <c r="W99" s="113"/>
      <c r="X99" s="113"/>
      <c r="Y99" s="113"/>
      <c r="Z99" s="113"/>
      <c r="AA99" s="113"/>
      <c r="AB99" s="113"/>
      <c r="AC99" s="113"/>
      <c r="AD99" s="113"/>
      <c r="AE99" s="113"/>
      <c r="AF99" s="113"/>
      <c r="AG99" s="113"/>
      <c r="AH99" s="113"/>
      <c r="AI99" s="113"/>
      <c r="AJ99" s="113"/>
      <c r="AK99" s="113"/>
      <c r="AL99" s="113"/>
      <c r="AM99" s="113"/>
      <c r="AN99" s="113"/>
    </row>
    <row r="100" spans="1:40" ht="15.75">
      <c r="A100" s="151" t="s">
        <v>218</v>
      </c>
      <c r="B100" s="151"/>
      <c r="C100" s="151"/>
      <c r="D100" s="113"/>
      <c r="E100" s="113"/>
      <c r="F100" s="113"/>
      <c r="G100" s="113"/>
      <c r="H100" s="113"/>
      <c r="I100" s="113"/>
      <c r="J100" s="113"/>
      <c r="K100" s="113"/>
      <c r="L100" s="113"/>
      <c r="M100" s="113"/>
      <c r="N100" s="113"/>
      <c r="O100" s="113"/>
      <c r="P100" s="113"/>
      <c r="Q100" s="113"/>
      <c r="R100" s="113"/>
      <c r="S100" s="113"/>
      <c r="T100" s="113"/>
      <c r="U100" s="113"/>
      <c r="V100" s="113"/>
      <c r="W100" s="113"/>
      <c r="X100" s="113"/>
      <c r="Y100" s="113"/>
      <c r="Z100" s="113"/>
      <c r="AA100" s="113"/>
      <c r="AB100" s="113"/>
      <c r="AC100" s="113"/>
      <c r="AD100" s="113"/>
      <c r="AE100" s="113"/>
      <c r="AF100" s="113"/>
      <c r="AG100" s="113"/>
      <c r="AH100" s="113"/>
      <c r="AI100" s="113"/>
      <c r="AJ100" s="113"/>
      <c r="AK100" s="113"/>
      <c r="AL100" s="113"/>
      <c r="AM100" s="113"/>
      <c r="AN100" s="113"/>
    </row>
    <row r="101" spans="1:40" ht="15.75">
      <c r="A101" s="151"/>
      <c r="B101" s="113"/>
      <c r="C101" s="113"/>
      <c r="D101" s="113"/>
      <c r="E101" s="113"/>
      <c r="F101" s="113"/>
      <c r="G101" s="113"/>
      <c r="H101" s="113"/>
      <c r="I101" s="113"/>
      <c r="J101" s="113"/>
      <c r="K101" s="113"/>
      <c r="L101" s="113"/>
      <c r="M101" s="113"/>
      <c r="N101" s="113"/>
      <c r="O101" s="113"/>
      <c r="P101" s="113"/>
      <c r="Q101" s="113"/>
      <c r="R101" s="113"/>
      <c r="S101" s="113"/>
      <c r="T101" s="113"/>
      <c r="U101" s="113"/>
      <c r="V101" s="113"/>
      <c r="W101" s="113"/>
      <c r="X101" s="113"/>
      <c r="Y101" s="113"/>
      <c r="Z101" s="113"/>
      <c r="AA101" s="113"/>
      <c r="AB101" s="113"/>
      <c r="AC101" s="113"/>
      <c r="AD101" s="113"/>
      <c r="AE101" s="113"/>
      <c r="AF101" s="113"/>
      <c r="AG101" s="113"/>
      <c r="AH101" s="113"/>
      <c r="AI101" s="113"/>
      <c r="AJ101" s="113"/>
      <c r="AK101" s="113"/>
      <c r="AL101" s="113"/>
      <c r="AM101" s="113"/>
      <c r="AN101" s="113"/>
    </row>
    <row r="102" spans="1:40" ht="15">
      <c r="A102" s="155" t="s">
        <v>156</v>
      </c>
      <c r="B102" s="113"/>
      <c r="C102" s="113"/>
      <c r="D102" s="113"/>
      <c r="E102" s="113"/>
      <c r="F102" s="113"/>
      <c r="G102" s="113"/>
      <c r="H102" s="113"/>
      <c r="I102" s="113"/>
      <c r="J102" s="113"/>
      <c r="K102" s="113"/>
      <c r="L102" s="113"/>
      <c r="M102" s="113"/>
      <c r="N102" s="113"/>
      <c r="O102" s="113"/>
      <c r="P102" s="113"/>
      <c r="Q102" s="113"/>
      <c r="R102" s="113"/>
      <c r="S102" s="113"/>
      <c r="T102" s="113"/>
      <c r="U102" s="113"/>
      <c r="V102" s="113"/>
      <c r="W102" s="113"/>
      <c r="X102" s="113"/>
      <c r="Y102" s="113"/>
      <c r="Z102" s="113"/>
      <c r="AA102" s="113"/>
      <c r="AB102" s="113"/>
      <c r="AC102" s="113"/>
      <c r="AD102" s="113"/>
      <c r="AE102" s="113"/>
      <c r="AF102" s="113"/>
      <c r="AG102" s="113"/>
      <c r="AH102" s="113"/>
      <c r="AI102" s="113"/>
      <c r="AJ102" s="113"/>
      <c r="AK102" s="113"/>
      <c r="AL102" s="113"/>
      <c r="AM102" s="113"/>
      <c r="AN102" s="113"/>
    </row>
    <row r="103" spans="1:40" ht="15.75">
      <c r="A103" s="151"/>
      <c r="B103" s="113"/>
      <c r="C103" s="113"/>
      <c r="D103" s="113"/>
      <c r="E103" s="113"/>
      <c r="F103" s="113"/>
      <c r="G103" s="113"/>
      <c r="H103" s="113"/>
      <c r="I103" s="113"/>
      <c r="J103" s="113"/>
      <c r="K103" s="113"/>
      <c r="L103" s="113"/>
      <c r="M103" s="113"/>
      <c r="N103" s="113"/>
      <c r="O103" s="113"/>
      <c r="P103" s="113"/>
      <c r="Q103" s="113"/>
      <c r="R103" s="113"/>
      <c r="S103" s="113"/>
      <c r="T103" s="113"/>
      <c r="U103" s="113"/>
      <c r="V103" s="113"/>
      <c r="W103" s="113"/>
      <c r="X103" s="113"/>
      <c r="Y103" s="113"/>
      <c r="Z103" s="113"/>
      <c r="AA103" s="113"/>
      <c r="AB103" s="113"/>
      <c r="AC103" s="113"/>
      <c r="AD103" s="113"/>
      <c r="AE103" s="113"/>
      <c r="AF103" s="113"/>
      <c r="AG103" s="113"/>
      <c r="AH103" s="113"/>
      <c r="AI103" s="113"/>
      <c r="AJ103" s="113"/>
      <c r="AK103" s="113"/>
      <c r="AL103" s="113"/>
      <c r="AM103" s="113"/>
      <c r="AN103" s="113"/>
    </row>
    <row r="104" spans="1:40" ht="60">
      <c r="A104" s="149" t="s">
        <v>219</v>
      </c>
      <c r="B104" s="149"/>
      <c r="C104" s="149"/>
      <c r="D104" s="113"/>
      <c r="E104" s="113"/>
      <c r="F104" s="113"/>
      <c r="G104" s="113"/>
      <c r="H104" s="113"/>
      <c r="I104" s="113"/>
      <c r="J104" s="113"/>
      <c r="K104" s="113"/>
      <c r="L104" s="113"/>
      <c r="M104" s="113"/>
      <c r="N104" s="113"/>
      <c r="O104" s="113"/>
      <c r="P104" s="113"/>
      <c r="Q104" s="113"/>
      <c r="R104" s="113"/>
      <c r="S104" s="113"/>
      <c r="T104" s="113"/>
      <c r="U104" s="113"/>
      <c r="V104" s="113"/>
      <c r="W104" s="113"/>
      <c r="X104" s="113"/>
      <c r="Y104" s="113"/>
      <c r="Z104" s="113"/>
      <c r="AA104" s="113"/>
      <c r="AB104" s="113"/>
      <c r="AC104" s="113"/>
      <c r="AD104" s="113"/>
      <c r="AE104" s="113"/>
      <c r="AF104" s="113"/>
      <c r="AG104" s="113"/>
      <c r="AH104" s="113"/>
      <c r="AI104" s="113"/>
      <c r="AJ104" s="113"/>
      <c r="AK104" s="113"/>
      <c r="AL104" s="113"/>
      <c r="AM104" s="113"/>
      <c r="AN104" s="113"/>
    </row>
    <row r="105" spans="1:40" ht="15">
      <c r="A105" s="149"/>
      <c r="B105" s="113"/>
      <c r="C105" s="113"/>
      <c r="D105" s="113"/>
      <c r="E105" s="113"/>
      <c r="F105" s="113"/>
      <c r="G105" s="113"/>
      <c r="H105" s="113"/>
      <c r="I105" s="113"/>
      <c r="J105" s="113"/>
      <c r="K105" s="113"/>
      <c r="L105" s="113"/>
      <c r="M105" s="113"/>
      <c r="N105" s="113"/>
      <c r="O105" s="113"/>
      <c r="P105" s="113"/>
      <c r="Q105" s="113"/>
      <c r="R105" s="113"/>
      <c r="S105" s="113"/>
      <c r="T105" s="113"/>
      <c r="U105" s="113"/>
      <c r="V105" s="113"/>
      <c r="W105" s="113"/>
      <c r="X105" s="113"/>
      <c r="Y105" s="113"/>
      <c r="Z105" s="113"/>
      <c r="AA105" s="113"/>
      <c r="AB105" s="113"/>
      <c r="AC105" s="113"/>
      <c r="AD105" s="113"/>
      <c r="AE105" s="113"/>
      <c r="AF105" s="113"/>
      <c r="AG105" s="113"/>
      <c r="AH105" s="113"/>
      <c r="AI105" s="113"/>
      <c r="AJ105" s="113"/>
      <c r="AK105" s="113"/>
      <c r="AL105" s="113"/>
      <c r="AM105" s="113"/>
      <c r="AN105" s="113"/>
    </row>
    <row r="106" spans="1:40" ht="30.75">
      <c r="A106" s="151" t="s">
        <v>220</v>
      </c>
      <c r="B106" s="149"/>
      <c r="C106" s="149"/>
      <c r="D106" s="113"/>
      <c r="E106" s="113"/>
      <c r="F106" s="113"/>
      <c r="G106" s="113"/>
      <c r="H106" s="113"/>
      <c r="I106" s="113"/>
      <c r="J106" s="113"/>
      <c r="K106" s="113"/>
      <c r="L106" s="113"/>
      <c r="M106" s="113"/>
      <c r="N106" s="113"/>
      <c r="O106" s="113"/>
      <c r="P106" s="113"/>
      <c r="Q106" s="113"/>
      <c r="R106" s="113"/>
      <c r="S106" s="113"/>
      <c r="T106" s="113"/>
      <c r="U106" s="113"/>
      <c r="V106" s="113"/>
      <c r="W106" s="113"/>
      <c r="X106" s="113"/>
      <c r="Y106" s="113"/>
      <c r="Z106" s="113"/>
      <c r="AA106" s="113"/>
      <c r="AB106" s="113"/>
      <c r="AC106" s="113"/>
      <c r="AD106" s="113"/>
      <c r="AE106" s="113"/>
      <c r="AF106" s="113"/>
      <c r="AG106" s="113"/>
      <c r="AH106" s="113"/>
      <c r="AI106" s="113"/>
      <c r="AJ106" s="113"/>
      <c r="AK106" s="113"/>
      <c r="AL106" s="113"/>
      <c r="AM106" s="113"/>
      <c r="AN106" s="113"/>
    </row>
    <row r="107" spans="1:40" ht="15.75">
      <c r="A107" s="151"/>
      <c r="B107" s="113"/>
      <c r="C107" s="113"/>
      <c r="D107" s="113"/>
      <c r="E107" s="113"/>
      <c r="F107" s="113"/>
      <c r="G107" s="113"/>
      <c r="H107" s="113"/>
      <c r="I107" s="113"/>
      <c r="J107" s="113"/>
      <c r="K107" s="113"/>
      <c r="L107" s="113"/>
      <c r="M107" s="113"/>
      <c r="N107" s="113"/>
      <c r="O107" s="113"/>
      <c r="P107" s="113"/>
      <c r="Q107" s="113"/>
      <c r="R107" s="113"/>
      <c r="S107" s="113"/>
      <c r="T107" s="113"/>
      <c r="U107" s="113"/>
      <c r="V107" s="113"/>
      <c r="W107" s="113"/>
      <c r="X107" s="113"/>
      <c r="Y107" s="113"/>
      <c r="Z107" s="113"/>
      <c r="AA107" s="113"/>
      <c r="AB107" s="113"/>
      <c r="AC107" s="113"/>
      <c r="AD107" s="113"/>
      <c r="AE107" s="113"/>
      <c r="AF107" s="113"/>
      <c r="AG107" s="113"/>
      <c r="AH107" s="113"/>
      <c r="AI107" s="113"/>
      <c r="AJ107" s="113"/>
      <c r="AK107" s="113"/>
      <c r="AL107" s="113"/>
      <c r="AM107" s="113"/>
      <c r="AN107" s="113"/>
    </row>
    <row r="108" spans="1:40" ht="15">
      <c r="A108" s="155" t="s">
        <v>158</v>
      </c>
      <c r="B108" s="155"/>
      <c r="C108" s="155"/>
      <c r="D108" s="113"/>
      <c r="E108" s="113"/>
      <c r="F108" s="113"/>
      <c r="G108" s="113"/>
      <c r="H108" s="113"/>
      <c r="I108" s="113"/>
      <c r="J108" s="113"/>
      <c r="K108" s="113"/>
      <c r="L108" s="113"/>
      <c r="M108" s="113"/>
      <c r="N108" s="113"/>
      <c r="O108" s="113"/>
      <c r="P108" s="113"/>
      <c r="Q108" s="113"/>
      <c r="R108" s="113"/>
      <c r="S108" s="113"/>
      <c r="T108" s="113"/>
      <c r="U108" s="113"/>
      <c r="V108" s="113"/>
      <c r="W108" s="113"/>
      <c r="X108" s="113"/>
      <c r="Y108" s="113"/>
      <c r="Z108" s="113"/>
      <c r="AA108" s="113"/>
      <c r="AB108" s="113"/>
      <c r="AC108" s="113"/>
      <c r="AD108" s="113"/>
      <c r="AE108" s="113"/>
      <c r="AF108" s="113"/>
      <c r="AG108" s="113"/>
      <c r="AH108" s="113"/>
      <c r="AI108" s="113"/>
      <c r="AJ108" s="113"/>
      <c r="AK108" s="113"/>
      <c r="AL108" s="113"/>
      <c r="AM108" s="113"/>
      <c r="AN108" s="113"/>
    </row>
    <row r="109" spans="1:40" ht="15">
      <c r="A109" s="149"/>
      <c r="B109" s="113"/>
      <c r="C109" s="113"/>
      <c r="D109" s="113"/>
      <c r="E109" s="113"/>
      <c r="F109" s="113"/>
      <c r="G109" s="113"/>
      <c r="H109" s="113"/>
      <c r="I109" s="113"/>
      <c r="J109" s="113"/>
      <c r="K109" s="113"/>
      <c r="L109" s="113"/>
      <c r="M109" s="113"/>
      <c r="N109" s="113"/>
      <c r="O109" s="113"/>
      <c r="P109" s="113"/>
      <c r="Q109" s="113"/>
      <c r="R109" s="113"/>
      <c r="S109" s="113"/>
      <c r="T109" s="113"/>
      <c r="U109" s="113"/>
      <c r="V109" s="113"/>
      <c r="W109" s="113"/>
      <c r="X109" s="113"/>
      <c r="Y109" s="113"/>
      <c r="Z109" s="113"/>
      <c r="AA109" s="113"/>
      <c r="AB109" s="113"/>
      <c r="AC109" s="113"/>
      <c r="AD109" s="113"/>
      <c r="AE109" s="113"/>
      <c r="AF109" s="113"/>
      <c r="AG109" s="113"/>
      <c r="AH109" s="113"/>
      <c r="AI109" s="113"/>
      <c r="AJ109" s="113"/>
      <c r="AK109" s="113"/>
      <c r="AL109" s="113"/>
      <c r="AM109" s="113"/>
      <c r="AN109" s="113"/>
    </row>
    <row r="110" spans="1:40" ht="60">
      <c r="A110" s="151" t="s">
        <v>221</v>
      </c>
      <c r="B110" s="149" t="s">
        <v>222</v>
      </c>
      <c r="C110" s="149"/>
      <c r="D110" s="113"/>
      <c r="E110" s="113"/>
      <c r="F110" s="113"/>
      <c r="G110" s="113"/>
      <c r="H110" s="113"/>
      <c r="I110" s="113"/>
      <c r="J110" s="113"/>
      <c r="K110" s="113"/>
      <c r="L110" s="113"/>
      <c r="M110" s="113"/>
      <c r="N110" s="113"/>
      <c r="O110" s="113"/>
      <c r="P110" s="113"/>
      <c r="Q110" s="113"/>
      <c r="R110" s="113"/>
      <c r="S110" s="113"/>
      <c r="T110" s="113"/>
      <c r="U110" s="113"/>
      <c r="V110" s="113"/>
      <c r="W110" s="113"/>
      <c r="X110" s="113"/>
      <c r="Y110" s="113"/>
      <c r="Z110" s="113"/>
      <c r="AA110" s="113"/>
      <c r="AB110" s="113"/>
      <c r="AC110" s="113"/>
      <c r="AD110" s="113"/>
      <c r="AE110" s="113"/>
      <c r="AF110" s="113"/>
      <c r="AG110" s="113"/>
      <c r="AH110" s="113"/>
      <c r="AI110" s="113"/>
      <c r="AJ110" s="113"/>
      <c r="AK110" s="113"/>
      <c r="AL110" s="113"/>
      <c r="AM110" s="113"/>
      <c r="AN110" s="113"/>
    </row>
    <row r="111" spans="1:40" ht="15">
      <c r="A111" s="149"/>
      <c r="B111" s="113"/>
      <c r="C111" s="113"/>
      <c r="D111" s="113"/>
      <c r="E111" s="113"/>
      <c r="F111" s="113"/>
      <c r="G111" s="113"/>
      <c r="H111" s="113"/>
      <c r="I111" s="113"/>
      <c r="J111" s="113"/>
      <c r="K111" s="113"/>
      <c r="L111" s="113"/>
      <c r="M111" s="113"/>
      <c r="N111" s="113"/>
      <c r="O111" s="113"/>
      <c r="P111" s="113"/>
      <c r="Q111" s="113"/>
      <c r="R111" s="113"/>
      <c r="S111" s="113"/>
      <c r="T111" s="113"/>
      <c r="U111" s="113"/>
      <c r="V111" s="113"/>
      <c r="W111" s="113"/>
      <c r="X111" s="113"/>
      <c r="Y111" s="113"/>
      <c r="Z111" s="113"/>
      <c r="AA111" s="113"/>
      <c r="AB111" s="113"/>
      <c r="AC111" s="113"/>
      <c r="AD111" s="113"/>
      <c r="AE111" s="113"/>
      <c r="AF111" s="113"/>
      <c r="AG111" s="113"/>
      <c r="AH111" s="113"/>
      <c r="AI111" s="113"/>
      <c r="AJ111" s="113"/>
      <c r="AK111" s="113"/>
      <c r="AL111" s="113"/>
      <c r="AM111" s="113"/>
      <c r="AN111" s="113"/>
    </row>
    <row r="112" spans="1:40" ht="15.75">
      <c r="A112" s="151" t="s">
        <v>223</v>
      </c>
      <c r="B112" s="149" t="s">
        <v>224</v>
      </c>
      <c r="C112" s="149"/>
      <c r="D112" s="113"/>
      <c r="E112" s="113"/>
      <c r="F112" s="113"/>
      <c r="G112" s="113"/>
      <c r="H112" s="113"/>
      <c r="I112" s="113"/>
      <c r="J112" s="113"/>
      <c r="K112" s="113"/>
      <c r="L112" s="113"/>
      <c r="M112" s="113"/>
      <c r="N112" s="113"/>
      <c r="O112" s="113"/>
      <c r="P112" s="113"/>
      <c r="Q112" s="113"/>
      <c r="R112" s="113"/>
      <c r="S112" s="113"/>
      <c r="T112" s="113"/>
      <c r="U112" s="113"/>
      <c r="V112" s="113"/>
      <c r="W112" s="113"/>
      <c r="X112" s="113"/>
      <c r="Y112" s="113"/>
      <c r="Z112" s="113"/>
      <c r="AA112" s="113"/>
      <c r="AB112" s="113"/>
      <c r="AC112" s="113"/>
      <c r="AD112" s="113"/>
      <c r="AE112" s="113"/>
      <c r="AF112" s="113"/>
      <c r="AG112" s="113"/>
      <c r="AH112" s="113"/>
      <c r="AI112" s="113"/>
      <c r="AJ112" s="113"/>
      <c r="AK112" s="113"/>
      <c r="AL112" s="113"/>
      <c r="AM112" s="113"/>
      <c r="AN112" s="113"/>
    </row>
    <row r="113" spans="1:40" ht="15">
      <c r="A113" s="149"/>
      <c r="B113" s="113"/>
      <c r="C113" s="113"/>
      <c r="D113" s="113"/>
      <c r="E113" s="113"/>
      <c r="F113" s="113"/>
      <c r="G113" s="113"/>
      <c r="H113" s="113"/>
      <c r="I113" s="113"/>
      <c r="J113" s="113"/>
      <c r="K113" s="113"/>
      <c r="L113" s="113"/>
      <c r="M113" s="113"/>
      <c r="N113" s="113"/>
      <c r="O113" s="113"/>
      <c r="P113" s="113"/>
      <c r="Q113" s="113"/>
      <c r="R113" s="113"/>
      <c r="S113" s="113"/>
      <c r="T113" s="113"/>
      <c r="U113" s="113"/>
      <c r="V113" s="113"/>
      <c r="W113" s="113"/>
      <c r="X113" s="113"/>
      <c r="Y113" s="113"/>
      <c r="Z113" s="113"/>
      <c r="AA113" s="113"/>
      <c r="AB113" s="113"/>
      <c r="AC113" s="113"/>
      <c r="AD113" s="113"/>
      <c r="AE113" s="113"/>
      <c r="AF113" s="113"/>
      <c r="AG113" s="113"/>
      <c r="AH113" s="113"/>
      <c r="AI113" s="113"/>
      <c r="AJ113" s="113"/>
      <c r="AK113" s="113"/>
      <c r="AL113" s="113"/>
      <c r="AM113" s="113"/>
      <c r="AN113" s="113"/>
    </row>
    <row r="114" spans="1:40" ht="60">
      <c r="A114" s="151" t="s">
        <v>225</v>
      </c>
      <c r="B114" s="149" t="s">
        <v>226</v>
      </c>
      <c r="C114" s="149"/>
      <c r="D114" s="113"/>
      <c r="E114" s="113"/>
      <c r="F114" s="113"/>
      <c r="G114" s="113"/>
      <c r="H114" s="113"/>
      <c r="I114" s="113"/>
      <c r="J114" s="113"/>
      <c r="K114" s="113"/>
      <c r="L114" s="113"/>
      <c r="M114" s="113"/>
      <c r="N114" s="113"/>
      <c r="O114" s="113"/>
      <c r="P114" s="113"/>
      <c r="Q114" s="113"/>
      <c r="R114" s="113"/>
      <c r="S114" s="113"/>
      <c r="T114" s="113"/>
      <c r="U114" s="113"/>
      <c r="V114" s="113"/>
      <c r="W114" s="113"/>
      <c r="X114" s="113"/>
      <c r="Y114" s="113"/>
      <c r="Z114" s="113"/>
      <c r="AA114" s="113"/>
      <c r="AB114" s="113"/>
      <c r="AC114" s="113"/>
      <c r="AD114" s="113"/>
      <c r="AE114" s="113"/>
      <c r="AF114" s="113"/>
      <c r="AG114" s="113"/>
      <c r="AH114" s="113"/>
      <c r="AI114" s="113"/>
      <c r="AJ114" s="113"/>
      <c r="AK114" s="113"/>
      <c r="AL114" s="113"/>
      <c r="AM114" s="113"/>
      <c r="AN114" s="113"/>
    </row>
    <row r="115" spans="1:40" ht="15">
      <c r="A115" s="149"/>
      <c r="B115" s="113"/>
      <c r="C115" s="113"/>
      <c r="D115" s="113"/>
      <c r="E115" s="113"/>
      <c r="F115" s="113"/>
      <c r="G115" s="113"/>
      <c r="H115" s="113"/>
      <c r="I115" s="113"/>
      <c r="J115" s="113"/>
      <c r="K115" s="113"/>
      <c r="L115" s="113"/>
      <c r="M115" s="113"/>
      <c r="N115" s="113"/>
      <c r="O115" s="113"/>
      <c r="P115" s="113"/>
      <c r="Q115" s="113"/>
      <c r="R115" s="113"/>
      <c r="S115" s="113"/>
      <c r="T115" s="113"/>
      <c r="U115" s="113"/>
      <c r="V115" s="113"/>
      <c r="W115" s="113"/>
      <c r="X115" s="113"/>
      <c r="Y115" s="113"/>
      <c r="Z115" s="113"/>
      <c r="AA115" s="113"/>
      <c r="AB115" s="113"/>
      <c r="AC115" s="113"/>
      <c r="AD115" s="113"/>
      <c r="AE115" s="113"/>
      <c r="AF115" s="113"/>
      <c r="AG115" s="113"/>
      <c r="AH115" s="113"/>
      <c r="AI115" s="113"/>
      <c r="AJ115" s="113"/>
      <c r="AK115" s="113"/>
      <c r="AL115" s="113"/>
      <c r="AM115" s="113"/>
      <c r="AN115" s="113"/>
    </row>
    <row r="116" spans="1:40" ht="45">
      <c r="A116" s="151" t="s">
        <v>227</v>
      </c>
      <c r="B116" s="149" t="s">
        <v>228</v>
      </c>
      <c r="C116" s="149"/>
      <c r="D116" s="113"/>
      <c r="E116" s="113"/>
      <c r="F116" s="113"/>
      <c r="G116" s="113"/>
      <c r="H116" s="113"/>
      <c r="I116" s="113"/>
      <c r="J116" s="113"/>
      <c r="K116" s="113"/>
      <c r="L116" s="113"/>
      <c r="M116" s="113"/>
      <c r="N116" s="113"/>
      <c r="O116" s="113"/>
      <c r="P116" s="113"/>
      <c r="Q116" s="113"/>
      <c r="R116" s="113"/>
      <c r="S116" s="113"/>
      <c r="T116" s="113"/>
      <c r="U116" s="113"/>
      <c r="V116" s="113"/>
      <c r="W116" s="113"/>
      <c r="X116" s="113"/>
      <c r="Y116" s="113"/>
      <c r="Z116" s="113"/>
      <c r="AA116" s="113"/>
      <c r="AB116" s="113"/>
      <c r="AC116" s="113"/>
      <c r="AD116" s="113"/>
      <c r="AE116" s="113"/>
      <c r="AF116" s="113"/>
      <c r="AG116" s="113"/>
      <c r="AH116" s="113"/>
      <c r="AI116" s="113"/>
      <c r="AJ116" s="113"/>
      <c r="AK116" s="113"/>
      <c r="AL116" s="113"/>
      <c r="AM116" s="113"/>
      <c r="AN116" s="113"/>
    </row>
    <row r="117" spans="1:40" ht="15.75">
      <c r="A117" s="151"/>
      <c r="B117" s="149"/>
      <c r="C117" s="149"/>
      <c r="D117" s="113"/>
      <c r="E117" s="113"/>
      <c r="F117" s="113"/>
      <c r="G117" s="113"/>
      <c r="H117" s="113"/>
      <c r="I117" s="113"/>
      <c r="J117" s="113"/>
      <c r="K117" s="113"/>
      <c r="L117" s="113"/>
      <c r="M117" s="113"/>
      <c r="N117" s="113"/>
      <c r="O117" s="113"/>
      <c r="P117" s="113"/>
      <c r="Q117" s="113"/>
      <c r="R117" s="113"/>
      <c r="S117" s="113"/>
      <c r="T117" s="113"/>
      <c r="U117" s="113"/>
      <c r="V117" s="113"/>
      <c r="W117" s="113"/>
      <c r="X117" s="113"/>
      <c r="Y117" s="113"/>
      <c r="Z117" s="113"/>
      <c r="AA117" s="113"/>
      <c r="AB117" s="113"/>
      <c r="AC117" s="113"/>
      <c r="AD117" s="113"/>
      <c r="AE117" s="113"/>
      <c r="AF117" s="113"/>
      <c r="AG117" s="113"/>
      <c r="AH117" s="113"/>
      <c r="AI117" s="113"/>
      <c r="AJ117" s="113"/>
      <c r="AK117" s="113"/>
      <c r="AL117" s="113"/>
      <c r="AM117" s="113"/>
      <c r="AN117" s="113"/>
    </row>
    <row r="118" spans="1:40" ht="45">
      <c r="A118" s="151"/>
      <c r="B118" s="149" t="s">
        <v>229</v>
      </c>
      <c r="C118" s="149"/>
      <c r="D118" s="113"/>
      <c r="E118" s="113"/>
      <c r="F118" s="113"/>
      <c r="G118" s="113"/>
      <c r="H118" s="113"/>
      <c r="I118" s="113"/>
      <c r="J118" s="113"/>
      <c r="K118" s="113"/>
      <c r="L118" s="113"/>
      <c r="M118" s="113"/>
      <c r="N118" s="113"/>
      <c r="O118" s="113"/>
      <c r="P118" s="113"/>
      <c r="Q118" s="113"/>
      <c r="R118" s="113"/>
      <c r="S118" s="113"/>
      <c r="T118" s="113"/>
      <c r="U118" s="113"/>
      <c r="V118" s="113"/>
      <c r="W118" s="113"/>
      <c r="X118" s="113"/>
      <c r="Y118" s="113"/>
      <c r="Z118" s="113"/>
      <c r="AA118" s="113"/>
      <c r="AB118" s="113"/>
      <c r="AC118" s="113"/>
      <c r="AD118" s="113"/>
      <c r="AE118" s="113"/>
      <c r="AF118" s="113"/>
      <c r="AG118" s="113"/>
      <c r="AH118" s="113"/>
      <c r="AI118" s="113"/>
      <c r="AJ118" s="113"/>
      <c r="AK118" s="113"/>
      <c r="AL118" s="113"/>
      <c r="AM118" s="113"/>
      <c r="AN118" s="113"/>
    </row>
    <row r="119" spans="1:40">
      <c r="A119" s="113"/>
      <c r="B119" s="113"/>
      <c r="C119" s="113"/>
      <c r="D119" s="113"/>
      <c r="E119" s="113"/>
      <c r="F119" s="113"/>
      <c r="G119" s="113"/>
      <c r="H119" s="113"/>
      <c r="I119" s="113"/>
      <c r="J119" s="113"/>
      <c r="K119" s="113"/>
      <c r="L119" s="113"/>
      <c r="M119" s="113"/>
      <c r="N119" s="113"/>
      <c r="O119" s="113"/>
      <c r="P119" s="113"/>
      <c r="Q119" s="113"/>
      <c r="R119" s="113"/>
      <c r="S119" s="113"/>
      <c r="T119" s="113"/>
      <c r="U119" s="113"/>
      <c r="V119" s="113"/>
      <c r="W119" s="113"/>
      <c r="X119" s="113"/>
      <c r="Y119" s="113"/>
      <c r="Z119" s="113"/>
      <c r="AA119" s="113"/>
      <c r="AB119" s="113"/>
      <c r="AC119" s="113"/>
      <c r="AD119" s="113"/>
      <c r="AE119" s="113"/>
      <c r="AF119" s="113"/>
      <c r="AG119" s="113"/>
      <c r="AH119" s="113"/>
      <c r="AI119" s="113"/>
      <c r="AJ119" s="113"/>
      <c r="AK119" s="113"/>
      <c r="AL119" s="113"/>
      <c r="AM119" s="113"/>
      <c r="AN119" s="113"/>
    </row>
    <row r="120" spans="1:40" ht="15.75">
      <c r="A120" s="151" t="s">
        <v>230</v>
      </c>
      <c r="B120" s="151"/>
      <c r="C120" s="151"/>
      <c r="D120" s="113"/>
      <c r="E120" s="113"/>
      <c r="F120" s="113"/>
      <c r="G120" s="113"/>
      <c r="H120" s="113"/>
      <c r="I120" s="113"/>
      <c r="J120" s="113"/>
      <c r="K120" s="113"/>
      <c r="L120" s="113"/>
      <c r="M120" s="113"/>
      <c r="N120" s="113"/>
      <c r="O120" s="113"/>
      <c r="P120" s="113"/>
      <c r="Q120" s="113"/>
      <c r="R120" s="113"/>
      <c r="S120" s="113"/>
      <c r="T120" s="113"/>
      <c r="U120" s="113"/>
      <c r="V120" s="113"/>
      <c r="W120" s="113"/>
      <c r="X120" s="113"/>
      <c r="Y120" s="113"/>
      <c r="Z120" s="113"/>
      <c r="AA120" s="113"/>
      <c r="AB120" s="113"/>
      <c r="AC120" s="113"/>
      <c r="AD120" s="113"/>
      <c r="AE120" s="113"/>
      <c r="AF120" s="113"/>
      <c r="AG120" s="113"/>
      <c r="AH120" s="113"/>
      <c r="AI120" s="113"/>
      <c r="AJ120" s="113"/>
      <c r="AK120" s="113"/>
      <c r="AL120" s="113"/>
      <c r="AM120" s="113"/>
      <c r="AN120" s="113"/>
    </row>
    <row r="121" spans="1:40" ht="15.75">
      <c r="A121" s="151"/>
      <c r="B121" s="113"/>
      <c r="C121" s="113"/>
      <c r="D121" s="113"/>
      <c r="E121" s="113"/>
      <c r="F121" s="113"/>
      <c r="G121" s="113"/>
      <c r="H121" s="113"/>
      <c r="I121" s="113"/>
      <c r="J121" s="113"/>
      <c r="K121" s="113"/>
      <c r="L121" s="113"/>
      <c r="M121" s="113"/>
      <c r="N121" s="113"/>
      <c r="O121" s="113"/>
      <c r="P121" s="113"/>
      <c r="Q121" s="113"/>
      <c r="R121" s="113"/>
      <c r="S121" s="113"/>
      <c r="T121" s="113"/>
      <c r="U121" s="113"/>
      <c r="V121" s="113"/>
      <c r="W121" s="113"/>
      <c r="X121" s="113"/>
      <c r="Y121" s="113"/>
      <c r="Z121" s="113"/>
      <c r="AA121" s="113"/>
      <c r="AB121" s="113"/>
      <c r="AC121" s="113"/>
      <c r="AD121" s="113"/>
      <c r="AE121" s="113"/>
      <c r="AF121" s="113"/>
      <c r="AG121" s="113"/>
      <c r="AH121" s="113"/>
      <c r="AI121" s="113"/>
      <c r="AJ121" s="113"/>
      <c r="AK121" s="113"/>
      <c r="AL121" s="113"/>
      <c r="AM121" s="113"/>
      <c r="AN121" s="113"/>
    </row>
    <row r="122" spans="1:40" ht="15">
      <c r="A122" s="155" t="s">
        <v>156</v>
      </c>
      <c r="B122" s="113"/>
      <c r="C122" s="113"/>
      <c r="D122" s="113"/>
      <c r="E122" s="113"/>
      <c r="F122" s="113"/>
      <c r="G122" s="113"/>
      <c r="H122" s="113"/>
      <c r="I122" s="113"/>
      <c r="J122" s="113"/>
      <c r="K122" s="113"/>
      <c r="L122" s="113"/>
      <c r="M122" s="113"/>
      <c r="N122" s="113"/>
      <c r="O122" s="113"/>
      <c r="P122" s="113"/>
      <c r="Q122" s="113"/>
      <c r="R122" s="113"/>
      <c r="S122" s="113"/>
      <c r="T122" s="113"/>
      <c r="U122" s="113"/>
      <c r="V122" s="113"/>
      <c r="W122" s="113"/>
      <c r="X122" s="113"/>
      <c r="Y122" s="113"/>
      <c r="Z122" s="113"/>
      <c r="AA122" s="113"/>
      <c r="AB122" s="113"/>
      <c r="AC122" s="113"/>
      <c r="AD122" s="113"/>
      <c r="AE122" s="113"/>
      <c r="AF122" s="113"/>
      <c r="AG122" s="113"/>
      <c r="AH122" s="113"/>
      <c r="AI122" s="113"/>
      <c r="AJ122" s="113"/>
      <c r="AK122" s="113"/>
      <c r="AL122" s="113"/>
      <c r="AM122" s="113"/>
      <c r="AN122" s="113"/>
    </row>
    <row r="123" spans="1:40" ht="15.75">
      <c r="A123" s="151"/>
      <c r="B123" s="113"/>
      <c r="C123" s="113"/>
      <c r="D123" s="113"/>
      <c r="E123" s="113"/>
      <c r="F123" s="113"/>
      <c r="G123" s="113"/>
      <c r="H123" s="113"/>
      <c r="I123" s="113"/>
      <c r="J123" s="113"/>
      <c r="K123" s="113"/>
      <c r="L123" s="113"/>
      <c r="M123" s="113"/>
      <c r="N123" s="113"/>
      <c r="O123" s="113"/>
      <c r="P123" s="113"/>
      <c r="Q123" s="113"/>
      <c r="R123" s="113"/>
      <c r="S123" s="113"/>
      <c r="T123" s="113"/>
      <c r="U123" s="113"/>
      <c r="V123" s="113"/>
      <c r="W123" s="113"/>
      <c r="X123" s="113"/>
      <c r="Y123" s="113"/>
      <c r="Z123" s="113"/>
      <c r="AA123" s="113"/>
      <c r="AB123" s="113"/>
      <c r="AC123" s="113"/>
      <c r="AD123" s="113"/>
      <c r="AE123" s="113"/>
      <c r="AF123" s="113"/>
      <c r="AG123" s="113"/>
      <c r="AH123" s="113"/>
      <c r="AI123" s="113"/>
      <c r="AJ123" s="113"/>
      <c r="AK123" s="113"/>
      <c r="AL123" s="113"/>
      <c r="AM123" s="113"/>
      <c r="AN123" s="113"/>
    </row>
    <row r="124" spans="1:40" ht="45">
      <c r="A124" s="149" t="s">
        <v>231</v>
      </c>
      <c r="B124" s="149"/>
      <c r="C124" s="149"/>
      <c r="D124" s="113"/>
      <c r="E124" s="113"/>
      <c r="F124" s="113"/>
      <c r="G124" s="113"/>
      <c r="H124" s="113"/>
      <c r="I124" s="113"/>
      <c r="J124" s="113"/>
      <c r="K124" s="113"/>
      <c r="L124" s="113"/>
      <c r="M124" s="113"/>
      <c r="N124" s="113"/>
      <c r="O124" s="113"/>
      <c r="P124" s="113"/>
      <c r="Q124" s="113"/>
      <c r="R124" s="113"/>
      <c r="S124" s="113"/>
      <c r="T124" s="113"/>
      <c r="U124" s="113"/>
      <c r="V124" s="113"/>
      <c r="W124" s="113"/>
      <c r="X124" s="113"/>
      <c r="Y124" s="113"/>
      <c r="Z124" s="113"/>
      <c r="AA124" s="113"/>
      <c r="AB124" s="113"/>
      <c r="AC124" s="113"/>
      <c r="AD124" s="113"/>
      <c r="AE124" s="113"/>
      <c r="AF124" s="113"/>
      <c r="AG124" s="113"/>
      <c r="AH124" s="113"/>
      <c r="AI124" s="113"/>
      <c r="AJ124" s="113"/>
      <c r="AK124" s="113"/>
      <c r="AL124" s="113"/>
      <c r="AM124" s="113"/>
      <c r="AN124" s="113"/>
    </row>
    <row r="125" spans="1:40" ht="30">
      <c r="A125" s="149" t="s">
        <v>232</v>
      </c>
      <c r="B125" s="149"/>
      <c r="C125" s="149"/>
      <c r="D125" s="113"/>
      <c r="E125" s="113"/>
      <c r="F125" s="113"/>
      <c r="G125" s="113"/>
      <c r="H125" s="113"/>
      <c r="I125" s="113"/>
      <c r="J125" s="113"/>
      <c r="K125" s="113"/>
      <c r="L125" s="113"/>
      <c r="M125" s="113"/>
      <c r="N125" s="113"/>
      <c r="O125" s="113"/>
      <c r="P125" s="113"/>
      <c r="Q125" s="113"/>
      <c r="R125" s="113"/>
      <c r="S125" s="113"/>
      <c r="T125" s="113"/>
      <c r="U125" s="113"/>
      <c r="V125" s="113"/>
      <c r="W125" s="113"/>
      <c r="X125" s="113"/>
      <c r="Y125" s="113"/>
      <c r="Z125" s="113"/>
      <c r="AA125" s="113"/>
      <c r="AB125" s="113"/>
      <c r="AC125" s="113"/>
      <c r="AD125" s="113"/>
      <c r="AE125" s="113"/>
      <c r="AF125" s="113"/>
      <c r="AG125" s="113"/>
      <c r="AH125" s="113"/>
      <c r="AI125" s="113"/>
      <c r="AJ125" s="113"/>
      <c r="AK125" s="113"/>
      <c r="AL125" s="113"/>
      <c r="AM125" s="113"/>
      <c r="AN125" s="113"/>
    </row>
    <row r="126" spans="1:40" ht="90">
      <c r="A126" s="149" t="s">
        <v>233</v>
      </c>
      <c r="B126" s="149"/>
      <c r="C126" s="149"/>
      <c r="D126" s="113"/>
      <c r="E126" s="113"/>
      <c r="F126" s="113"/>
      <c r="G126" s="113"/>
      <c r="H126" s="113"/>
      <c r="I126" s="113"/>
      <c r="J126" s="113"/>
      <c r="K126" s="113"/>
      <c r="L126" s="113"/>
      <c r="M126" s="113"/>
      <c r="N126" s="113"/>
      <c r="O126" s="113"/>
      <c r="P126" s="113"/>
      <c r="Q126" s="113"/>
      <c r="R126" s="113"/>
      <c r="S126" s="113"/>
      <c r="T126" s="113"/>
      <c r="U126" s="113"/>
      <c r="V126" s="113"/>
      <c r="W126" s="113"/>
      <c r="X126" s="113"/>
      <c r="Y126" s="113"/>
      <c r="Z126" s="113"/>
      <c r="AA126" s="113"/>
      <c r="AB126" s="113"/>
      <c r="AC126" s="113"/>
      <c r="AD126" s="113"/>
      <c r="AE126" s="113"/>
      <c r="AF126" s="113"/>
      <c r="AG126" s="113"/>
      <c r="AH126" s="113"/>
      <c r="AI126" s="113"/>
      <c r="AJ126" s="113"/>
      <c r="AK126" s="113"/>
      <c r="AL126" s="113"/>
      <c r="AM126" s="113"/>
      <c r="AN126" s="113"/>
    </row>
    <row r="127" spans="1:40" ht="15.75">
      <c r="A127" s="151"/>
      <c r="B127" s="113"/>
      <c r="C127" s="113"/>
      <c r="D127" s="113"/>
      <c r="E127" s="113"/>
      <c r="F127" s="113"/>
      <c r="G127" s="113"/>
      <c r="H127" s="113"/>
      <c r="I127" s="113"/>
      <c r="J127" s="113"/>
      <c r="K127" s="113"/>
      <c r="L127" s="113"/>
      <c r="M127" s="113"/>
      <c r="N127" s="113"/>
      <c r="O127" s="113"/>
      <c r="P127" s="113"/>
      <c r="Q127" s="113"/>
      <c r="R127" s="113"/>
      <c r="S127" s="113"/>
      <c r="T127" s="113"/>
      <c r="U127" s="113"/>
      <c r="V127" s="113"/>
      <c r="W127" s="113"/>
      <c r="X127" s="113"/>
      <c r="Y127" s="113"/>
      <c r="Z127" s="113"/>
      <c r="AA127" s="113"/>
      <c r="AB127" s="113"/>
      <c r="AC127" s="113"/>
      <c r="AD127" s="113"/>
      <c r="AE127" s="113"/>
      <c r="AF127" s="113"/>
      <c r="AG127" s="113"/>
      <c r="AH127" s="113"/>
      <c r="AI127" s="113"/>
      <c r="AJ127" s="113"/>
      <c r="AK127" s="113"/>
      <c r="AL127" s="113"/>
      <c r="AM127" s="113"/>
      <c r="AN127" s="113"/>
    </row>
    <row r="128" spans="1:40" ht="15">
      <c r="A128" s="155" t="s">
        <v>158</v>
      </c>
      <c r="B128" s="113"/>
      <c r="C128" s="113"/>
      <c r="D128" s="113"/>
      <c r="E128" s="113"/>
      <c r="F128" s="113"/>
      <c r="G128" s="113"/>
      <c r="H128" s="113"/>
      <c r="I128" s="113"/>
      <c r="J128" s="113"/>
      <c r="K128" s="113"/>
      <c r="L128" s="113"/>
      <c r="M128" s="113"/>
      <c r="N128" s="113"/>
      <c r="O128" s="113"/>
      <c r="P128" s="113"/>
      <c r="Q128" s="113"/>
      <c r="R128" s="113"/>
      <c r="S128" s="113"/>
      <c r="T128" s="113"/>
      <c r="U128" s="113"/>
      <c r="V128" s="113"/>
      <c r="W128" s="113"/>
      <c r="X128" s="113"/>
      <c r="Y128" s="113"/>
      <c r="Z128" s="113"/>
      <c r="AA128" s="113"/>
      <c r="AB128" s="113"/>
      <c r="AC128" s="113"/>
      <c r="AD128" s="113"/>
      <c r="AE128" s="113"/>
      <c r="AF128" s="113"/>
      <c r="AG128" s="113"/>
      <c r="AH128" s="113"/>
      <c r="AI128" s="113"/>
      <c r="AJ128" s="113"/>
      <c r="AK128" s="113"/>
      <c r="AL128" s="113"/>
      <c r="AM128" s="113"/>
      <c r="AN128" s="113"/>
    </row>
    <row r="129" spans="1:40" ht="15">
      <c r="A129" s="155"/>
      <c r="B129" s="113"/>
      <c r="C129" s="113"/>
      <c r="D129" s="113"/>
      <c r="E129" s="113"/>
      <c r="F129" s="113"/>
      <c r="G129" s="113"/>
      <c r="H129" s="113"/>
      <c r="I129" s="113"/>
      <c r="J129" s="113"/>
      <c r="K129" s="113"/>
      <c r="L129" s="113"/>
      <c r="M129" s="113"/>
      <c r="N129" s="113"/>
      <c r="O129" s="113"/>
      <c r="P129" s="113"/>
      <c r="Q129" s="113"/>
      <c r="R129" s="113"/>
      <c r="S129" s="113"/>
      <c r="T129" s="113"/>
      <c r="U129" s="113"/>
      <c r="V129" s="113"/>
      <c r="W129" s="113"/>
      <c r="X129" s="113"/>
      <c r="Y129" s="113"/>
      <c r="Z129" s="113"/>
      <c r="AA129" s="113"/>
      <c r="AB129" s="113"/>
      <c r="AC129" s="113"/>
      <c r="AD129" s="113"/>
      <c r="AE129" s="113"/>
      <c r="AF129" s="113"/>
      <c r="AG129" s="113"/>
      <c r="AH129" s="113"/>
      <c r="AI129" s="113"/>
      <c r="AJ129" s="113"/>
      <c r="AK129" s="113"/>
      <c r="AL129" s="113"/>
      <c r="AM129" s="113"/>
      <c r="AN129" s="113"/>
    </row>
    <row r="130" spans="1:40" ht="15.75">
      <c r="A130" s="151" t="s">
        <v>234</v>
      </c>
      <c r="B130" s="149" t="s">
        <v>556</v>
      </c>
      <c r="C130" s="149"/>
      <c r="D130" s="113"/>
      <c r="E130" s="113"/>
      <c r="F130" s="113"/>
      <c r="G130" s="113"/>
      <c r="H130" s="113"/>
      <c r="I130" s="113"/>
      <c r="J130" s="113"/>
      <c r="K130" s="113"/>
      <c r="L130" s="113"/>
      <c r="M130" s="113"/>
      <c r="N130" s="113"/>
      <c r="O130" s="113"/>
      <c r="P130" s="113"/>
      <c r="Q130" s="113"/>
      <c r="R130" s="113"/>
      <c r="S130" s="113"/>
      <c r="T130" s="113"/>
      <c r="U130" s="113"/>
      <c r="V130" s="113"/>
      <c r="W130" s="113"/>
      <c r="X130" s="113"/>
      <c r="Y130" s="113"/>
      <c r="Z130" s="113"/>
      <c r="AA130" s="113"/>
      <c r="AB130" s="113"/>
      <c r="AC130" s="113"/>
      <c r="AD130" s="113"/>
      <c r="AE130" s="113"/>
      <c r="AF130" s="113"/>
      <c r="AG130" s="113"/>
      <c r="AH130" s="113"/>
      <c r="AI130" s="113"/>
      <c r="AJ130" s="113"/>
      <c r="AK130" s="113"/>
      <c r="AL130" s="113"/>
      <c r="AM130" s="113"/>
      <c r="AN130" s="113"/>
    </row>
    <row r="131" spans="1:40" ht="15.75">
      <c r="A131" s="151"/>
      <c r="B131" s="149"/>
      <c r="C131" s="149"/>
      <c r="D131" s="113"/>
      <c r="E131" s="113"/>
      <c r="F131" s="113"/>
      <c r="G131" s="113"/>
      <c r="H131" s="113"/>
      <c r="I131" s="113"/>
      <c r="J131" s="113"/>
      <c r="K131" s="113"/>
      <c r="L131" s="113"/>
      <c r="M131" s="113"/>
      <c r="N131" s="113"/>
      <c r="O131" s="113"/>
      <c r="P131" s="113"/>
      <c r="Q131" s="113"/>
      <c r="R131" s="113"/>
      <c r="S131" s="113"/>
      <c r="T131" s="113"/>
      <c r="U131" s="113"/>
      <c r="V131" s="113"/>
      <c r="W131" s="113"/>
      <c r="X131" s="113"/>
      <c r="Y131" s="113"/>
      <c r="Z131" s="113"/>
      <c r="AA131" s="113"/>
      <c r="AB131" s="113"/>
      <c r="AC131" s="113"/>
      <c r="AD131" s="113"/>
      <c r="AE131" s="113"/>
      <c r="AF131" s="113"/>
      <c r="AG131" s="113"/>
      <c r="AH131" s="113"/>
      <c r="AI131" s="113"/>
      <c r="AJ131" s="113"/>
      <c r="AK131" s="113"/>
      <c r="AL131" s="113"/>
      <c r="AM131" s="113"/>
      <c r="AN131" s="113"/>
    </row>
    <row r="132" spans="1:40" ht="45">
      <c r="A132" s="151" t="s">
        <v>235</v>
      </c>
      <c r="B132" s="149" t="s">
        <v>236</v>
      </c>
      <c r="C132" s="149"/>
      <c r="D132" s="113"/>
      <c r="E132" s="113"/>
      <c r="F132" s="113"/>
      <c r="G132" s="113"/>
      <c r="H132" s="113"/>
      <c r="I132" s="113"/>
      <c r="J132" s="113"/>
      <c r="K132" s="113"/>
      <c r="L132" s="113"/>
      <c r="M132" s="113"/>
      <c r="N132" s="113"/>
      <c r="O132" s="113"/>
      <c r="P132" s="113"/>
      <c r="Q132" s="113"/>
      <c r="R132" s="113"/>
      <c r="S132" s="113"/>
      <c r="T132" s="113"/>
      <c r="U132" s="113"/>
      <c r="V132" s="113"/>
      <c r="W132" s="113"/>
      <c r="X132" s="113"/>
      <c r="Y132" s="113"/>
      <c r="Z132" s="113"/>
      <c r="AA132" s="113"/>
      <c r="AB132" s="113"/>
      <c r="AC132" s="113"/>
      <c r="AD132" s="113"/>
      <c r="AE132" s="113"/>
      <c r="AF132" s="113"/>
      <c r="AG132" s="113"/>
      <c r="AH132" s="113"/>
      <c r="AI132" s="113"/>
      <c r="AJ132" s="113"/>
      <c r="AK132" s="113"/>
      <c r="AL132" s="113"/>
      <c r="AM132" s="113"/>
      <c r="AN132" s="113"/>
    </row>
    <row r="133" spans="1:40" ht="15.75">
      <c r="A133" s="151"/>
      <c r="B133" s="149"/>
      <c r="C133" s="149"/>
      <c r="D133" s="113"/>
      <c r="E133" s="113"/>
      <c r="F133" s="113"/>
      <c r="G133" s="113"/>
      <c r="H133" s="113"/>
      <c r="I133" s="113"/>
      <c r="J133" s="113"/>
      <c r="K133" s="113"/>
      <c r="L133" s="113"/>
      <c r="M133" s="113"/>
      <c r="N133" s="113"/>
      <c r="O133" s="113"/>
      <c r="P133" s="113"/>
      <c r="Q133" s="113"/>
      <c r="R133" s="113"/>
      <c r="S133" s="113"/>
      <c r="T133" s="113"/>
      <c r="U133" s="113"/>
      <c r="V133" s="113"/>
      <c r="W133" s="113"/>
      <c r="X133" s="113"/>
      <c r="Y133" s="113"/>
      <c r="Z133" s="113"/>
      <c r="AA133" s="113"/>
      <c r="AB133" s="113"/>
      <c r="AC133" s="113"/>
      <c r="AD133" s="113"/>
      <c r="AE133" s="113"/>
      <c r="AF133" s="113"/>
      <c r="AG133" s="113"/>
      <c r="AH133" s="113"/>
      <c r="AI133" s="113"/>
      <c r="AJ133" s="113"/>
      <c r="AK133" s="113"/>
      <c r="AL133" s="113"/>
      <c r="AM133" s="113"/>
      <c r="AN133" s="113"/>
    </row>
    <row r="134" spans="1:40" ht="90">
      <c r="A134" s="151" t="s">
        <v>237</v>
      </c>
      <c r="B134" s="149" t="s">
        <v>238</v>
      </c>
      <c r="C134" s="113"/>
      <c r="D134" s="113"/>
      <c r="E134" s="113"/>
      <c r="F134" s="113"/>
      <c r="G134" s="113"/>
      <c r="H134" s="113"/>
      <c r="I134" s="113"/>
      <c r="J134" s="113"/>
      <c r="K134" s="113"/>
      <c r="L134" s="113"/>
      <c r="M134" s="113"/>
      <c r="N134" s="113"/>
      <c r="O134" s="113"/>
      <c r="P134" s="113"/>
      <c r="Q134" s="113"/>
      <c r="R134" s="113"/>
      <c r="S134" s="113"/>
      <c r="T134" s="113"/>
      <c r="U134" s="113"/>
      <c r="V134" s="113"/>
      <c r="W134" s="113"/>
      <c r="X134" s="113"/>
      <c r="Y134" s="113"/>
      <c r="Z134" s="113"/>
      <c r="AA134" s="113"/>
      <c r="AB134" s="113"/>
      <c r="AC134" s="113"/>
      <c r="AD134" s="113"/>
      <c r="AE134" s="113"/>
      <c r="AF134" s="113"/>
      <c r="AG134" s="113"/>
      <c r="AH134" s="113"/>
      <c r="AI134" s="113"/>
      <c r="AJ134" s="113"/>
      <c r="AK134" s="113"/>
      <c r="AL134" s="113"/>
      <c r="AM134" s="113"/>
      <c r="AN134" s="113"/>
    </row>
    <row r="135" spans="1:40" ht="15.75">
      <c r="A135" s="151"/>
      <c r="B135" s="149"/>
      <c r="C135" s="113"/>
      <c r="D135" s="113"/>
      <c r="E135" s="113"/>
      <c r="F135" s="113"/>
      <c r="G135" s="113"/>
      <c r="H135" s="113"/>
      <c r="I135" s="113"/>
      <c r="J135" s="113"/>
      <c r="K135" s="113"/>
      <c r="L135" s="113"/>
      <c r="M135" s="113"/>
      <c r="N135" s="113"/>
      <c r="O135" s="113"/>
      <c r="P135" s="113"/>
      <c r="Q135" s="113"/>
      <c r="R135" s="113"/>
      <c r="S135" s="113"/>
      <c r="T135" s="113"/>
      <c r="U135" s="113"/>
      <c r="V135" s="113"/>
      <c r="W135" s="113"/>
      <c r="X135" s="113"/>
      <c r="Y135" s="113"/>
      <c r="Z135" s="113"/>
      <c r="AA135" s="113"/>
      <c r="AB135" s="113"/>
      <c r="AC135" s="113"/>
      <c r="AD135" s="113"/>
      <c r="AE135" s="113"/>
      <c r="AF135" s="113"/>
      <c r="AG135" s="113"/>
      <c r="AH135" s="113"/>
      <c r="AI135" s="113"/>
      <c r="AJ135" s="113"/>
      <c r="AK135" s="113"/>
      <c r="AL135" s="113"/>
      <c r="AM135" s="113"/>
      <c r="AN135" s="113"/>
    </row>
    <row r="136" spans="1:40" ht="90">
      <c r="A136" s="151" t="s">
        <v>239</v>
      </c>
      <c r="B136" s="149" t="s">
        <v>240</v>
      </c>
      <c r="C136" s="113"/>
      <c r="D136" s="113"/>
      <c r="E136" s="113"/>
      <c r="F136" s="113"/>
      <c r="G136" s="113"/>
      <c r="H136" s="113"/>
      <c r="I136" s="113"/>
      <c r="J136" s="113"/>
      <c r="K136" s="113"/>
      <c r="L136" s="113"/>
      <c r="M136" s="113"/>
      <c r="N136" s="113"/>
      <c r="O136" s="113"/>
      <c r="P136" s="113"/>
      <c r="Q136" s="113"/>
      <c r="R136" s="113"/>
      <c r="S136" s="113"/>
      <c r="T136" s="113"/>
      <c r="U136" s="113"/>
      <c r="V136" s="113"/>
      <c r="W136" s="113"/>
      <c r="X136" s="113"/>
      <c r="Y136" s="113"/>
      <c r="Z136" s="113"/>
      <c r="AA136" s="113"/>
      <c r="AB136" s="113"/>
      <c r="AC136" s="113"/>
      <c r="AD136" s="113"/>
      <c r="AE136" s="113"/>
      <c r="AF136" s="113"/>
      <c r="AG136" s="113"/>
      <c r="AH136" s="113"/>
      <c r="AI136" s="113"/>
      <c r="AJ136" s="113"/>
      <c r="AK136" s="113"/>
      <c r="AL136" s="113"/>
      <c r="AM136" s="113"/>
      <c r="AN136" s="113"/>
    </row>
    <row r="137" spans="1:40" ht="15.75">
      <c r="A137" s="151"/>
      <c r="B137" s="113"/>
      <c r="C137" s="113"/>
      <c r="D137" s="113"/>
      <c r="E137" s="113"/>
      <c r="F137" s="113"/>
      <c r="G137" s="113"/>
      <c r="H137" s="113"/>
      <c r="I137" s="113"/>
      <c r="J137" s="113"/>
      <c r="K137" s="113"/>
      <c r="L137" s="113"/>
      <c r="M137" s="113"/>
      <c r="N137" s="113"/>
      <c r="O137" s="113"/>
      <c r="P137" s="113"/>
      <c r="Q137" s="113"/>
      <c r="R137" s="113"/>
      <c r="S137" s="113"/>
      <c r="T137" s="113"/>
      <c r="U137" s="113"/>
      <c r="V137" s="113"/>
      <c r="W137" s="113"/>
      <c r="X137" s="113"/>
      <c r="Y137" s="113"/>
      <c r="Z137" s="113"/>
      <c r="AA137" s="113"/>
      <c r="AB137" s="113"/>
      <c r="AC137" s="113"/>
      <c r="AD137" s="113"/>
      <c r="AE137" s="113"/>
      <c r="AF137" s="113"/>
      <c r="AG137" s="113"/>
      <c r="AH137" s="113"/>
      <c r="AI137" s="113"/>
      <c r="AJ137" s="113"/>
      <c r="AK137" s="113"/>
      <c r="AL137" s="113"/>
      <c r="AM137" s="113"/>
      <c r="AN137" s="113"/>
    </row>
    <row r="138" spans="1:40" ht="15.75">
      <c r="A138" s="151" t="s">
        <v>241</v>
      </c>
      <c r="B138" s="151"/>
      <c r="C138" s="151"/>
      <c r="D138" s="113"/>
      <c r="E138" s="113"/>
      <c r="F138" s="113"/>
      <c r="G138" s="113"/>
      <c r="H138" s="113"/>
      <c r="I138" s="113"/>
      <c r="J138" s="113"/>
      <c r="K138" s="113"/>
      <c r="L138" s="113"/>
      <c r="M138" s="113"/>
      <c r="N138" s="113"/>
      <c r="O138" s="113"/>
      <c r="P138" s="113"/>
      <c r="Q138" s="113"/>
      <c r="R138" s="113"/>
      <c r="S138" s="113"/>
      <c r="T138" s="113"/>
      <c r="U138" s="113"/>
      <c r="V138" s="113"/>
      <c r="W138" s="113"/>
      <c r="X138" s="113"/>
      <c r="Y138" s="113"/>
      <c r="Z138" s="113"/>
      <c r="AA138" s="113"/>
      <c r="AB138" s="113"/>
      <c r="AC138" s="113"/>
      <c r="AD138" s="113"/>
      <c r="AE138" s="113"/>
      <c r="AF138" s="113"/>
      <c r="AG138" s="113"/>
      <c r="AH138" s="113"/>
      <c r="AI138" s="113"/>
      <c r="AJ138" s="113"/>
      <c r="AK138" s="113"/>
      <c r="AL138" s="113"/>
      <c r="AM138" s="113"/>
      <c r="AN138" s="113"/>
    </row>
    <row r="139" spans="1:40" ht="15.75">
      <c r="A139" s="151"/>
      <c r="B139" s="113"/>
      <c r="C139" s="113"/>
      <c r="D139" s="113"/>
      <c r="E139" s="113"/>
      <c r="F139" s="113"/>
      <c r="G139" s="113"/>
      <c r="H139" s="113"/>
      <c r="I139" s="113"/>
      <c r="J139" s="113"/>
      <c r="K139" s="113"/>
      <c r="L139" s="113"/>
      <c r="M139" s="113"/>
      <c r="N139" s="113"/>
      <c r="O139" s="113"/>
      <c r="P139" s="113"/>
      <c r="Q139" s="113"/>
      <c r="R139" s="113"/>
      <c r="S139" s="113"/>
      <c r="T139" s="113"/>
      <c r="U139" s="113"/>
      <c r="V139" s="113"/>
      <c r="W139" s="113"/>
      <c r="X139" s="113"/>
      <c r="Y139" s="113"/>
      <c r="Z139" s="113"/>
      <c r="AA139" s="113"/>
      <c r="AB139" s="113"/>
      <c r="AC139" s="113"/>
      <c r="AD139" s="113"/>
      <c r="AE139" s="113"/>
      <c r="AF139" s="113"/>
      <c r="AG139" s="113"/>
      <c r="AH139" s="113"/>
      <c r="AI139" s="113"/>
      <c r="AJ139" s="113"/>
      <c r="AK139" s="113"/>
      <c r="AL139" s="113"/>
      <c r="AM139" s="113"/>
      <c r="AN139" s="113"/>
    </row>
    <row r="140" spans="1:40" ht="15">
      <c r="A140" s="155" t="s">
        <v>156</v>
      </c>
      <c r="B140" s="113"/>
      <c r="C140" s="113"/>
      <c r="D140" s="113"/>
      <c r="E140" s="113"/>
      <c r="F140" s="113"/>
      <c r="G140" s="113"/>
      <c r="H140" s="113"/>
      <c r="I140" s="113"/>
      <c r="J140" s="113"/>
      <c r="K140" s="113"/>
      <c r="L140" s="113"/>
      <c r="M140" s="113"/>
      <c r="N140" s="113"/>
      <c r="O140" s="113"/>
      <c r="P140" s="113"/>
      <c r="Q140" s="113"/>
      <c r="R140" s="113"/>
      <c r="S140" s="113"/>
      <c r="T140" s="113"/>
      <c r="U140" s="113"/>
      <c r="V140" s="113"/>
      <c r="W140" s="113"/>
      <c r="X140" s="113"/>
      <c r="Y140" s="113"/>
      <c r="Z140" s="113"/>
      <c r="AA140" s="113"/>
      <c r="AB140" s="113"/>
      <c r="AC140" s="113"/>
      <c r="AD140" s="113"/>
      <c r="AE140" s="113"/>
      <c r="AF140" s="113"/>
      <c r="AG140" s="113"/>
      <c r="AH140" s="113"/>
      <c r="AI140" s="113"/>
      <c r="AJ140" s="113"/>
      <c r="AK140" s="113"/>
      <c r="AL140" s="113"/>
      <c r="AM140" s="113"/>
      <c r="AN140" s="113"/>
    </row>
    <row r="141" spans="1:40" ht="15.75">
      <c r="A141" s="151"/>
      <c r="B141" s="113"/>
      <c r="C141" s="113"/>
      <c r="D141" s="113"/>
      <c r="E141" s="113"/>
      <c r="F141" s="113"/>
      <c r="G141" s="113"/>
      <c r="H141" s="113"/>
      <c r="I141" s="113"/>
      <c r="J141" s="113"/>
      <c r="K141" s="113"/>
      <c r="L141" s="113"/>
      <c r="M141" s="113"/>
      <c r="N141" s="113"/>
      <c r="O141" s="113"/>
      <c r="P141" s="113"/>
      <c r="Q141" s="113"/>
      <c r="R141" s="113"/>
      <c r="S141" s="113"/>
      <c r="T141" s="113"/>
      <c r="U141" s="113"/>
      <c r="V141" s="113"/>
      <c r="W141" s="113"/>
      <c r="X141" s="113"/>
      <c r="Y141" s="113"/>
      <c r="Z141" s="113"/>
      <c r="AA141" s="113"/>
      <c r="AB141" s="113"/>
      <c r="AC141" s="113"/>
      <c r="AD141" s="113"/>
      <c r="AE141" s="113"/>
      <c r="AF141" s="113"/>
      <c r="AG141" s="113"/>
      <c r="AH141" s="113"/>
      <c r="AI141" s="113"/>
      <c r="AJ141" s="113"/>
      <c r="AK141" s="113"/>
      <c r="AL141" s="113"/>
      <c r="AM141" s="113"/>
      <c r="AN141" s="113"/>
    </row>
    <row r="142" spans="1:40" ht="60">
      <c r="A142" s="149" t="s">
        <v>242</v>
      </c>
      <c r="B142" s="149"/>
      <c r="C142" s="149"/>
      <c r="D142" s="113"/>
      <c r="E142" s="113"/>
      <c r="F142" s="113"/>
      <c r="G142" s="113"/>
      <c r="H142" s="113"/>
      <c r="I142" s="113"/>
      <c r="J142" s="113"/>
      <c r="K142" s="113"/>
      <c r="L142" s="113"/>
      <c r="M142" s="113"/>
      <c r="N142" s="113"/>
      <c r="O142" s="113"/>
      <c r="P142" s="113"/>
      <c r="Q142" s="113"/>
      <c r="R142" s="113"/>
      <c r="S142" s="113"/>
      <c r="T142" s="113"/>
      <c r="U142" s="113"/>
      <c r="V142" s="113"/>
      <c r="W142" s="113"/>
      <c r="X142" s="113"/>
      <c r="Y142" s="113"/>
      <c r="Z142" s="113"/>
      <c r="AA142" s="113"/>
      <c r="AB142" s="113"/>
      <c r="AC142" s="113"/>
      <c r="AD142" s="113"/>
      <c r="AE142" s="113"/>
      <c r="AF142" s="113"/>
      <c r="AG142" s="113"/>
      <c r="AH142" s="113"/>
      <c r="AI142" s="113"/>
      <c r="AJ142" s="113"/>
      <c r="AK142" s="113"/>
      <c r="AL142" s="113"/>
      <c r="AM142" s="113"/>
      <c r="AN142" s="113"/>
    </row>
    <row r="143" spans="1:40" ht="15.75">
      <c r="A143" s="151"/>
      <c r="B143" s="113"/>
      <c r="C143" s="113"/>
      <c r="D143" s="113"/>
      <c r="E143" s="113"/>
      <c r="F143" s="113"/>
      <c r="G143" s="113"/>
      <c r="H143" s="113"/>
      <c r="I143" s="113"/>
      <c r="J143" s="113"/>
      <c r="K143" s="113"/>
      <c r="L143" s="113"/>
      <c r="M143" s="113"/>
      <c r="N143" s="113"/>
      <c r="O143" s="113"/>
      <c r="P143" s="113"/>
      <c r="Q143" s="113"/>
      <c r="R143" s="113"/>
      <c r="S143" s="113"/>
      <c r="T143" s="113"/>
      <c r="U143" s="113"/>
      <c r="V143" s="113"/>
      <c r="W143" s="113"/>
      <c r="X143" s="113"/>
      <c r="Y143" s="113"/>
      <c r="Z143" s="113"/>
      <c r="AA143" s="113"/>
      <c r="AB143" s="113"/>
      <c r="AC143" s="113"/>
      <c r="AD143" s="113"/>
      <c r="AE143" s="113"/>
      <c r="AF143" s="113"/>
      <c r="AG143" s="113"/>
      <c r="AH143" s="113"/>
      <c r="AI143" s="113"/>
      <c r="AJ143" s="113"/>
      <c r="AK143" s="113"/>
      <c r="AL143" s="113"/>
      <c r="AM143" s="113"/>
      <c r="AN143" s="113"/>
    </row>
    <row r="144" spans="1:40" ht="30">
      <c r="A144" s="149" t="s">
        <v>243</v>
      </c>
      <c r="B144" s="149"/>
      <c r="C144" s="149"/>
      <c r="D144" s="113"/>
      <c r="E144" s="113"/>
      <c r="F144" s="113"/>
      <c r="G144" s="113"/>
      <c r="H144" s="113"/>
      <c r="I144" s="113"/>
      <c r="J144" s="113"/>
      <c r="K144" s="113"/>
      <c r="L144" s="113"/>
      <c r="M144" s="113"/>
      <c r="N144" s="113"/>
      <c r="O144" s="113"/>
      <c r="P144" s="113"/>
      <c r="Q144" s="113"/>
      <c r="R144" s="113"/>
      <c r="S144" s="113"/>
      <c r="T144" s="113"/>
      <c r="U144" s="113"/>
      <c r="V144" s="113"/>
      <c r="W144" s="113"/>
      <c r="X144" s="113"/>
      <c r="Y144" s="113"/>
      <c r="Z144" s="113"/>
      <c r="AA144" s="113"/>
      <c r="AB144" s="113"/>
      <c r="AC144" s="113"/>
      <c r="AD144" s="113"/>
      <c r="AE144" s="113"/>
      <c r="AF144" s="113"/>
      <c r="AG144" s="113"/>
      <c r="AH144" s="113"/>
      <c r="AI144" s="113"/>
      <c r="AJ144" s="113"/>
      <c r="AK144" s="113"/>
      <c r="AL144" s="113"/>
      <c r="AM144" s="113"/>
      <c r="AN144" s="113"/>
    </row>
    <row r="145" spans="1:40" ht="15.75">
      <c r="A145" s="151"/>
      <c r="B145" s="113"/>
      <c r="C145" s="113"/>
      <c r="D145" s="113"/>
      <c r="E145" s="113"/>
      <c r="F145" s="113"/>
      <c r="G145" s="113"/>
      <c r="H145" s="113"/>
      <c r="I145" s="113"/>
      <c r="J145" s="113"/>
      <c r="K145" s="113"/>
      <c r="L145" s="113"/>
      <c r="M145" s="113"/>
      <c r="N145" s="113"/>
      <c r="O145" s="113"/>
      <c r="P145" s="113"/>
      <c r="Q145" s="113"/>
      <c r="R145" s="113"/>
      <c r="S145" s="113"/>
      <c r="T145" s="113"/>
      <c r="U145" s="113"/>
      <c r="V145" s="113"/>
      <c r="W145" s="113"/>
      <c r="X145" s="113"/>
      <c r="Y145" s="113"/>
      <c r="Z145" s="113"/>
      <c r="AA145" s="113"/>
      <c r="AB145" s="113"/>
      <c r="AC145" s="113"/>
      <c r="AD145" s="113"/>
      <c r="AE145" s="113"/>
      <c r="AF145" s="113"/>
      <c r="AG145" s="113"/>
      <c r="AH145" s="113"/>
      <c r="AI145" s="113"/>
      <c r="AJ145" s="113"/>
      <c r="AK145" s="113"/>
      <c r="AL145" s="113"/>
      <c r="AM145" s="113"/>
      <c r="AN145" s="113"/>
    </row>
    <row r="146" spans="1:40" ht="15">
      <c r="A146" s="155" t="s">
        <v>158</v>
      </c>
      <c r="B146" s="113"/>
      <c r="C146" s="113"/>
      <c r="D146" s="113"/>
      <c r="E146" s="113"/>
      <c r="F146" s="113"/>
      <c r="G146" s="113"/>
      <c r="H146" s="113"/>
      <c r="I146" s="113"/>
      <c r="J146" s="113"/>
      <c r="K146" s="113"/>
      <c r="L146" s="113"/>
      <c r="M146" s="113"/>
      <c r="N146" s="113"/>
      <c r="O146" s="113"/>
      <c r="P146" s="113"/>
      <c r="Q146" s="113"/>
      <c r="R146" s="113"/>
      <c r="S146" s="113"/>
      <c r="T146" s="113"/>
      <c r="U146" s="113"/>
      <c r="V146" s="113"/>
      <c r="W146" s="113"/>
      <c r="X146" s="113"/>
      <c r="Y146" s="113"/>
      <c r="Z146" s="113"/>
      <c r="AA146" s="113"/>
      <c r="AB146" s="113"/>
      <c r="AC146" s="113"/>
      <c r="AD146" s="113"/>
      <c r="AE146" s="113"/>
      <c r="AF146" s="113"/>
      <c r="AG146" s="113"/>
      <c r="AH146" s="113"/>
      <c r="AI146" s="113"/>
      <c r="AJ146" s="113"/>
      <c r="AK146" s="113"/>
      <c r="AL146" s="113"/>
      <c r="AM146" s="113"/>
      <c r="AN146" s="113"/>
    </row>
    <row r="147" spans="1:40" ht="15.75">
      <c r="A147" s="151"/>
      <c r="B147" s="113"/>
      <c r="C147" s="113"/>
      <c r="D147" s="113"/>
      <c r="E147" s="113"/>
      <c r="F147" s="113"/>
      <c r="G147" s="113"/>
      <c r="H147" s="113"/>
      <c r="I147" s="113"/>
      <c r="J147" s="113"/>
      <c r="K147" s="113"/>
      <c r="L147" s="113"/>
      <c r="M147" s="113"/>
      <c r="N147" s="113"/>
      <c r="O147" s="113"/>
      <c r="P147" s="113"/>
      <c r="Q147" s="113"/>
      <c r="R147" s="113"/>
      <c r="S147" s="113"/>
      <c r="T147" s="113"/>
      <c r="U147" s="113"/>
      <c r="V147" s="113"/>
      <c r="W147" s="113"/>
      <c r="X147" s="113"/>
      <c r="Y147" s="113"/>
      <c r="Z147" s="113"/>
      <c r="AA147" s="113"/>
      <c r="AB147" s="113"/>
      <c r="AC147" s="113"/>
      <c r="AD147" s="113"/>
      <c r="AE147" s="113"/>
      <c r="AF147" s="113"/>
      <c r="AG147" s="113"/>
      <c r="AH147" s="113"/>
      <c r="AI147" s="113"/>
      <c r="AJ147" s="113"/>
      <c r="AK147" s="113"/>
      <c r="AL147" s="113"/>
      <c r="AM147" s="113"/>
      <c r="AN147" s="113"/>
    </row>
    <row r="148" spans="1:40" ht="75">
      <c r="A148" s="151" t="s">
        <v>227</v>
      </c>
      <c r="B148" s="149" t="s">
        <v>244</v>
      </c>
      <c r="C148" s="149"/>
      <c r="D148" s="113"/>
      <c r="E148" s="113"/>
      <c r="F148" s="113"/>
      <c r="G148" s="113"/>
      <c r="H148" s="113"/>
      <c r="I148" s="113"/>
      <c r="J148" s="113"/>
      <c r="K148" s="113"/>
      <c r="L148" s="113"/>
      <c r="M148" s="113"/>
      <c r="N148" s="113"/>
      <c r="O148" s="113"/>
      <c r="P148" s="113"/>
      <c r="Q148" s="113"/>
      <c r="R148" s="113"/>
      <c r="S148" s="113"/>
      <c r="T148" s="113"/>
      <c r="U148" s="113"/>
      <c r="V148" s="113"/>
      <c r="W148" s="113"/>
      <c r="X148" s="113"/>
      <c r="Y148" s="113"/>
      <c r="Z148" s="113"/>
      <c r="AA148" s="113"/>
      <c r="AB148" s="113"/>
      <c r="AC148" s="113"/>
      <c r="AD148" s="113"/>
      <c r="AE148" s="113"/>
      <c r="AF148" s="113"/>
      <c r="AG148" s="113"/>
      <c r="AH148" s="113"/>
      <c r="AI148" s="113"/>
      <c r="AJ148" s="113"/>
      <c r="AK148" s="113"/>
      <c r="AL148" s="113"/>
      <c r="AM148" s="113"/>
      <c r="AN148" s="113"/>
    </row>
    <row r="149" spans="1:40" ht="15.75">
      <c r="A149" s="151"/>
      <c r="B149" s="149"/>
      <c r="C149" s="113"/>
      <c r="D149" s="113"/>
      <c r="E149" s="113"/>
      <c r="F149" s="113"/>
      <c r="G149" s="113"/>
      <c r="H149" s="113"/>
      <c r="I149" s="113"/>
      <c r="J149" s="113"/>
      <c r="K149" s="113"/>
      <c r="L149" s="113"/>
      <c r="M149" s="113"/>
      <c r="N149" s="113"/>
      <c r="O149" s="113"/>
      <c r="P149" s="113"/>
      <c r="Q149" s="113"/>
      <c r="R149" s="113"/>
      <c r="S149" s="113"/>
      <c r="T149" s="113"/>
      <c r="U149" s="113"/>
      <c r="V149" s="113"/>
      <c r="W149" s="113"/>
      <c r="X149" s="113"/>
      <c r="Y149" s="113"/>
      <c r="Z149" s="113"/>
      <c r="AA149" s="113"/>
      <c r="AB149" s="113"/>
      <c r="AC149" s="113"/>
      <c r="AD149" s="113"/>
      <c r="AE149" s="113"/>
      <c r="AF149" s="113"/>
      <c r="AG149" s="113"/>
      <c r="AH149" s="113"/>
      <c r="AI149" s="113"/>
      <c r="AJ149" s="113"/>
      <c r="AK149" s="113"/>
      <c r="AL149" s="113"/>
      <c r="AM149" s="113"/>
      <c r="AN149" s="113"/>
    </row>
    <row r="150" spans="1:40" ht="15.75">
      <c r="A150" s="151"/>
      <c r="B150" s="113"/>
      <c r="C150" s="113"/>
      <c r="D150" s="113"/>
      <c r="E150" s="113"/>
      <c r="F150" s="113"/>
      <c r="G150" s="113"/>
      <c r="H150" s="113"/>
      <c r="I150" s="113"/>
      <c r="J150" s="113"/>
      <c r="K150" s="113"/>
      <c r="L150" s="113"/>
      <c r="M150" s="113"/>
      <c r="N150" s="113"/>
      <c r="O150" s="113"/>
      <c r="P150" s="113"/>
      <c r="Q150" s="113"/>
      <c r="R150" s="113"/>
      <c r="S150" s="113"/>
      <c r="T150" s="113"/>
      <c r="U150" s="113"/>
      <c r="V150" s="113"/>
      <c r="W150" s="113"/>
      <c r="X150" s="113"/>
      <c r="Y150" s="113"/>
      <c r="Z150" s="113"/>
      <c r="AA150" s="113"/>
      <c r="AB150" s="113"/>
      <c r="AC150" s="113"/>
      <c r="AD150" s="113"/>
      <c r="AE150" s="113"/>
      <c r="AF150" s="113"/>
      <c r="AG150" s="113"/>
      <c r="AH150" s="113"/>
      <c r="AI150" s="113"/>
      <c r="AJ150" s="113"/>
      <c r="AK150" s="113"/>
      <c r="AL150" s="113"/>
      <c r="AM150" s="113"/>
      <c r="AN150" s="113"/>
    </row>
    <row r="151" spans="1:40" ht="15.75">
      <c r="A151" s="151" t="s">
        <v>245</v>
      </c>
      <c r="B151" s="151"/>
      <c r="C151" s="151"/>
      <c r="D151" s="113"/>
      <c r="E151" s="113"/>
      <c r="F151" s="113"/>
      <c r="G151" s="113"/>
      <c r="H151" s="113"/>
      <c r="I151" s="113"/>
      <c r="J151" s="113"/>
      <c r="K151" s="113"/>
      <c r="L151" s="113"/>
      <c r="M151" s="113"/>
      <c r="N151" s="113"/>
      <c r="O151" s="113"/>
      <c r="P151" s="113"/>
      <c r="Q151" s="113"/>
      <c r="R151" s="113"/>
      <c r="S151" s="113"/>
      <c r="T151" s="113"/>
      <c r="U151" s="113"/>
      <c r="V151" s="113"/>
      <c r="W151" s="113"/>
      <c r="X151" s="113"/>
      <c r="Y151" s="113"/>
      <c r="Z151" s="113"/>
      <c r="AA151" s="113"/>
      <c r="AB151" s="113"/>
      <c r="AC151" s="113"/>
      <c r="AD151" s="113"/>
      <c r="AE151" s="113"/>
      <c r="AF151" s="113"/>
      <c r="AG151" s="113"/>
      <c r="AH151" s="113"/>
      <c r="AI151" s="113"/>
      <c r="AJ151" s="113"/>
      <c r="AK151" s="113"/>
      <c r="AL151" s="113"/>
      <c r="AM151" s="113"/>
      <c r="AN151" s="113"/>
    </row>
    <row r="152" spans="1:40" ht="15.75">
      <c r="A152" s="151"/>
      <c r="B152" s="113"/>
      <c r="C152" s="113"/>
      <c r="D152" s="113"/>
      <c r="E152" s="113"/>
      <c r="F152" s="113"/>
      <c r="G152" s="113"/>
      <c r="H152" s="113"/>
      <c r="I152" s="113"/>
      <c r="J152" s="113"/>
      <c r="K152" s="113"/>
      <c r="L152" s="113"/>
      <c r="M152" s="113"/>
      <c r="N152" s="113"/>
      <c r="O152" s="113"/>
      <c r="P152" s="113"/>
      <c r="Q152" s="113"/>
      <c r="R152" s="113"/>
      <c r="S152" s="113"/>
      <c r="T152" s="113"/>
      <c r="U152" s="113"/>
      <c r="V152" s="113"/>
      <c r="W152" s="113"/>
      <c r="X152" s="113"/>
      <c r="Y152" s="113"/>
      <c r="Z152" s="113"/>
      <c r="AA152" s="113"/>
      <c r="AB152" s="113"/>
      <c r="AC152" s="113"/>
      <c r="AD152" s="113"/>
      <c r="AE152" s="113"/>
      <c r="AF152" s="113"/>
      <c r="AG152" s="113"/>
      <c r="AH152" s="113"/>
      <c r="AI152" s="113"/>
      <c r="AJ152" s="113"/>
      <c r="AK152" s="113"/>
      <c r="AL152" s="113"/>
      <c r="AM152" s="113"/>
      <c r="AN152" s="113"/>
    </row>
    <row r="153" spans="1:40" ht="15">
      <c r="A153" s="155" t="s">
        <v>156</v>
      </c>
      <c r="B153" s="113"/>
      <c r="C153" s="113"/>
      <c r="D153" s="113"/>
      <c r="E153" s="113"/>
      <c r="F153" s="113"/>
      <c r="G153" s="113"/>
      <c r="H153" s="113"/>
      <c r="I153" s="113"/>
      <c r="J153" s="113"/>
      <c r="K153" s="113"/>
      <c r="L153" s="113"/>
      <c r="M153" s="113"/>
      <c r="N153" s="113"/>
      <c r="O153" s="113"/>
      <c r="P153" s="113"/>
      <c r="Q153" s="113"/>
      <c r="R153" s="113"/>
      <c r="S153" s="113"/>
      <c r="T153" s="113"/>
      <c r="U153" s="113"/>
      <c r="V153" s="113"/>
      <c r="W153" s="113"/>
      <c r="X153" s="113"/>
      <c r="Y153" s="113"/>
      <c r="Z153" s="113"/>
      <c r="AA153" s="113"/>
      <c r="AB153" s="113"/>
      <c r="AC153" s="113"/>
      <c r="AD153" s="113"/>
      <c r="AE153" s="113"/>
      <c r="AF153" s="113"/>
      <c r="AG153" s="113"/>
      <c r="AH153" s="113"/>
      <c r="AI153" s="113"/>
      <c r="AJ153" s="113"/>
      <c r="AK153" s="113"/>
      <c r="AL153" s="113"/>
      <c r="AM153" s="113"/>
      <c r="AN153" s="113"/>
    </row>
    <row r="154" spans="1:40" ht="15.75">
      <c r="A154" s="151"/>
      <c r="B154" s="113"/>
      <c r="C154" s="113"/>
      <c r="D154" s="113"/>
      <c r="E154" s="113"/>
      <c r="F154" s="113"/>
      <c r="G154" s="113"/>
      <c r="H154" s="113"/>
      <c r="I154" s="113"/>
      <c r="J154" s="113"/>
      <c r="K154" s="113"/>
      <c r="L154" s="113"/>
      <c r="M154" s="113"/>
      <c r="N154" s="113"/>
      <c r="O154" s="113"/>
      <c r="P154" s="113"/>
      <c r="Q154" s="113"/>
      <c r="R154" s="113"/>
      <c r="S154" s="113"/>
      <c r="T154" s="113"/>
      <c r="U154" s="113"/>
      <c r="V154" s="113"/>
      <c r="W154" s="113"/>
      <c r="X154" s="113"/>
      <c r="Y154" s="113"/>
      <c r="Z154" s="113"/>
      <c r="AA154" s="113"/>
      <c r="AB154" s="113"/>
      <c r="AC154" s="113"/>
      <c r="AD154" s="113"/>
      <c r="AE154" s="113"/>
      <c r="AF154" s="113"/>
      <c r="AG154" s="113"/>
      <c r="AH154" s="113"/>
      <c r="AI154" s="113"/>
      <c r="AJ154" s="113"/>
      <c r="AK154" s="113"/>
      <c r="AL154" s="113"/>
      <c r="AM154" s="113"/>
      <c r="AN154" s="113"/>
    </row>
    <row r="155" spans="1:40" ht="30">
      <c r="A155" s="149" t="s">
        <v>246</v>
      </c>
      <c r="B155" s="149"/>
      <c r="C155" s="149"/>
      <c r="D155" s="113"/>
      <c r="E155" s="113"/>
      <c r="F155" s="113"/>
      <c r="G155" s="113"/>
      <c r="H155" s="113"/>
      <c r="I155" s="113"/>
      <c r="J155" s="113"/>
      <c r="K155" s="113"/>
      <c r="L155" s="113"/>
      <c r="M155" s="113"/>
      <c r="N155" s="113"/>
      <c r="O155" s="113"/>
      <c r="P155" s="113"/>
      <c r="Q155" s="113"/>
      <c r="R155" s="113"/>
      <c r="S155" s="113"/>
      <c r="T155" s="113"/>
      <c r="U155" s="113"/>
      <c r="V155" s="113"/>
      <c r="W155" s="113"/>
      <c r="X155" s="113"/>
      <c r="Y155" s="113"/>
      <c r="Z155" s="113"/>
      <c r="AA155" s="113"/>
      <c r="AB155" s="113"/>
      <c r="AC155" s="113"/>
      <c r="AD155" s="113"/>
      <c r="AE155" s="113"/>
      <c r="AF155" s="113"/>
      <c r="AG155" s="113"/>
      <c r="AH155" s="113"/>
      <c r="AI155" s="113"/>
      <c r="AJ155" s="113"/>
      <c r="AK155" s="113"/>
      <c r="AL155" s="113"/>
      <c r="AM155" s="113"/>
      <c r="AN155" s="113"/>
    </row>
    <row r="156" spans="1:40" ht="15.75">
      <c r="A156" s="151"/>
      <c r="B156" s="113"/>
      <c r="C156" s="113"/>
      <c r="D156" s="113"/>
      <c r="E156" s="113"/>
      <c r="F156" s="113"/>
      <c r="G156" s="113"/>
      <c r="H156" s="113"/>
      <c r="I156" s="113"/>
      <c r="J156" s="113"/>
      <c r="K156" s="113"/>
      <c r="L156" s="113"/>
      <c r="M156" s="113"/>
      <c r="N156" s="113"/>
      <c r="O156" s="113"/>
      <c r="P156" s="113"/>
      <c r="Q156" s="113"/>
      <c r="R156" s="113"/>
      <c r="S156" s="113"/>
      <c r="T156" s="113"/>
      <c r="U156" s="113"/>
      <c r="V156" s="113"/>
      <c r="W156" s="113"/>
      <c r="X156" s="113"/>
      <c r="Y156" s="113"/>
      <c r="Z156" s="113"/>
      <c r="AA156" s="113"/>
      <c r="AB156" s="113"/>
      <c r="AC156" s="113"/>
      <c r="AD156" s="113"/>
      <c r="AE156" s="113"/>
      <c r="AF156" s="113"/>
      <c r="AG156" s="113"/>
      <c r="AH156" s="113"/>
      <c r="AI156" s="113"/>
      <c r="AJ156" s="113"/>
      <c r="AK156" s="113"/>
      <c r="AL156" s="113"/>
      <c r="AM156" s="113"/>
      <c r="AN156" s="113"/>
    </row>
    <row r="157" spans="1:40" ht="15">
      <c r="A157" s="155" t="s">
        <v>158</v>
      </c>
      <c r="B157" s="113"/>
      <c r="C157" s="113"/>
      <c r="D157" s="113"/>
      <c r="E157" s="113"/>
      <c r="F157" s="113"/>
      <c r="G157" s="113"/>
      <c r="H157" s="113"/>
      <c r="I157" s="113"/>
      <c r="J157" s="113"/>
      <c r="K157" s="113"/>
      <c r="L157" s="113"/>
      <c r="M157" s="113"/>
      <c r="N157" s="113"/>
      <c r="O157" s="113"/>
      <c r="P157" s="113"/>
      <c r="Q157" s="113"/>
      <c r="R157" s="113"/>
      <c r="S157" s="113"/>
      <c r="T157" s="113"/>
      <c r="U157" s="113"/>
      <c r="V157" s="113"/>
      <c r="W157" s="113"/>
      <c r="X157" s="113"/>
      <c r="Y157" s="113"/>
      <c r="Z157" s="113"/>
      <c r="AA157" s="113"/>
      <c r="AB157" s="113"/>
      <c r="AC157" s="113"/>
      <c r="AD157" s="113"/>
      <c r="AE157" s="113"/>
      <c r="AF157" s="113"/>
      <c r="AG157" s="113"/>
      <c r="AH157" s="113"/>
      <c r="AI157" s="113"/>
      <c r="AJ157" s="113"/>
      <c r="AK157" s="113"/>
      <c r="AL157" s="113"/>
      <c r="AM157" s="113"/>
      <c r="AN157" s="113"/>
    </row>
    <row r="158" spans="1:40" ht="15.75">
      <c r="A158" s="151"/>
      <c r="B158" s="113"/>
      <c r="C158" s="113"/>
      <c r="D158" s="113"/>
      <c r="E158" s="113"/>
      <c r="F158" s="113"/>
      <c r="G158" s="113"/>
      <c r="H158" s="113"/>
      <c r="I158" s="113"/>
      <c r="J158" s="113"/>
      <c r="K158" s="113"/>
      <c r="L158" s="113"/>
      <c r="M158" s="113"/>
      <c r="N158" s="113"/>
      <c r="O158" s="113"/>
      <c r="P158" s="113"/>
      <c r="Q158" s="113"/>
      <c r="R158" s="113"/>
      <c r="S158" s="113"/>
      <c r="T158" s="113"/>
      <c r="U158" s="113"/>
      <c r="V158" s="113"/>
      <c r="W158" s="113"/>
      <c r="X158" s="113"/>
      <c r="Y158" s="113"/>
      <c r="Z158" s="113"/>
      <c r="AA158" s="113"/>
      <c r="AB158" s="113"/>
      <c r="AC158" s="113"/>
      <c r="AD158" s="113"/>
      <c r="AE158" s="113"/>
      <c r="AF158" s="113"/>
      <c r="AG158" s="113"/>
      <c r="AH158" s="113"/>
      <c r="AI158" s="113"/>
      <c r="AJ158" s="113"/>
      <c r="AK158" s="113"/>
      <c r="AL158" s="113"/>
      <c r="AM158" s="113"/>
      <c r="AN158" s="113"/>
    </row>
    <row r="159" spans="1:40" ht="15.75">
      <c r="A159" s="151" t="s">
        <v>247</v>
      </c>
      <c r="B159" s="149" t="s">
        <v>248</v>
      </c>
      <c r="C159" s="113"/>
      <c r="D159" s="113"/>
      <c r="E159" s="113"/>
      <c r="F159" s="113"/>
      <c r="G159" s="113"/>
      <c r="H159" s="113"/>
      <c r="I159" s="113"/>
      <c r="J159" s="113"/>
      <c r="K159" s="113"/>
      <c r="L159" s="113"/>
      <c r="M159" s="113"/>
      <c r="N159" s="113"/>
      <c r="O159" s="113"/>
      <c r="P159" s="113"/>
      <c r="Q159" s="113"/>
      <c r="R159" s="113"/>
      <c r="S159" s="113"/>
      <c r="T159" s="113"/>
      <c r="U159" s="113"/>
      <c r="V159" s="113"/>
      <c r="W159" s="113"/>
      <c r="X159" s="113"/>
      <c r="Y159" s="113"/>
      <c r="Z159" s="113"/>
      <c r="AA159" s="113"/>
      <c r="AB159" s="113"/>
      <c r="AC159" s="113"/>
      <c r="AD159" s="113"/>
      <c r="AE159" s="113"/>
      <c r="AF159" s="113"/>
      <c r="AG159" s="113"/>
      <c r="AH159" s="113"/>
      <c r="AI159" s="113"/>
      <c r="AJ159" s="113"/>
      <c r="AK159" s="113"/>
      <c r="AL159" s="113"/>
      <c r="AM159" s="113"/>
      <c r="AN159" s="113"/>
    </row>
    <row r="160" spans="1:40" ht="15.75">
      <c r="A160" s="151" t="s">
        <v>249</v>
      </c>
      <c r="B160" s="113"/>
      <c r="C160" s="113"/>
      <c r="D160" s="113"/>
      <c r="E160" s="113"/>
      <c r="F160" s="113"/>
      <c r="G160" s="113"/>
      <c r="H160" s="113"/>
      <c r="I160" s="113"/>
      <c r="J160" s="113"/>
      <c r="K160" s="113"/>
      <c r="L160" s="113"/>
      <c r="M160" s="113"/>
      <c r="N160" s="113"/>
      <c r="O160" s="113"/>
      <c r="P160" s="113"/>
      <c r="Q160" s="113"/>
      <c r="R160" s="113"/>
      <c r="S160" s="113"/>
      <c r="T160" s="113"/>
      <c r="U160" s="113"/>
      <c r="V160" s="113"/>
      <c r="W160" s="113"/>
      <c r="X160" s="113"/>
      <c r="Y160" s="113"/>
      <c r="Z160" s="113"/>
      <c r="AA160" s="113"/>
      <c r="AB160" s="113"/>
      <c r="AC160" s="113"/>
      <c r="AD160" s="113"/>
      <c r="AE160" s="113"/>
      <c r="AF160" s="113"/>
      <c r="AG160" s="113"/>
      <c r="AH160" s="113"/>
      <c r="AI160" s="113"/>
      <c r="AJ160" s="113"/>
      <c r="AK160" s="113"/>
      <c r="AL160" s="113"/>
      <c r="AM160" s="113"/>
      <c r="AN160" s="113"/>
    </row>
    <row r="161" spans="1:40" ht="15">
      <c r="A161" s="149"/>
      <c r="B161" s="113"/>
      <c r="C161" s="113"/>
      <c r="D161" s="113"/>
      <c r="E161" s="113"/>
      <c r="F161" s="113"/>
      <c r="G161" s="113"/>
      <c r="H161" s="113"/>
      <c r="I161" s="113"/>
      <c r="J161" s="113"/>
      <c r="K161" s="113"/>
      <c r="L161" s="113"/>
      <c r="M161" s="113"/>
      <c r="N161" s="113"/>
      <c r="O161" s="113"/>
      <c r="P161" s="113"/>
      <c r="Q161" s="113"/>
      <c r="R161" s="113"/>
      <c r="S161" s="113"/>
      <c r="T161" s="113"/>
      <c r="U161" s="113"/>
      <c r="V161" s="113"/>
      <c r="W161" s="113"/>
      <c r="X161" s="113"/>
      <c r="Y161" s="113"/>
      <c r="Z161" s="113"/>
      <c r="AA161" s="113"/>
      <c r="AB161" s="113"/>
      <c r="AC161" s="113"/>
      <c r="AD161" s="113"/>
      <c r="AE161" s="113"/>
      <c r="AF161" s="113"/>
      <c r="AG161" s="113"/>
      <c r="AH161" s="113"/>
      <c r="AI161" s="113"/>
      <c r="AJ161" s="113"/>
      <c r="AK161" s="113"/>
      <c r="AL161" s="113"/>
      <c r="AM161" s="113"/>
      <c r="AN161" s="113"/>
    </row>
    <row r="162" spans="1:40" ht="15.75">
      <c r="A162" s="151" t="s">
        <v>250</v>
      </c>
      <c r="B162" s="151"/>
      <c r="C162" s="151"/>
      <c r="D162" s="113"/>
      <c r="E162" s="113"/>
      <c r="F162" s="113"/>
      <c r="G162" s="113"/>
      <c r="H162" s="113"/>
      <c r="I162" s="113"/>
      <c r="J162" s="113"/>
      <c r="K162" s="113"/>
      <c r="L162" s="113"/>
      <c r="M162" s="113"/>
      <c r="N162" s="113"/>
      <c r="O162" s="113"/>
      <c r="P162" s="113"/>
      <c r="Q162" s="113"/>
      <c r="R162" s="113"/>
      <c r="S162" s="113"/>
      <c r="T162" s="113"/>
      <c r="U162" s="113"/>
      <c r="V162" s="113"/>
      <c r="W162" s="113"/>
      <c r="X162" s="113"/>
      <c r="Y162" s="113"/>
      <c r="Z162" s="113"/>
      <c r="AA162" s="113"/>
      <c r="AB162" s="113"/>
      <c r="AC162" s="113"/>
      <c r="AD162" s="113"/>
      <c r="AE162" s="113"/>
      <c r="AF162" s="113"/>
      <c r="AG162" s="113"/>
      <c r="AH162" s="113"/>
      <c r="AI162" s="113"/>
      <c r="AJ162" s="113"/>
      <c r="AK162" s="113"/>
      <c r="AL162" s="113"/>
      <c r="AM162" s="113"/>
      <c r="AN162" s="113"/>
    </row>
    <row r="163" spans="1:40" ht="15.75">
      <c r="A163" s="151"/>
      <c r="B163" s="113"/>
      <c r="C163" s="113"/>
      <c r="D163" s="113"/>
      <c r="E163" s="113"/>
      <c r="F163" s="113"/>
      <c r="G163" s="113"/>
      <c r="H163" s="113"/>
      <c r="I163" s="113"/>
      <c r="J163" s="113"/>
      <c r="K163" s="113"/>
      <c r="L163" s="113"/>
      <c r="M163" s="113"/>
      <c r="N163" s="113"/>
      <c r="O163" s="113"/>
      <c r="P163" s="113"/>
      <c r="Q163" s="113"/>
      <c r="R163" s="113"/>
      <c r="S163" s="113"/>
      <c r="T163" s="113"/>
      <c r="U163" s="113"/>
      <c r="V163" s="113"/>
      <c r="W163" s="113"/>
      <c r="X163" s="113"/>
      <c r="Y163" s="113"/>
      <c r="Z163" s="113"/>
      <c r="AA163" s="113"/>
      <c r="AB163" s="113"/>
      <c r="AC163" s="113"/>
      <c r="AD163" s="113"/>
      <c r="AE163" s="113"/>
      <c r="AF163" s="113"/>
      <c r="AG163" s="113"/>
      <c r="AH163" s="113"/>
      <c r="AI163" s="113"/>
      <c r="AJ163" s="113"/>
      <c r="AK163" s="113"/>
      <c r="AL163" s="113"/>
      <c r="AM163" s="113"/>
      <c r="AN163" s="113"/>
    </row>
    <row r="164" spans="1:40" ht="15">
      <c r="A164" s="155" t="s">
        <v>156</v>
      </c>
      <c r="B164" s="113"/>
      <c r="C164" s="113"/>
      <c r="D164" s="113"/>
      <c r="E164" s="113"/>
      <c r="F164" s="113"/>
      <c r="G164" s="113"/>
      <c r="H164" s="113"/>
      <c r="I164" s="113"/>
      <c r="J164" s="113"/>
      <c r="K164" s="113"/>
      <c r="L164" s="113"/>
      <c r="M164" s="113"/>
      <c r="N164" s="113"/>
      <c r="O164" s="113"/>
      <c r="P164" s="113"/>
      <c r="Q164" s="113"/>
      <c r="R164" s="113"/>
      <c r="S164" s="113"/>
      <c r="T164" s="113"/>
      <c r="U164" s="113"/>
      <c r="V164" s="113"/>
      <c r="W164" s="113"/>
      <c r="X164" s="113"/>
      <c r="Y164" s="113"/>
      <c r="Z164" s="113"/>
      <c r="AA164" s="113"/>
      <c r="AB164" s="113"/>
      <c r="AC164" s="113"/>
      <c r="AD164" s="113"/>
      <c r="AE164" s="113"/>
      <c r="AF164" s="113"/>
      <c r="AG164" s="113"/>
      <c r="AH164" s="113"/>
      <c r="AI164" s="113"/>
      <c r="AJ164" s="113"/>
      <c r="AK164" s="113"/>
      <c r="AL164" s="113"/>
      <c r="AM164" s="113"/>
      <c r="AN164" s="113"/>
    </row>
    <row r="165" spans="1:40" ht="15.75">
      <c r="A165" s="151"/>
      <c r="B165" s="113"/>
      <c r="C165" s="113"/>
      <c r="D165" s="113"/>
      <c r="E165" s="113"/>
      <c r="F165" s="113"/>
      <c r="G165" s="113"/>
      <c r="H165" s="113"/>
      <c r="I165" s="113"/>
      <c r="J165" s="113"/>
      <c r="K165" s="113"/>
      <c r="L165" s="113"/>
      <c r="M165" s="113"/>
      <c r="N165" s="113"/>
      <c r="O165" s="113"/>
      <c r="P165" s="113"/>
      <c r="Q165" s="113"/>
      <c r="R165" s="113"/>
      <c r="S165" s="113"/>
      <c r="T165" s="113"/>
      <c r="U165" s="113"/>
      <c r="V165" s="113"/>
      <c r="W165" s="113"/>
      <c r="X165" s="113"/>
      <c r="Y165" s="113"/>
      <c r="Z165" s="113"/>
      <c r="AA165" s="113"/>
      <c r="AB165" s="113"/>
      <c r="AC165" s="113"/>
      <c r="AD165" s="113"/>
      <c r="AE165" s="113"/>
      <c r="AF165" s="113"/>
      <c r="AG165" s="113"/>
      <c r="AH165" s="113"/>
      <c r="AI165" s="113"/>
      <c r="AJ165" s="113"/>
      <c r="AK165" s="113"/>
      <c r="AL165" s="113"/>
      <c r="AM165" s="113"/>
      <c r="AN165" s="113"/>
    </row>
    <row r="166" spans="1:40" ht="75">
      <c r="A166" s="149" t="s">
        <v>251</v>
      </c>
      <c r="B166" s="149"/>
      <c r="C166" s="149"/>
      <c r="D166" s="113"/>
      <c r="E166" s="113"/>
      <c r="F166" s="113"/>
      <c r="G166" s="113"/>
      <c r="H166" s="113"/>
      <c r="I166" s="113"/>
      <c r="J166" s="113"/>
      <c r="K166" s="113"/>
      <c r="L166" s="113"/>
      <c r="M166" s="113"/>
      <c r="N166" s="113"/>
      <c r="O166" s="113"/>
      <c r="P166" s="113"/>
      <c r="Q166" s="113"/>
      <c r="R166" s="113"/>
      <c r="S166" s="113"/>
      <c r="T166" s="113"/>
      <c r="U166" s="113"/>
      <c r="V166" s="113"/>
      <c r="W166" s="113"/>
      <c r="X166" s="113"/>
      <c r="Y166" s="113"/>
      <c r="Z166" s="113"/>
      <c r="AA166" s="113"/>
      <c r="AB166" s="113"/>
      <c r="AC166" s="113"/>
      <c r="AD166" s="113"/>
      <c r="AE166" s="113"/>
      <c r="AF166" s="113"/>
      <c r="AG166" s="113"/>
      <c r="AH166" s="113"/>
      <c r="AI166" s="113"/>
      <c r="AJ166" s="113"/>
      <c r="AK166" s="113"/>
      <c r="AL166" s="113"/>
      <c r="AM166" s="113"/>
      <c r="AN166" s="113"/>
    </row>
    <row r="167" spans="1:40" ht="15.75">
      <c r="A167" s="151"/>
      <c r="B167" s="113"/>
      <c r="C167" s="113"/>
      <c r="D167" s="113"/>
      <c r="E167" s="113"/>
      <c r="F167" s="113"/>
      <c r="G167" s="113"/>
      <c r="H167" s="113"/>
      <c r="I167" s="113"/>
      <c r="J167" s="113"/>
      <c r="K167" s="113"/>
      <c r="L167" s="113"/>
      <c r="M167" s="113"/>
      <c r="N167" s="113"/>
      <c r="O167" s="113"/>
      <c r="P167" s="113"/>
      <c r="Q167" s="113"/>
      <c r="R167" s="113"/>
      <c r="S167" s="113"/>
      <c r="T167" s="113"/>
      <c r="U167" s="113"/>
      <c r="V167" s="113"/>
      <c r="W167" s="113"/>
      <c r="X167" s="113"/>
      <c r="Y167" s="113"/>
      <c r="Z167" s="113"/>
      <c r="AA167" s="113"/>
      <c r="AB167" s="113"/>
      <c r="AC167" s="113"/>
      <c r="AD167" s="113"/>
      <c r="AE167" s="113"/>
      <c r="AF167" s="113"/>
      <c r="AG167" s="113"/>
      <c r="AH167" s="113"/>
      <c r="AI167" s="113"/>
      <c r="AJ167" s="113"/>
      <c r="AK167" s="113"/>
      <c r="AL167" s="113"/>
      <c r="AM167" s="113"/>
      <c r="AN167" s="113"/>
    </row>
    <row r="168" spans="1:40" ht="47.25">
      <c r="A168" s="151" t="s">
        <v>252</v>
      </c>
      <c r="B168" s="151"/>
      <c r="C168" s="151"/>
      <c r="D168" s="113"/>
      <c r="E168" s="113"/>
      <c r="F168" s="113"/>
      <c r="G168" s="113"/>
      <c r="H168" s="113"/>
      <c r="I168" s="113"/>
      <c r="J168" s="113"/>
      <c r="K168" s="113"/>
      <c r="L168" s="113"/>
      <c r="M168" s="113"/>
      <c r="N168" s="113"/>
      <c r="O168" s="113"/>
      <c r="P168" s="113"/>
      <c r="Q168" s="113"/>
      <c r="R168" s="113"/>
      <c r="S168" s="113"/>
      <c r="T168" s="113"/>
      <c r="U168" s="113"/>
      <c r="V168" s="113"/>
      <c r="W168" s="113"/>
      <c r="X168" s="113"/>
      <c r="Y168" s="113"/>
      <c r="Z168" s="113"/>
      <c r="AA168" s="113"/>
      <c r="AB168" s="113"/>
      <c r="AC168" s="113"/>
      <c r="AD168" s="113"/>
      <c r="AE168" s="113"/>
      <c r="AF168" s="113"/>
      <c r="AG168" s="113"/>
      <c r="AH168" s="113"/>
      <c r="AI168" s="113"/>
      <c r="AJ168" s="113"/>
      <c r="AK168" s="113"/>
      <c r="AL168" s="113"/>
      <c r="AM168" s="113"/>
      <c r="AN168" s="113"/>
    </row>
    <row r="169" spans="1:40" ht="15.75">
      <c r="A169" s="151"/>
      <c r="B169" s="113"/>
      <c r="C169" s="113"/>
      <c r="D169" s="113"/>
      <c r="E169" s="113"/>
      <c r="F169" s="113"/>
      <c r="G169" s="113"/>
      <c r="H169" s="113"/>
      <c r="I169" s="113"/>
      <c r="J169" s="113"/>
      <c r="K169" s="113"/>
      <c r="L169" s="113"/>
      <c r="M169" s="113"/>
      <c r="N169" s="113"/>
      <c r="O169" s="113"/>
      <c r="P169" s="113"/>
      <c r="Q169" s="113"/>
      <c r="R169" s="113"/>
      <c r="S169" s="113"/>
      <c r="T169" s="113"/>
      <c r="U169" s="113"/>
      <c r="V169" s="113"/>
      <c r="W169" s="113"/>
      <c r="X169" s="113"/>
      <c r="Y169" s="113"/>
      <c r="Z169" s="113"/>
      <c r="AA169" s="113"/>
      <c r="AB169" s="113"/>
      <c r="AC169" s="113"/>
      <c r="AD169" s="113"/>
      <c r="AE169" s="113"/>
      <c r="AF169" s="113"/>
      <c r="AG169" s="113"/>
      <c r="AH169" s="113"/>
      <c r="AI169" s="113"/>
      <c r="AJ169" s="113"/>
      <c r="AK169" s="113"/>
      <c r="AL169" s="113"/>
      <c r="AM169" s="113"/>
      <c r="AN169" s="113"/>
    </row>
    <row r="170" spans="1:40" ht="30.75">
      <c r="A170" s="151" t="s">
        <v>253</v>
      </c>
      <c r="B170" s="151"/>
      <c r="C170" s="151"/>
      <c r="D170" s="113"/>
      <c r="E170" s="113"/>
      <c r="F170" s="113"/>
      <c r="G170" s="113"/>
      <c r="H170" s="113"/>
      <c r="I170" s="113"/>
      <c r="J170" s="113"/>
      <c r="K170" s="113"/>
      <c r="L170" s="113"/>
      <c r="M170" s="113"/>
      <c r="N170" s="113"/>
      <c r="O170" s="113"/>
      <c r="P170" s="113"/>
      <c r="Q170" s="113"/>
      <c r="R170" s="113"/>
      <c r="S170" s="113"/>
      <c r="T170" s="113"/>
      <c r="U170" s="113"/>
      <c r="V170" s="113"/>
      <c r="W170" s="113"/>
      <c r="X170" s="113"/>
      <c r="Y170" s="113"/>
      <c r="Z170" s="113"/>
      <c r="AA170" s="113"/>
      <c r="AB170" s="113"/>
      <c r="AC170" s="113"/>
      <c r="AD170" s="113"/>
      <c r="AE170" s="113"/>
      <c r="AF170" s="113"/>
      <c r="AG170" s="113"/>
      <c r="AH170" s="113"/>
      <c r="AI170" s="113"/>
      <c r="AJ170" s="113"/>
      <c r="AK170" s="113"/>
      <c r="AL170" s="113"/>
      <c r="AM170" s="113"/>
      <c r="AN170" s="113"/>
    </row>
    <row r="171" spans="1:40" ht="15.75">
      <c r="A171" s="151"/>
      <c r="B171" s="113"/>
      <c r="C171" s="113"/>
      <c r="D171" s="113"/>
      <c r="E171" s="113"/>
      <c r="F171" s="113"/>
      <c r="G171" s="113"/>
      <c r="H171" s="113"/>
      <c r="I171" s="113"/>
      <c r="J171" s="113"/>
      <c r="K171" s="113"/>
      <c r="L171" s="113"/>
      <c r="M171" s="113"/>
      <c r="N171" s="113"/>
      <c r="O171" s="113"/>
      <c r="P171" s="113"/>
      <c r="Q171" s="113"/>
      <c r="R171" s="113"/>
      <c r="S171" s="113"/>
      <c r="T171" s="113"/>
      <c r="U171" s="113"/>
      <c r="V171" s="113"/>
      <c r="W171" s="113"/>
      <c r="X171" s="113"/>
      <c r="Y171" s="113"/>
      <c r="Z171" s="113"/>
      <c r="AA171" s="113"/>
      <c r="AB171" s="113"/>
      <c r="AC171" s="113"/>
      <c r="AD171" s="113"/>
      <c r="AE171" s="113"/>
      <c r="AF171" s="113"/>
      <c r="AG171" s="113"/>
      <c r="AH171" s="113"/>
      <c r="AI171" s="113"/>
      <c r="AJ171" s="113"/>
      <c r="AK171" s="113"/>
      <c r="AL171" s="113"/>
      <c r="AM171" s="113"/>
      <c r="AN171" s="113"/>
    </row>
    <row r="172" spans="1:40" ht="15">
      <c r="A172" s="155" t="s">
        <v>158</v>
      </c>
      <c r="B172" s="113"/>
      <c r="C172" s="113"/>
      <c r="D172" s="113"/>
      <c r="E172" s="113"/>
      <c r="F172" s="113"/>
      <c r="G172" s="113"/>
      <c r="H172" s="113"/>
      <c r="I172" s="113"/>
      <c r="J172" s="113"/>
      <c r="K172" s="113"/>
      <c r="L172" s="113"/>
      <c r="M172" s="113"/>
      <c r="N172" s="113"/>
      <c r="O172" s="113"/>
      <c r="P172" s="113"/>
      <c r="Q172" s="113"/>
      <c r="R172" s="113"/>
      <c r="S172" s="113"/>
      <c r="T172" s="113"/>
      <c r="U172" s="113"/>
      <c r="V172" s="113"/>
      <c r="W172" s="113"/>
      <c r="X172" s="113"/>
      <c r="Y172" s="113"/>
      <c r="Z172" s="113"/>
      <c r="AA172" s="113"/>
      <c r="AB172" s="113"/>
      <c r="AC172" s="113"/>
      <c r="AD172" s="113"/>
      <c r="AE172" s="113"/>
      <c r="AF172" s="113"/>
      <c r="AG172" s="113"/>
      <c r="AH172" s="113"/>
      <c r="AI172" s="113"/>
      <c r="AJ172" s="113"/>
      <c r="AK172" s="113"/>
      <c r="AL172" s="113"/>
      <c r="AM172" s="113"/>
      <c r="AN172" s="113"/>
    </row>
    <row r="173" spans="1:40" ht="15">
      <c r="A173" s="149"/>
      <c r="B173" s="113"/>
      <c r="C173" s="113"/>
      <c r="D173" s="113"/>
      <c r="E173" s="113"/>
      <c r="F173" s="113"/>
      <c r="G173" s="113"/>
      <c r="H173" s="113"/>
      <c r="I173" s="113"/>
      <c r="J173" s="113"/>
      <c r="K173" s="113"/>
      <c r="L173" s="113"/>
      <c r="M173" s="113"/>
      <c r="N173" s="113"/>
      <c r="O173" s="113"/>
      <c r="P173" s="113"/>
      <c r="Q173" s="113"/>
      <c r="R173" s="113"/>
      <c r="S173" s="113"/>
      <c r="T173" s="113"/>
      <c r="U173" s="113"/>
      <c r="V173" s="113"/>
      <c r="W173" s="113"/>
      <c r="X173" s="113"/>
      <c r="Y173" s="113"/>
      <c r="Z173" s="113"/>
      <c r="AA173" s="113"/>
      <c r="AB173" s="113"/>
      <c r="AC173" s="113"/>
      <c r="AD173" s="113"/>
      <c r="AE173" s="113"/>
      <c r="AF173" s="113"/>
      <c r="AG173" s="113"/>
      <c r="AH173" s="113"/>
      <c r="AI173" s="113"/>
      <c r="AJ173" s="113"/>
      <c r="AK173" s="113"/>
      <c r="AL173" s="113"/>
      <c r="AM173" s="113"/>
      <c r="AN173" s="113"/>
    </row>
    <row r="174" spans="1:40" ht="15.75">
      <c r="A174" s="151" t="s">
        <v>254</v>
      </c>
      <c r="B174" s="149" t="s">
        <v>255</v>
      </c>
      <c r="C174" s="149"/>
      <c r="D174" s="113"/>
      <c r="E174" s="113"/>
      <c r="F174" s="113"/>
      <c r="G174" s="113"/>
      <c r="H174" s="113"/>
      <c r="I174" s="113"/>
      <c r="J174" s="113"/>
      <c r="K174" s="113"/>
      <c r="L174" s="113"/>
      <c r="M174" s="113"/>
      <c r="N174" s="113"/>
      <c r="O174" s="113"/>
      <c r="P174" s="113"/>
      <c r="Q174" s="113"/>
      <c r="R174" s="113"/>
      <c r="S174" s="113"/>
      <c r="T174" s="113"/>
      <c r="U174" s="113"/>
      <c r="V174" s="113"/>
      <c r="W174" s="113"/>
      <c r="X174" s="113"/>
      <c r="Y174" s="113"/>
      <c r="Z174" s="113"/>
      <c r="AA174" s="113"/>
      <c r="AB174" s="113"/>
      <c r="AC174" s="113"/>
      <c r="AD174" s="113"/>
      <c r="AE174" s="113"/>
      <c r="AF174" s="113"/>
      <c r="AG174" s="113"/>
      <c r="AH174" s="113"/>
      <c r="AI174" s="113"/>
      <c r="AJ174" s="113"/>
      <c r="AK174" s="113"/>
      <c r="AL174" s="113"/>
      <c r="AM174" s="113"/>
      <c r="AN174" s="113"/>
    </row>
    <row r="175" spans="1:40">
      <c r="A175" s="113"/>
      <c r="B175" s="113"/>
      <c r="C175" s="113"/>
      <c r="D175" s="113"/>
      <c r="E175" s="113"/>
      <c r="F175" s="113"/>
      <c r="G175" s="113"/>
      <c r="H175" s="113"/>
      <c r="I175" s="113"/>
      <c r="J175" s="113"/>
      <c r="K175" s="113"/>
      <c r="L175" s="113"/>
      <c r="M175" s="113"/>
      <c r="N175" s="113"/>
      <c r="O175" s="113"/>
      <c r="P175" s="113"/>
      <c r="Q175" s="113"/>
      <c r="R175" s="113"/>
      <c r="S175" s="113"/>
      <c r="T175" s="113"/>
      <c r="U175" s="113"/>
      <c r="V175" s="113"/>
      <c r="W175" s="113"/>
      <c r="X175" s="113"/>
      <c r="Y175" s="113"/>
      <c r="Z175" s="113"/>
      <c r="AA175" s="113"/>
      <c r="AB175" s="113"/>
      <c r="AC175" s="113"/>
      <c r="AD175" s="113"/>
      <c r="AE175" s="113"/>
      <c r="AF175" s="113"/>
      <c r="AG175" s="113"/>
      <c r="AH175" s="113"/>
      <c r="AI175" s="113"/>
      <c r="AJ175" s="113"/>
      <c r="AK175" s="113"/>
      <c r="AL175" s="113"/>
      <c r="AM175" s="113"/>
      <c r="AN175" s="113"/>
    </row>
    <row r="176" spans="1:40" ht="45">
      <c r="A176" s="113"/>
      <c r="B176" s="150" t="s">
        <v>256</v>
      </c>
      <c r="C176" s="150"/>
      <c r="D176" s="113"/>
      <c r="E176" s="113"/>
      <c r="F176" s="113"/>
      <c r="G176" s="113"/>
      <c r="H176" s="113"/>
      <c r="I176" s="113"/>
      <c r="J176" s="113"/>
      <c r="K176" s="113"/>
      <c r="L176" s="113"/>
      <c r="M176" s="113"/>
      <c r="N176" s="113"/>
      <c r="O176" s="113"/>
      <c r="P176" s="113"/>
      <c r="Q176" s="113"/>
      <c r="R176" s="113"/>
      <c r="S176" s="113"/>
      <c r="T176" s="113"/>
      <c r="U176" s="113"/>
      <c r="V176" s="113"/>
      <c r="W176" s="113"/>
      <c r="X176" s="113"/>
      <c r="Y176" s="113"/>
      <c r="Z176" s="113"/>
      <c r="AA176" s="113"/>
      <c r="AB176" s="113"/>
      <c r="AC176" s="113"/>
      <c r="AD176" s="113"/>
      <c r="AE176" s="113"/>
      <c r="AF176" s="113"/>
      <c r="AG176" s="113"/>
      <c r="AH176" s="113"/>
      <c r="AI176" s="113"/>
      <c r="AJ176" s="113"/>
      <c r="AK176" s="113"/>
      <c r="AL176" s="113"/>
      <c r="AM176" s="113"/>
      <c r="AN176" s="113"/>
    </row>
    <row r="177" spans="1:40" ht="15">
      <c r="A177" s="113"/>
      <c r="B177" s="149"/>
      <c r="C177" s="113"/>
      <c r="D177" s="113"/>
      <c r="E177" s="113"/>
      <c r="F177" s="113"/>
      <c r="G177" s="113"/>
      <c r="H177" s="113"/>
      <c r="I177" s="113"/>
      <c r="J177" s="113"/>
      <c r="K177" s="113"/>
      <c r="L177" s="113"/>
      <c r="M177" s="113"/>
      <c r="N177" s="113"/>
      <c r="O177" s="113"/>
      <c r="P177" s="113"/>
      <c r="Q177" s="113"/>
      <c r="R177" s="113"/>
      <c r="S177" s="113"/>
      <c r="T177" s="113"/>
      <c r="U177" s="113"/>
      <c r="V177" s="113"/>
      <c r="W177" s="113"/>
      <c r="X177" s="113"/>
      <c r="Y177" s="113"/>
      <c r="Z177" s="113"/>
      <c r="AA177" s="113"/>
      <c r="AB177" s="113"/>
      <c r="AC177" s="113"/>
      <c r="AD177" s="113"/>
      <c r="AE177" s="113"/>
      <c r="AF177" s="113"/>
      <c r="AG177" s="113"/>
      <c r="AH177" s="113"/>
      <c r="AI177" s="113"/>
      <c r="AJ177" s="113"/>
      <c r="AK177" s="113"/>
      <c r="AL177" s="113"/>
      <c r="AM177" s="113"/>
      <c r="AN177" s="113"/>
    </row>
    <row r="178" spans="1:40" ht="60.75">
      <c r="A178" s="113"/>
      <c r="B178" s="150" t="s">
        <v>257</v>
      </c>
      <c r="C178" s="150"/>
      <c r="D178" s="113"/>
      <c r="E178" s="113"/>
      <c r="F178" s="113"/>
      <c r="G178" s="113"/>
      <c r="H178" s="113"/>
      <c r="I178" s="113"/>
      <c r="J178" s="113"/>
      <c r="K178" s="113"/>
      <c r="L178" s="113"/>
      <c r="M178" s="113"/>
      <c r="N178" s="113"/>
      <c r="O178" s="113"/>
      <c r="P178" s="113"/>
      <c r="Q178" s="113"/>
      <c r="R178" s="113"/>
      <c r="S178" s="113"/>
      <c r="T178" s="113"/>
      <c r="U178" s="113"/>
      <c r="V178" s="113"/>
      <c r="W178" s="113"/>
      <c r="X178" s="113"/>
      <c r="Y178" s="113"/>
      <c r="Z178" s="113"/>
      <c r="AA178" s="113"/>
      <c r="AB178" s="113"/>
      <c r="AC178" s="113"/>
      <c r="AD178" s="113"/>
      <c r="AE178" s="113"/>
      <c r="AF178" s="113"/>
      <c r="AG178" s="113"/>
      <c r="AH178" s="113"/>
      <c r="AI178" s="113"/>
      <c r="AJ178" s="113"/>
      <c r="AK178" s="113"/>
      <c r="AL178" s="113"/>
      <c r="AM178" s="113"/>
      <c r="AN178" s="113"/>
    </row>
    <row r="179" spans="1:40" ht="15">
      <c r="A179" s="149"/>
      <c r="B179" s="113"/>
      <c r="C179" s="113"/>
      <c r="D179" s="113"/>
      <c r="E179" s="113"/>
      <c r="F179" s="113"/>
      <c r="G179" s="113"/>
      <c r="H179" s="113"/>
      <c r="I179" s="113"/>
      <c r="J179" s="113"/>
      <c r="K179" s="113"/>
      <c r="L179" s="113"/>
      <c r="M179" s="113"/>
      <c r="N179" s="113"/>
      <c r="O179" s="113"/>
      <c r="P179" s="113"/>
      <c r="Q179" s="113"/>
      <c r="R179" s="113"/>
      <c r="S179" s="113"/>
      <c r="T179" s="113"/>
      <c r="U179" s="113"/>
      <c r="V179" s="113"/>
      <c r="W179" s="113"/>
      <c r="X179" s="113"/>
      <c r="Y179" s="113"/>
      <c r="Z179" s="113"/>
      <c r="AA179" s="113"/>
      <c r="AB179" s="113"/>
      <c r="AC179" s="113"/>
      <c r="AD179" s="113"/>
      <c r="AE179" s="113"/>
      <c r="AF179" s="113"/>
      <c r="AG179" s="113"/>
      <c r="AH179" s="113"/>
      <c r="AI179" s="113"/>
      <c r="AJ179" s="113"/>
      <c r="AK179" s="113"/>
      <c r="AL179" s="113"/>
      <c r="AM179" s="113"/>
      <c r="AN179" s="113"/>
    </row>
    <row r="180" spans="1:40" ht="30">
      <c r="A180" s="151" t="s">
        <v>258</v>
      </c>
      <c r="B180" s="149" t="s">
        <v>259</v>
      </c>
      <c r="C180" s="149"/>
      <c r="D180" s="113"/>
      <c r="E180" s="113"/>
      <c r="F180" s="113"/>
      <c r="G180" s="113"/>
      <c r="H180" s="113"/>
      <c r="I180" s="113"/>
      <c r="J180" s="113"/>
      <c r="K180" s="113"/>
      <c r="L180" s="113"/>
      <c r="M180" s="113"/>
      <c r="N180" s="113"/>
      <c r="O180" s="113"/>
      <c r="P180" s="113"/>
      <c r="Q180" s="113"/>
      <c r="R180" s="113"/>
      <c r="S180" s="113"/>
      <c r="T180" s="113"/>
      <c r="U180" s="113"/>
      <c r="V180" s="113"/>
      <c r="W180" s="113"/>
      <c r="X180" s="113"/>
      <c r="Y180" s="113"/>
      <c r="Z180" s="113"/>
      <c r="AA180" s="113"/>
      <c r="AB180" s="113"/>
      <c r="AC180" s="113"/>
      <c r="AD180" s="113"/>
      <c r="AE180" s="113"/>
      <c r="AF180" s="113"/>
      <c r="AG180" s="113"/>
      <c r="AH180" s="113"/>
      <c r="AI180" s="113"/>
      <c r="AJ180" s="113"/>
      <c r="AK180" s="113"/>
      <c r="AL180" s="113"/>
      <c r="AM180" s="113"/>
      <c r="AN180" s="113"/>
    </row>
    <row r="181" spans="1:40">
      <c r="A181" s="158"/>
      <c r="B181" s="113"/>
      <c r="C181" s="113"/>
      <c r="D181" s="113"/>
      <c r="E181" s="113"/>
      <c r="F181" s="113"/>
      <c r="G181" s="113"/>
      <c r="H181" s="113"/>
      <c r="I181" s="113"/>
      <c r="J181" s="113"/>
      <c r="K181" s="113"/>
      <c r="L181" s="113"/>
      <c r="M181" s="113"/>
      <c r="N181" s="113"/>
      <c r="O181" s="113"/>
      <c r="P181" s="113"/>
      <c r="Q181" s="113"/>
      <c r="R181" s="113"/>
      <c r="S181" s="113"/>
      <c r="T181" s="113"/>
      <c r="U181" s="113"/>
      <c r="V181" s="113"/>
      <c r="W181" s="113"/>
      <c r="X181" s="113"/>
      <c r="Y181" s="113"/>
      <c r="Z181" s="113"/>
      <c r="AA181" s="113"/>
      <c r="AB181" s="113"/>
      <c r="AC181" s="113"/>
      <c r="AD181" s="113"/>
      <c r="AE181" s="113"/>
      <c r="AF181" s="113"/>
      <c r="AG181" s="113"/>
      <c r="AH181" s="113"/>
      <c r="AI181" s="113"/>
      <c r="AJ181" s="113"/>
      <c r="AK181" s="113"/>
      <c r="AL181" s="113"/>
      <c r="AM181" s="113"/>
      <c r="AN181" s="113"/>
    </row>
    <row r="182" spans="1:40" ht="15.75">
      <c r="A182" s="151" t="s">
        <v>260</v>
      </c>
      <c r="B182" s="149" t="s">
        <v>261</v>
      </c>
      <c r="C182" s="149"/>
      <c r="D182" s="113"/>
      <c r="E182" s="113"/>
      <c r="F182" s="113"/>
      <c r="G182" s="113"/>
      <c r="H182" s="113"/>
      <c r="I182" s="113"/>
      <c r="J182" s="113"/>
      <c r="K182" s="113"/>
      <c r="L182" s="113"/>
      <c r="M182" s="113"/>
      <c r="N182" s="113"/>
      <c r="O182" s="113"/>
      <c r="P182" s="113"/>
      <c r="Q182" s="113"/>
      <c r="R182" s="113"/>
      <c r="S182" s="113"/>
      <c r="T182" s="113"/>
      <c r="U182" s="113"/>
      <c r="V182" s="113"/>
      <c r="W182" s="113"/>
      <c r="X182" s="113"/>
      <c r="Y182" s="113"/>
      <c r="Z182" s="113"/>
      <c r="AA182" s="113"/>
      <c r="AB182" s="113"/>
      <c r="AC182" s="113"/>
      <c r="AD182" s="113"/>
      <c r="AE182" s="113"/>
      <c r="AF182" s="113"/>
      <c r="AG182" s="113"/>
      <c r="AH182" s="113"/>
      <c r="AI182" s="113"/>
      <c r="AJ182" s="113"/>
      <c r="AK182" s="113"/>
      <c r="AL182" s="113"/>
      <c r="AM182" s="113"/>
      <c r="AN182" s="113"/>
    </row>
    <row r="183" spans="1:40" ht="15">
      <c r="A183" s="149"/>
      <c r="B183" s="113"/>
      <c r="C183" s="113"/>
      <c r="D183" s="113"/>
      <c r="E183" s="113"/>
      <c r="F183" s="113"/>
      <c r="G183" s="113"/>
      <c r="H183" s="113"/>
      <c r="I183" s="113"/>
      <c r="J183" s="113"/>
      <c r="K183" s="113"/>
      <c r="L183" s="113"/>
      <c r="M183" s="113"/>
      <c r="N183" s="113"/>
      <c r="O183" s="113"/>
      <c r="P183" s="113"/>
      <c r="Q183" s="113"/>
      <c r="R183" s="113"/>
      <c r="S183" s="113"/>
      <c r="T183" s="113"/>
      <c r="U183" s="113"/>
      <c r="V183" s="113"/>
      <c r="W183" s="113"/>
      <c r="X183" s="113"/>
      <c r="Y183" s="113"/>
      <c r="Z183" s="113"/>
      <c r="AA183" s="113"/>
      <c r="AB183" s="113"/>
      <c r="AC183" s="113"/>
      <c r="AD183" s="113"/>
      <c r="AE183" s="113"/>
      <c r="AF183" s="113"/>
      <c r="AG183" s="113"/>
      <c r="AH183" s="113"/>
      <c r="AI183" s="113"/>
      <c r="AJ183" s="113"/>
      <c r="AK183" s="113"/>
      <c r="AL183" s="113"/>
      <c r="AM183" s="113"/>
      <c r="AN183" s="113"/>
    </row>
    <row r="184" spans="1:40" ht="30">
      <c r="A184" s="151" t="s">
        <v>262</v>
      </c>
      <c r="B184" s="149" t="s">
        <v>263</v>
      </c>
      <c r="C184" s="149"/>
      <c r="D184" s="113"/>
      <c r="E184" s="113"/>
      <c r="F184" s="113"/>
      <c r="G184" s="113"/>
      <c r="H184" s="113"/>
      <c r="I184" s="113"/>
      <c r="J184" s="113"/>
      <c r="K184" s="113"/>
      <c r="L184" s="113"/>
      <c r="M184" s="113"/>
      <c r="N184" s="113"/>
      <c r="O184" s="113"/>
      <c r="P184" s="113"/>
      <c r="Q184" s="113"/>
      <c r="R184" s="113"/>
      <c r="S184" s="113"/>
      <c r="T184" s="113"/>
      <c r="U184" s="113"/>
      <c r="V184" s="113"/>
      <c r="W184" s="113"/>
      <c r="X184" s="113"/>
      <c r="Y184" s="113"/>
      <c r="Z184" s="113"/>
      <c r="AA184" s="113"/>
      <c r="AB184" s="113"/>
      <c r="AC184" s="113"/>
      <c r="AD184" s="113"/>
      <c r="AE184" s="113"/>
      <c r="AF184" s="113"/>
      <c r="AG184" s="113"/>
      <c r="AH184" s="113"/>
      <c r="AI184" s="113"/>
      <c r="AJ184" s="113"/>
      <c r="AK184" s="113"/>
      <c r="AL184" s="113"/>
      <c r="AM184" s="113"/>
      <c r="AN184" s="113"/>
    </row>
    <row r="185" spans="1:40">
      <c r="A185" s="113"/>
      <c r="B185" s="113"/>
      <c r="C185" s="113"/>
      <c r="D185" s="113"/>
      <c r="E185" s="113"/>
      <c r="F185" s="113"/>
      <c r="G185" s="113"/>
      <c r="H185" s="113"/>
      <c r="I185" s="113"/>
      <c r="J185" s="113"/>
      <c r="K185" s="113"/>
      <c r="L185" s="113"/>
      <c r="M185" s="113"/>
      <c r="N185" s="113"/>
      <c r="O185" s="113"/>
      <c r="P185" s="113"/>
      <c r="Q185" s="113"/>
      <c r="R185" s="113"/>
      <c r="S185" s="113"/>
      <c r="T185" s="113"/>
      <c r="U185" s="113"/>
      <c r="V185" s="113"/>
      <c r="W185" s="113"/>
      <c r="X185" s="113"/>
      <c r="Y185" s="113"/>
      <c r="Z185" s="113"/>
      <c r="AA185" s="113"/>
      <c r="AB185" s="113"/>
      <c r="AC185" s="113"/>
      <c r="AD185" s="113"/>
      <c r="AE185" s="113"/>
      <c r="AF185" s="113"/>
      <c r="AG185" s="113"/>
      <c r="AH185" s="113"/>
      <c r="AI185" s="113"/>
      <c r="AJ185" s="113"/>
      <c r="AK185" s="113"/>
      <c r="AL185" s="113"/>
      <c r="AM185" s="113"/>
      <c r="AN185" s="113"/>
    </row>
    <row r="186" spans="1:40" ht="15.75">
      <c r="A186" s="151" t="s">
        <v>264</v>
      </c>
      <c r="B186" s="113"/>
      <c r="C186" s="113"/>
      <c r="D186" s="113"/>
      <c r="E186" s="113"/>
      <c r="F186" s="113"/>
      <c r="G186" s="113"/>
      <c r="H186" s="113"/>
      <c r="I186" s="113"/>
      <c r="J186" s="113"/>
      <c r="K186" s="113"/>
      <c r="L186" s="113"/>
      <c r="M186" s="113"/>
      <c r="N186" s="113"/>
      <c r="O186" s="113"/>
      <c r="P186" s="113"/>
      <c r="Q186" s="113"/>
      <c r="R186" s="113"/>
      <c r="S186" s="113"/>
      <c r="T186" s="113"/>
      <c r="U186" s="113"/>
      <c r="V186" s="113"/>
      <c r="W186" s="113"/>
      <c r="X186" s="113"/>
      <c r="Y186" s="113"/>
      <c r="Z186" s="113"/>
      <c r="AA186" s="113"/>
      <c r="AB186" s="113"/>
      <c r="AC186" s="113"/>
      <c r="AD186" s="113"/>
      <c r="AE186" s="113"/>
      <c r="AF186" s="113"/>
      <c r="AG186" s="113"/>
      <c r="AH186" s="113"/>
      <c r="AI186" s="113"/>
      <c r="AJ186" s="113"/>
      <c r="AK186" s="113"/>
      <c r="AL186" s="113"/>
      <c r="AM186" s="113"/>
      <c r="AN186" s="113"/>
    </row>
    <row r="187" spans="1:40">
      <c r="A187" s="113"/>
      <c r="B187" s="113"/>
      <c r="C187" s="113"/>
      <c r="D187" s="113"/>
      <c r="E187" s="113"/>
      <c r="F187" s="113"/>
      <c r="G187" s="113"/>
      <c r="H187" s="113"/>
      <c r="I187" s="113"/>
      <c r="J187" s="113"/>
      <c r="K187" s="113"/>
      <c r="L187" s="113"/>
      <c r="M187" s="113"/>
      <c r="N187" s="113"/>
      <c r="O187" s="113"/>
      <c r="P187" s="113"/>
      <c r="Q187" s="113"/>
      <c r="R187" s="113"/>
      <c r="S187" s="113"/>
      <c r="T187" s="113"/>
      <c r="U187" s="113"/>
      <c r="V187" s="113"/>
      <c r="W187" s="113"/>
      <c r="X187" s="113"/>
      <c r="Y187" s="113"/>
      <c r="Z187" s="113"/>
      <c r="AA187" s="113"/>
      <c r="AB187" s="113"/>
      <c r="AC187" s="113"/>
      <c r="AD187" s="113"/>
      <c r="AE187" s="113"/>
      <c r="AF187" s="113"/>
      <c r="AG187" s="113"/>
      <c r="AH187" s="113"/>
      <c r="AI187" s="113"/>
      <c r="AJ187" s="113"/>
      <c r="AK187" s="113"/>
      <c r="AL187" s="113"/>
      <c r="AM187" s="113"/>
      <c r="AN187" s="113"/>
    </row>
    <row r="188" spans="1:40" ht="15">
      <c r="A188" s="155" t="s">
        <v>156</v>
      </c>
      <c r="B188" s="113"/>
      <c r="C188" s="113"/>
      <c r="D188" s="113"/>
      <c r="E188" s="113"/>
      <c r="F188" s="113"/>
      <c r="G188" s="113"/>
      <c r="H188" s="113"/>
      <c r="I188" s="113"/>
      <c r="J188" s="113"/>
      <c r="K188" s="113"/>
      <c r="L188" s="113"/>
      <c r="M188" s="113"/>
      <c r="N188" s="113"/>
      <c r="O188" s="113"/>
      <c r="P188" s="113"/>
      <c r="Q188" s="113"/>
      <c r="R188" s="113"/>
      <c r="S188" s="113"/>
      <c r="T188" s="113"/>
      <c r="U188" s="113"/>
      <c r="V188" s="113"/>
      <c r="W188" s="113"/>
      <c r="X188" s="113"/>
      <c r="Y188" s="113"/>
      <c r="Z188" s="113"/>
      <c r="AA188" s="113"/>
      <c r="AB188" s="113"/>
      <c r="AC188" s="113"/>
      <c r="AD188" s="113"/>
      <c r="AE188" s="113"/>
      <c r="AF188" s="113"/>
      <c r="AG188" s="113"/>
      <c r="AH188" s="113"/>
      <c r="AI188" s="113"/>
      <c r="AJ188" s="113"/>
      <c r="AK188" s="113"/>
      <c r="AL188" s="113"/>
      <c r="AM188" s="113"/>
      <c r="AN188" s="113"/>
    </row>
    <row r="189" spans="1:40">
      <c r="A189" s="113"/>
      <c r="B189" s="113"/>
      <c r="C189" s="113"/>
      <c r="D189" s="113"/>
      <c r="E189" s="113"/>
      <c r="F189" s="113"/>
      <c r="G189" s="113"/>
      <c r="H189" s="113"/>
      <c r="I189" s="113"/>
      <c r="J189" s="113"/>
      <c r="K189" s="113"/>
      <c r="L189" s="113"/>
      <c r="M189" s="113"/>
      <c r="N189" s="113"/>
      <c r="O189" s="113"/>
      <c r="P189" s="113"/>
      <c r="Q189" s="113"/>
      <c r="R189" s="113"/>
      <c r="S189" s="113"/>
      <c r="T189" s="113"/>
      <c r="U189" s="113"/>
      <c r="V189" s="113"/>
      <c r="W189" s="113"/>
      <c r="X189" s="113"/>
      <c r="Y189" s="113"/>
      <c r="Z189" s="113"/>
      <c r="AA189" s="113"/>
      <c r="AB189" s="113"/>
      <c r="AC189" s="113"/>
      <c r="AD189" s="113"/>
      <c r="AE189" s="113"/>
      <c r="AF189" s="113"/>
      <c r="AG189" s="113"/>
      <c r="AH189" s="113"/>
      <c r="AI189" s="113"/>
      <c r="AJ189" s="113"/>
      <c r="AK189" s="113"/>
      <c r="AL189" s="113"/>
      <c r="AM189" s="113"/>
      <c r="AN189" s="113"/>
    </row>
    <row r="190" spans="1:40" ht="45">
      <c r="A190" s="149" t="s">
        <v>265</v>
      </c>
      <c r="B190" s="113"/>
      <c r="C190" s="113"/>
      <c r="D190" s="113"/>
      <c r="E190" s="113"/>
      <c r="F190" s="113"/>
      <c r="G190" s="113"/>
      <c r="H190" s="113"/>
      <c r="I190" s="113"/>
      <c r="J190" s="113"/>
      <c r="K190" s="113"/>
      <c r="L190" s="113"/>
      <c r="M190" s="113"/>
      <c r="N190" s="113"/>
      <c r="O190" s="113"/>
      <c r="P190" s="113"/>
      <c r="Q190" s="113"/>
      <c r="R190" s="113"/>
      <c r="S190" s="113"/>
      <c r="T190" s="113"/>
      <c r="U190" s="113"/>
      <c r="V190" s="113"/>
      <c r="W190" s="113"/>
      <c r="X190" s="113"/>
      <c r="Y190" s="113"/>
      <c r="Z190" s="113"/>
      <c r="AA190" s="113"/>
      <c r="AB190" s="113"/>
      <c r="AC190" s="113"/>
      <c r="AD190" s="113"/>
      <c r="AE190" s="113"/>
      <c r="AF190" s="113"/>
      <c r="AG190" s="113"/>
      <c r="AH190" s="113"/>
      <c r="AI190" s="113"/>
      <c r="AJ190" s="113"/>
      <c r="AK190" s="113"/>
      <c r="AL190" s="113"/>
      <c r="AM190" s="113"/>
      <c r="AN190" s="113"/>
    </row>
    <row r="191" spans="1:40" ht="60">
      <c r="A191" s="149" t="s">
        <v>266</v>
      </c>
      <c r="B191" s="129" t="s">
        <v>267</v>
      </c>
      <c r="C191" s="113"/>
      <c r="D191" s="113"/>
      <c r="E191" s="113"/>
      <c r="F191" s="113"/>
      <c r="G191" s="113"/>
      <c r="H191" s="113"/>
      <c r="I191" s="113"/>
      <c r="J191" s="113"/>
      <c r="K191" s="113"/>
      <c r="L191" s="113"/>
      <c r="M191" s="113"/>
      <c r="N191" s="113"/>
      <c r="O191" s="113"/>
      <c r="P191" s="113"/>
      <c r="Q191" s="113"/>
      <c r="R191" s="113"/>
      <c r="S191" s="113"/>
      <c r="T191" s="113"/>
      <c r="U191" s="113"/>
      <c r="V191" s="113"/>
      <c r="W191" s="113"/>
      <c r="X191" s="113"/>
      <c r="Y191" s="113"/>
      <c r="Z191" s="113"/>
      <c r="AA191" s="113"/>
      <c r="AB191" s="113"/>
      <c r="AC191" s="113"/>
      <c r="AD191" s="113"/>
      <c r="AE191" s="113"/>
      <c r="AF191" s="113"/>
      <c r="AG191" s="113"/>
      <c r="AH191" s="113"/>
      <c r="AI191" s="113"/>
      <c r="AJ191" s="113"/>
      <c r="AK191" s="113"/>
      <c r="AL191" s="113"/>
      <c r="AM191" s="113"/>
      <c r="AN191" s="113"/>
    </row>
    <row r="192" spans="1:40" ht="15">
      <c r="A192" s="153" t="s">
        <v>268</v>
      </c>
      <c r="B192" s="113"/>
      <c r="C192" s="113"/>
      <c r="D192" s="113"/>
      <c r="E192" s="113"/>
      <c r="F192" s="113"/>
      <c r="G192" s="113"/>
      <c r="H192" s="113"/>
      <c r="I192" s="113"/>
      <c r="J192" s="113"/>
      <c r="K192" s="113"/>
      <c r="L192" s="113"/>
      <c r="M192" s="113"/>
      <c r="N192" s="113"/>
      <c r="O192" s="113"/>
      <c r="P192" s="113"/>
      <c r="Q192" s="113"/>
      <c r="R192" s="113"/>
      <c r="S192" s="113"/>
      <c r="T192" s="113"/>
      <c r="U192" s="113"/>
      <c r="V192" s="113"/>
      <c r="W192" s="113"/>
      <c r="X192" s="113"/>
      <c r="Y192" s="113"/>
      <c r="Z192" s="113"/>
      <c r="AA192" s="113"/>
      <c r="AB192" s="113"/>
      <c r="AC192" s="113"/>
      <c r="AD192" s="113"/>
      <c r="AE192" s="113"/>
      <c r="AF192" s="113"/>
      <c r="AG192" s="113"/>
      <c r="AH192" s="113"/>
      <c r="AI192" s="113"/>
      <c r="AJ192" s="113"/>
      <c r="AK192" s="113"/>
      <c r="AL192" s="113"/>
      <c r="AM192" s="113"/>
      <c r="AN192" s="113"/>
    </row>
    <row r="193" spans="1:40">
      <c r="A193" s="113"/>
      <c r="B193" s="113"/>
      <c r="C193" s="113"/>
      <c r="D193" s="113"/>
      <c r="E193" s="113"/>
      <c r="F193" s="113"/>
      <c r="G193" s="113"/>
      <c r="H193" s="113"/>
      <c r="I193" s="113"/>
      <c r="J193" s="113"/>
      <c r="K193" s="113"/>
      <c r="L193" s="113"/>
      <c r="M193" s="113"/>
      <c r="N193" s="113"/>
      <c r="O193" s="113"/>
      <c r="P193" s="113"/>
      <c r="Q193" s="113"/>
      <c r="R193" s="113"/>
      <c r="S193" s="113"/>
      <c r="T193" s="113"/>
      <c r="U193" s="113"/>
      <c r="V193" s="113"/>
      <c r="W193" s="113"/>
      <c r="X193" s="113"/>
      <c r="Y193" s="113"/>
      <c r="Z193" s="113"/>
      <c r="AA193" s="113"/>
      <c r="AB193" s="113"/>
      <c r="AC193" s="113"/>
      <c r="AD193" s="113"/>
      <c r="AE193" s="113"/>
      <c r="AF193" s="113"/>
      <c r="AG193" s="113"/>
      <c r="AH193" s="113"/>
      <c r="AI193" s="113"/>
      <c r="AJ193" s="113"/>
      <c r="AK193" s="113"/>
      <c r="AL193" s="113"/>
      <c r="AM193" s="113"/>
      <c r="AN193" s="113"/>
    </row>
    <row r="194" spans="1:40" ht="15">
      <c r="A194" s="155" t="s">
        <v>158</v>
      </c>
      <c r="B194" s="113"/>
      <c r="C194" s="113"/>
      <c r="D194" s="113"/>
      <c r="E194" s="113"/>
      <c r="F194" s="113"/>
      <c r="G194" s="113"/>
      <c r="H194" s="113"/>
      <c r="I194" s="113"/>
      <c r="J194" s="113"/>
      <c r="K194" s="113"/>
      <c r="L194" s="113"/>
      <c r="M194" s="113"/>
      <c r="N194" s="113"/>
      <c r="O194" s="113"/>
      <c r="P194" s="113"/>
      <c r="Q194" s="113"/>
      <c r="R194" s="113"/>
      <c r="S194" s="113"/>
      <c r="T194" s="113"/>
      <c r="U194" s="113"/>
      <c r="V194" s="113"/>
      <c r="W194" s="113"/>
      <c r="X194" s="113"/>
      <c r="Y194" s="113"/>
      <c r="Z194" s="113"/>
      <c r="AA194" s="113"/>
      <c r="AB194" s="113"/>
      <c r="AC194" s="113"/>
      <c r="AD194" s="113"/>
      <c r="AE194" s="113"/>
      <c r="AF194" s="113"/>
      <c r="AG194" s="113"/>
      <c r="AH194" s="113"/>
      <c r="AI194" s="113"/>
      <c r="AJ194" s="113"/>
      <c r="AK194" s="113"/>
      <c r="AL194" s="113"/>
      <c r="AM194" s="113"/>
      <c r="AN194" s="113"/>
    </row>
    <row r="195" spans="1:40">
      <c r="A195" s="113"/>
      <c r="B195" s="113"/>
      <c r="C195" s="113"/>
      <c r="D195" s="113"/>
      <c r="E195" s="113"/>
      <c r="F195" s="113"/>
      <c r="G195" s="113"/>
      <c r="H195" s="113"/>
      <c r="I195" s="113"/>
      <c r="J195" s="113"/>
      <c r="K195" s="113"/>
      <c r="L195" s="113"/>
      <c r="M195" s="113"/>
      <c r="N195" s="113"/>
      <c r="O195" s="113"/>
      <c r="P195" s="113"/>
      <c r="Q195" s="113"/>
      <c r="R195" s="113"/>
      <c r="S195" s="113"/>
      <c r="T195" s="113"/>
      <c r="U195" s="113"/>
      <c r="V195" s="113"/>
      <c r="W195" s="113"/>
      <c r="X195" s="113"/>
      <c r="Y195" s="113"/>
      <c r="Z195" s="113"/>
      <c r="AA195" s="113"/>
      <c r="AB195" s="113"/>
      <c r="AC195" s="113"/>
      <c r="AD195" s="113"/>
      <c r="AE195" s="113"/>
      <c r="AF195" s="113"/>
      <c r="AG195" s="113"/>
      <c r="AH195" s="113"/>
      <c r="AI195" s="113"/>
      <c r="AJ195" s="113"/>
      <c r="AK195" s="113"/>
      <c r="AL195" s="113"/>
      <c r="AM195" s="113"/>
      <c r="AN195" s="113"/>
    </row>
    <row r="196" spans="1:40" ht="15.75">
      <c r="A196" s="151" t="s">
        <v>269</v>
      </c>
      <c r="B196" s="149" t="s">
        <v>270</v>
      </c>
      <c r="C196" s="113"/>
      <c r="D196" s="113"/>
      <c r="E196" s="113"/>
      <c r="F196" s="113"/>
      <c r="G196" s="113"/>
      <c r="H196" s="113"/>
      <c r="I196" s="113"/>
      <c r="J196" s="113"/>
      <c r="K196" s="113"/>
      <c r="L196" s="113"/>
      <c r="M196" s="113"/>
      <c r="N196" s="113"/>
      <c r="O196" s="113"/>
      <c r="P196" s="113"/>
      <c r="Q196" s="113"/>
      <c r="R196" s="113"/>
      <c r="S196" s="113"/>
      <c r="T196" s="113"/>
      <c r="U196" s="113"/>
      <c r="V196" s="113"/>
      <c r="W196" s="113"/>
      <c r="X196" s="113"/>
      <c r="Y196" s="113"/>
      <c r="Z196" s="113"/>
      <c r="AA196" s="113"/>
      <c r="AB196" s="113"/>
      <c r="AC196" s="113"/>
      <c r="AD196" s="113"/>
      <c r="AE196" s="113"/>
      <c r="AF196" s="113"/>
      <c r="AG196" s="113"/>
      <c r="AH196" s="113"/>
      <c r="AI196" s="113"/>
      <c r="AJ196" s="113"/>
      <c r="AK196" s="113"/>
      <c r="AL196" s="113"/>
      <c r="AM196" s="113"/>
      <c r="AN196" s="113"/>
    </row>
    <row r="197" spans="1:40">
      <c r="A197" s="113"/>
      <c r="B197" s="113"/>
      <c r="C197" s="113"/>
      <c r="D197" s="113"/>
      <c r="E197" s="113"/>
      <c r="F197" s="113"/>
      <c r="G197" s="113"/>
      <c r="H197" s="113"/>
      <c r="I197" s="113"/>
      <c r="J197" s="113"/>
      <c r="K197" s="113"/>
      <c r="L197" s="113"/>
      <c r="M197" s="113"/>
      <c r="N197" s="113"/>
      <c r="O197" s="113"/>
      <c r="P197" s="113"/>
      <c r="Q197" s="113"/>
      <c r="R197" s="113"/>
      <c r="S197" s="113"/>
      <c r="T197" s="113"/>
      <c r="U197" s="113"/>
      <c r="V197" s="113"/>
      <c r="W197" s="113"/>
      <c r="X197" s="113"/>
      <c r="Y197" s="113"/>
      <c r="Z197" s="113"/>
      <c r="AA197" s="113"/>
      <c r="AB197" s="113"/>
      <c r="AC197" s="113"/>
      <c r="AD197" s="113"/>
      <c r="AE197" s="113"/>
      <c r="AF197" s="113"/>
      <c r="AG197" s="113"/>
      <c r="AH197" s="113"/>
      <c r="AI197" s="113"/>
      <c r="AJ197" s="113"/>
      <c r="AK197" s="113"/>
      <c r="AL197" s="113"/>
      <c r="AM197" s="113"/>
      <c r="AN197" s="113"/>
    </row>
    <row r="198" spans="1:40" ht="75">
      <c r="A198" s="151" t="s">
        <v>271</v>
      </c>
      <c r="B198" s="149" t="s">
        <v>272</v>
      </c>
      <c r="C198" s="113"/>
      <c r="D198" s="113"/>
      <c r="E198" s="113"/>
      <c r="F198" s="113"/>
      <c r="G198" s="113"/>
      <c r="H198" s="113"/>
      <c r="I198" s="113"/>
      <c r="J198" s="113"/>
      <c r="K198" s="113"/>
      <c r="L198" s="113"/>
      <c r="M198" s="113"/>
      <c r="N198" s="113"/>
      <c r="O198" s="113"/>
      <c r="P198" s="113"/>
      <c r="Q198" s="113"/>
      <c r="R198" s="113"/>
      <c r="S198" s="113"/>
      <c r="T198" s="113"/>
      <c r="U198" s="113"/>
      <c r="V198" s="113"/>
      <c r="W198" s="113"/>
      <c r="X198" s="113"/>
      <c r="Y198" s="113"/>
      <c r="Z198" s="113"/>
      <c r="AA198" s="113"/>
      <c r="AB198" s="113"/>
      <c r="AC198" s="113"/>
      <c r="AD198" s="113"/>
      <c r="AE198" s="113"/>
      <c r="AF198" s="113"/>
      <c r="AG198" s="113"/>
      <c r="AH198" s="113"/>
      <c r="AI198" s="113"/>
      <c r="AJ198" s="113"/>
      <c r="AK198" s="113"/>
      <c r="AL198" s="113"/>
      <c r="AM198" s="113"/>
      <c r="AN198" s="113"/>
    </row>
    <row r="199" spans="1:40">
      <c r="A199" s="113"/>
      <c r="B199" s="113"/>
      <c r="C199" s="113"/>
      <c r="D199" s="113"/>
      <c r="E199" s="113"/>
      <c r="F199" s="113"/>
      <c r="G199" s="113"/>
      <c r="H199" s="113"/>
      <c r="I199" s="113"/>
      <c r="J199" s="113"/>
      <c r="K199" s="113"/>
      <c r="L199" s="113"/>
      <c r="M199" s="113"/>
      <c r="N199" s="113"/>
      <c r="O199" s="113"/>
      <c r="P199" s="113"/>
      <c r="Q199" s="113"/>
      <c r="R199" s="113"/>
      <c r="S199" s="113"/>
      <c r="T199" s="113"/>
      <c r="U199" s="113"/>
      <c r="V199" s="113"/>
      <c r="W199" s="113"/>
      <c r="X199" s="113"/>
      <c r="Y199" s="113"/>
      <c r="Z199" s="113"/>
      <c r="AA199" s="113"/>
      <c r="AB199" s="113"/>
      <c r="AC199" s="113"/>
      <c r="AD199" s="113"/>
      <c r="AE199" s="113"/>
      <c r="AF199" s="113"/>
      <c r="AG199" s="113"/>
      <c r="AH199" s="113"/>
      <c r="AI199" s="113"/>
      <c r="AJ199" s="113"/>
      <c r="AK199" s="113"/>
      <c r="AL199" s="113"/>
      <c r="AM199" s="113"/>
      <c r="AN199" s="113"/>
    </row>
    <row r="200" spans="1:40" ht="45">
      <c r="A200" s="151" t="s">
        <v>273</v>
      </c>
      <c r="B200" s="149" t="s">
        <v>274</v>
      </c>
      <c r="C200" s="113"/>
      <c r="D200" s="113"/>
      <c r="E200" s="113"/>
      <c r="F200" s="113"/>
      <c r="G200" s="113"/>
      <c r="H200" s="113"/>
      <c r="I200" s="113"/>
      <c r="J200" s="113"/>
      <c r="K200" s="113"/>
      <c r="L200" s="113"/>
      <c r="M200" s="113"/>
      <c r="N200" s="113"/>
      <c r="O200" s="113"/>
      <c r="P200" s="113"/>
      <c r="Q200" s="113"/>
      <c r="R200" s="113"/>
      <c r="S200" s="113"/>
      <c r="T200" s="113"/>
      <c r="U200" s="113"/>
      <c r="V200" s="113"/>
      <c r="W200" s="113"/>
      <c r="X200" s="113"/>
      <c r="Y200" s="113"/>
      <c r="Z200" s="113"/>
      <c r="AA200" s="113"/>
      <c r="AB200" s="113"/>
      <c r="AC200" s="113"/>
      <c r="AD200" s="113"/>
      <c r="AE200" s="113"/>
      <c r="AF200" s="113"/>
      <c r="AG200" s="113"/>
      <c r="AH200" s="113"/>
      <c r="AI200" s="113"/>
      <c r="AJ200" s="113"/>
      <c r="AK200" s="113"/>
      <c r="AL200" s="113"/>
      <c r="AM200" s="113"/>
      <c r="AN200" s="113"/>
    </row>
    <row r="201" spans="1:40">
      <c r="A201" s="113"/>
      <c r="B201" s="113"/>
      <c r="C201" s="113"/>
      <c r="D201" s="113"/>
      <c r="E201" s="113"/>
      <c r="F201" s="113"/>
      <c r="G201" s="113"/>
      <c r="H201" s="113"/>
      <c r="I201" s="113"/>
      <c r="J201" s="113"/>
      <c r="K201" s="113"/>
      <c r="L201" s="113"/>
      <c r="M201" s="113"/>
      <c r="N201" s="113"/>
      <c r="O201" s="113"/>
      <c r="P201" s="113"/>
      <c r="Q201" s="113"/>
      <c r="R201" s="113"/>
      <c r="S201" s="113"/>
      <c r="T201" s="113"/>
      <c r="U201" s="113"/>
      <c r="V201" s="113"/>
      <c r="W201" s="113"/>
      <c r="X201" s="113"/>
      <c r="Y201" s="113"/>
      <c r="Z201" s="113"/>
      <c r="AA201" s="113"/>
      <c r="AB201" s="113"/>
      <c r="AC201" s="113"/>
      <c r="AD201" s="113"/>
      <c r="AE201" s="113"/>
      <c r="AF201" s="113"/>
      <c r="AG201" s="113"/>
      <c r="AH201" s="113"/>
      <c r="AI201" s="113"/>
      <c r="AJ201" s="113"/>
      <c r="AK201" s="113"/>
      <c r="AL201" s="113"/>
      <c r="AM201" s="113"/>
      <c r="AN201" s="113"/>
    </row>
    <row r="202" spans="1:40" ht="60">
      <c r="A202" s="151" t="s">
        <v>275</v>
      </c>
      <c r="B202" s="149" t="s">
        <v>276</v>
      </c>
      <c r="C202" s="113"/>
      <c r="D202" s="113"/>
      <c r="E202" s="113"/>
      <c r="F202" s="113"/>
      <c r="G202" s="113"/>
      <c r="H202" s="113"/>
      <c r="I202" s="113"/>
      <c r="J202" s="113"/>
      <c r="K202" s="113"/>
      <c r="L202" s="113"/>
      <c r="M202" s="113"/>
      <c r="N202" s="113"/>
      <c r="O202" s="113"/>
      <c r="P202" s="113"/>
      <c r="Q202" s="113"/>
      <c r="R202" s="113"/>
      <c r="S202" s="113"/>
      <c r="T202" s="113"/>
      <c r="U202" s="113"/>
      <c r="V202" s="113"/>
      <c r="W202" s="113"/>
      <c r="X202" s="113"/>
      <c r="Y202" s="113"/>
      <c r="Z202" s="113"/>
      <c r="AA202" s="113"/>
      <c r="AB202" s="113"/>
      <c r="AC202" s="113"/>
      <c r="AD202" s="113"/>
      <c r="AE202" s="113"/>
      <c r="AF202" s="113"/>
      <c r="AG202" s="113"/>
      <c r="AH202" s="113"/>
      <c r="AI202" s="113"/>
      <c r="AJ202" s="113"/>
      <c r="AK202" s="113"/>
      <c r="AL202" s="113"/>
      <c r="AM202" s="113"/>
      <c r="AN202" s="113"/>
    </row>
    <row r="203" spans="1:40">
      <c r="A203" s="113"/>
      <c r="B203" s="113"/>
      <c r="C203" s="113"/>
      <c r="D203" s="113"/>
      <c r="E203" s="113"/>
      <c r="F203" s="113"/>
      <c r="G203" s="113"/>
      <c r="H203" s="113"/>
      <c r="I203" s="113"/>
      <c r="J203" s="113"/>
      <c r="K203" s="113"/>
      <c r="L203" s="113"/>
      <c r="M203" s="113"/>
      <c r="N203" s="113"/>
      <c r="O203" s="113"/>
      <c r="P203" s="113"/>
      <c r="Q203" s="113"/>
      <c r="R203" s="113"/>
      <c r="S203" s="113"/>
      <c r="T203" s="113"/>
      <c r="U203" s="113"/>
      <c r="V203" s="113"/>
      <c r="W203" s="113"/>
      <c r="X203" s="113"/>
      <c r="Y203" s="113"/>
      <c r="Z203" s="113"/>
      <c r="AA203" s="113"/>
      <c r="AB203" s="113"/>
      <c r="AC203" s="113"/>
      <c r="AD203" s="113"/>
      <c r="AE203" s="113"/>
      <c r="AF203" s="113"/>
      <c r="AG203" s="113"/>
      <c r="AH203" s="113"/>
      <c r="AI203" s="113"/>
      <c r="AJ203" s="113"/>
      <c r="AK203" s="113"/>
      <c r="AL203" s="113"/>
      <c r="AM203" s="113"/>
      <c r="AN203" s="113"/>
    </row>
    <row r="204" spans="1:40" ht="30">
      <c r="A204" s="151" t="s">
        <v>277</v>
      </c>
      <c r="B204" s="149" t="s">
        <v>278</v>
      </c>
      <c r="C204" s="113"/>
      <c r="D204" s="113"/>
      <c r="E204" s="113"/>
      <c r="F204" s="113"/>
      <c r="G204" s="113"/>
      <c r="H204" s="113"/>
      <c r="I204" s="113"/>
      <c r="J204" s="113"/>
      <c r="K204" s="113"/>
      <c r="L204" s="113"/>
      <c r="M204" s="113"/>
      <c r="N204" s="113"/>
      <c r="O204" s="113"/>
      <c r="P204" s="113"/>
      <c r="Q204" s="113"/>
      <c r="R204" s="113"/>
      <c r="S204" s="113"/>
      <c r="T204" s="113"/>
      <c r="U204" s="113"/>
      <c r="V204" s="113"/>
      <c r="W204" s="113"/>
      <c r="X204" s="113"/>
      <c r="Y204" s="113"/>
      <c r="Z204" s="113"/>
      <c r="AA204" s="113"/>
      <c r="AB204" s="113"/>
      <c r="AC204" s="113"/>
      <c r="AD204" s="113"/>
      <c r="AE204" s="113"/>
      <c r="AF204" s="113"/>
      <c r="AG204" s="113"/>
      <c r="AH204" s="113"/>
      <c r="AI204" s="113"/>
      <c r="AJ204" s="113"/>
      <c r="AK204" s="113"/>
      <c r="AL204" s="113"/>
      <c r="AM204" s="113"/>
      <c r="AN204" s="113"/>
    </row>
    <row r="205" spans="1:40">
      <c r="A205" s="113"/>
      <c r="B205" s="113"/>
      <c r="C205" s="113"/>
      <c r="D205" s="113"/>
      <c r="E205" s="113"/>
      <c r="F205" s="113"/>
      <c r="G205" s="113"/>
      <c r="H205" s="113"/>
      <c r="I205" s="113"/>
      <c r="J205" s="113"/>
      <c r="K205" s="113"/>
      <c r="L205" s="113"/>
      <c r="M205" s="113"/>
      <c r="N205" s="113"/>
      <c r="O205" s="113"/>
      <c r="P205" s="113"/>
      <c r="Q205" s="113"/>
      <c r="R205" s="113"/>
      <c r="S205" s="113"/>
      <c r="T205" s="113"/>
      <c r="U205" s="113"/>
      <c r="V205" s="113"/>
      <c r="W205" s="113"/>
      <c r="X205" s="113"/>
      <c r="Y205" s="113"/>
      <c r="Z205" s="113"/>
      <c r="AA205" s="113"/>
      <c r="AB205" s="113"/>
      <c r="AC205" s="113"/>
      <c r="AD205" s="113"/>
      <c r="AE205" s="113"/>
      <c r="AF205" s="113"/>
      <c r="AG205" s="113"/>
      <c r="AH205" s="113"/>
      <c r="AI205" s="113"/>
      <c r="AJ205" s="113"/>
      <c r="AK205" s="113"/>
      <c r="AL205" s="113"/>
      <c r="AM205" s="113"/>
      <c r="AN205" s="113"/>
    </row>
    <row r="206" spans="1:40" ht="30">
      <c r="A206" s="151" t="s">
        <v>279</v>
      </c>
      <c r="B206" s="149" t="s">
        <v>280</v>
      </c>
      <c r="C206" s="113"/>
      <c r="D206" s="113"/>
      <c r="E206" s="113"/>
      <c r="F206" s="113"/>
      <c r="G206" s="113"/>
      <c r="H206" s="113"/>
      <c r="I206" s="113"/>
      <c r="J206" s="113"/>
      <c r="K206" s="113"/>
      <c r="L206" s="113"/>
      <c r="M206" s="113"/>
      <c r="N206" s="113"/>
      <c r="O206" s="113"/>
      <c r="P206" s="113"/>
      <c r="Q206" s="113"/>
      <c r="R206" s="113"/>
      <c r="S206" s="113"/>
      <c r="T206" s="113"/>
      <c r="U206" s="113"/>
      <c r="V206" s="113"/>
      <c r="W206" s="113"/>
      <c r="X206" s="113"/>
      <c r="Y206" s="113"/>
      <c r="Z206" s="113"/>
      <c r="AA206" s="113"/>
      <c r="AB206" s="113"/>
      <c r="AC206" s="113"/>
      <c r="AD206" s="113"/>
      <c r="AE206" s="113"/>
      <c r="AF206" s="113"/>
      <c r="AG206" s="113"/>
      <c r="AH206" s="113"/>
      <c r="AI206" s="113"/>
      <c r="AJ206" s="113"/>
      <c r="AK206" s="113"/>
      <c r="AL206" s="113"/>
      <c r="AM206" s="113"/>
      <c r="AN206" s="113"/>
    </row>
    <row r="207" spans="1:40">
      <c r="A207" s="113"/>
      <c r="B207" s="113"/>
      <c r="C207" s="113"/>
      <c r="D207" s="113"/>
      <c r="E207" s="113"/>
      <c r="F207" s="113"/>
      <c r="G207" s="113"/>
      <c r="H207" s="113"/>
      <c r="I207" s="113"/>
      <c r="J207" s="113"/>
      <c r="K207" s="113"/>
      <c r="L207" s="113"/>
      <c r="M207" s="113"/>
      <c r="N207" s="113"/>
      <c r="O207" s="113"/>
      <c r="P207" s="113"/>
      <c r="Q207" s="113"/>
      <c r="R207" s="113"/>
      <c r="S207" s="113"/>
      <c r="T207" s="113"/>
      <c r="U207" s="113"/>
      <c r="V207" s="113"/>
      <c r="W207" s="113"/>
      <c r="X207" s="113"/>
      <c r="Y207" s="113"/>
      <c r="Z207" s="113"/>
      <c r="AA207" s="113"/>
      <c r="AB207" s="113"/>
      <c r="AC207" s="113"/>
      <c r="AD207" s="113"/>
      <c r="AE207" s="113"/>
      <c r="AF207" s="113"/>
      <c r="AG207" s="113"/>
      <c r="AH207" s="113"/>
      <c r="AI207" s="113"/>
      <c r="AJ207" s="113"/>
      <c r="AK207" s="113"/>
      <c r="AL207" s="113"/>
      <c r="AM207" s="113"/>
      <c r="AN207" s="113"/>
    </row>
    <row r="208" spans="1:40" ht="15.75">
      <c r="A208" s="151" t="s">
        <v>281</v>
      </c>
      <c r="B208" s="149" t="s">
        <v>282</v>
      </c>
      <c r="C208" s="113"/>
      <c r="D208" s="113"/>
      <c r="E208" s="113"/>
      <c r="F208" s="113"/>
      <c r="G208" s="113"/>
      <c r="H208" s="113"/>
      <c r="I208" s="113"/>
      <c r="J208" s="113"/>
      <c r="K208" s="113"/>
      <c r="L208" s="113"/>
      <c r="M208" s="113"/>
      <c r="N208" s="113"/>
      <c r="O208" s="113"/>
      <c r="P208" s="113"/>
      <c r="Q208" s="113"/>
      <c r="R208" s="113"/>
      <c r="S208" s="113"/>
      <c r="T208" s="113"/>
      <c r="U208" s="113"/>
      <c r="V208" s="113"/>
      <c r="W208" s="113"/>
      <c r="X208" s="113"/>
      <c r="Y208" s="113"/>
      <c r="Z208" s="113"/>
      <c r="AA208" s="113"/>
      <c r="AB208" s="113"/>
      <c r="AC208" s="113"/>
      <c r="AD208" s="113"/>
      <c r="AE208" s="113"/>
      <c r="AF208" s="113"/>
      <c r="AG208" s="113"/>
      <c r="AH208" s="113"/>
      <c r="AI208" s="113"/>
      <c r="AJ208" s="113"/>
      <c r="AK208" s="113"/>
      <c r="AL208" s="113"/>
      <c r="AM208" s="113"/>
      <c r="AN208" s="113"/>
    </row>
    <row r="209" spans="1:40">
      <c r="A209" s="113"/>
      <c r="B209" s="113"/>
      <c r="C209" s="113"/>
      <c r="D209" s="113"/>
      <c r="E209" s="113"/>
      <c r="F209" s="113"/>
      <c r="G209" s="113"/>
      <c r="H209" s="113"/>
      <c r="I209" s="113"/>
      <c r="J209" s="113"/>
      <c r="K209" s="113"/>
      <c r="L209" s="113"/>
      <c r="M209" s="113"/>
      <c r="N209" s="113"/>
      <c r="O209" s="113"/>
      <c r="P209" s="113"/>
      <c r="Q209" s="113"/>
      <c r="R209" s="113"/>
      <c r="S209" s="113"/>
      <c r="T209" s="113"/>
      <c r="U209" s="113"/>
      <c r="V209" s="113"/>
      <c r="W209" s="113"/>
      <c r="X209" s="113"/>
      <c r="Y209" s="113"/>
      <c r="Z209" s="113"/>
      <c r="AA209" s="113"/>
      <c r="AB209" s="113"/>
      <c r="AC209" s="113"/>
      <c r="AD209" s="113"/>
      <c r="AE209" s="113"/>
      <c r="AF209" s="113"/>
      <c r="AG209" s="113"/>
      <c r="AH209" s="113"/>
      <c r="AI209" s="113"/>
      <c r="AJ209" s="113"/>
      <c r="AK209" s="113"/>
      <c r="AL209" s="113"/>
      <c r="AM209" s="113"/>
      <c r="AN209" s="113"/>
    </row>
    <row r="210" spans="1:40">
      <c r="A210" s="113"/>
      <c r="B210" s="113"/>
      <c r="C210" s="113"/>
      <c r="D210" s="113"/>
      <c r="E210" s="113"/>
      <c r="F210" s="113"/>
      <c r="G210" s="113"/>
      <c r="H210" s="113"/>
      <c r="I210" s="113"/>
      <c r="J210" s="113"/>
      <c r="K210" s="113"/>
      <c r="L210" s="113"/>
      <c r="M210" s="113"/>
      <c r="N210" s="113"/>
      <c r="O210" s="113"/>
      <c r="P210" s="113"/>
      <c r="Q210" s="113"/>
      <c r="R210" s="113"/>
      <c r="S210" s="113"/>
      <c r="T210" s="113"/>
      <c r="U210" s="113"/>
      <c r="V210" s="113"/>
      <c r="W210" s="113"/>
      <c r="X210" s="113"/>
      <c r="Y210" s="113"/>
      <c r="Z210" s="113"/>
      <c r="AA210" s="113"/>
      <c r="AB210" s="113"/>
      <c r="AC210" s="113"/>
      <c r="AD210" s="113"/>
      <c r="AE210" s="113"/>
      <c r="AF210" s="113"/>
      <c r="AG210" s="113"/>
      <c r="AH210" s="113"/>
      <c r="AI210" s="113"/>
      <c r="AJ210" s="113"/>
      <c r="AK210" s="113"/>
      <c r="AL210" s="113"/>
      <c r="AM210" s="113"/>
      <c r="AN210" s="113"/>
    </row>
    <row r="211" spans="1:40">
      <c r="A211" s="113"/>
      <c r="B211" s="113"/>
      <c r="C211" s="113"/>
      <c r="D211" s="113"/>
      <c r="E211" s="113"/>
      <c r="F211" s="113"/>
      <c r="G211" s="113"/>
      <c r="H211" s="113"/>
      <c r="I211" s="113"/>
      <c r="J211" s="113"/>
      <c r="K211" s="113"/>
      <c r="L211" s="113"/>
      <c r="M211" s="113"/>
      <c r="N211" s="113"/>
      <c r="O211" s="113"/>
      <c r="P211" s="113"/>
      <c r="Q211" s="113"/>
      <c r="R211" s="113"/>
      <c r="S211" s="113"/>
      <c r="T211" s="113"/>
      <c r="U211" s="113"/>
      <c r="V211" s="113"/>
      <c r="W211" s="113"/>
      <c r="X211" s="113"/>
      <c r="Y211" s="113"/>
      <c r="Z211" s="113"/>
      <c r="AA211" s="113"/>
      <c r="AB211" s="113"/>
      <c r="AC211" s="113"/>
      <c r="AD211" s="113"/>
      <c r="AE211" s="113"/>
      <c r="AF211" s="113"/>
      <c r="AG211" s="113"/>
      <c r="AH211" s="113"/>
      <c r="AI211" s="113"/>
      <c r="AJ211" s="113"/>
      <c r="AK211" s="113"/>
      <c r="AL211" s="113"/>
      <c r="AM211" s="113"/>
      <c r="AN211" s="113"/>
    </row>
    <row r="212" spans="1:40" ht="123" customHeight="1">
      <c r="A212" s="113"/>
      <c r="B212" s="113"/>
      <c r="C212" s="113"/>
      <c r="D212" s="113"/>
      <c r="E212" s="113"/>
      <c r="F212" s="113"/>
      <c r="G212" s="113"/>
      <c r="H212" s="113"/>
      <c r="I212" s="113"/>
      <c r="J212" s="113"/>
      <c r="K212" s="113"/>
      <c r="L212" s="113"/>
      <c r="M212" s="113"/>
      <c r="N212" s="113"/>
      <c r="O212" s="113"/>
      <c r="P212" s="113"/>
      <c r="Q212" s="113"/>
      <c r="R212" s="113"/>
      <c r="S212" s="113"/>
      <c r="T212" s="113"/>
      <c r="U212" s="113"/>
      <c r="V212" s="113"/>
      <c r="W212" s="113"/>
      <c r="X212" s="113"/>
      <c r="Y212" s="113"/>
      <c r="Z212" s="113"/>
      <c r="AA212" s="113"/>
      <c r="AB212" s="113"/>
      <c r="AC212" s="113"/>
      <c r="AD212" s="113"/>
      <c r="AE212" s="113"/>
      <c r="AF212" s="113"/>
      <c r="AG212" s="113"/>
      <c r="AH212" s="113"/>
      <c r="AI212" s="113"/>
      <c r="AJ212" s="113"/>
      <c r="AK212" s="113"/>
      <c r="AL212" s="113"/>
      <c r="AM212" s="113"/>
      <c r="AN212" s="113"/>
    </row>
    <row r="213" spans="1:40">
      <c r="A213" s="113"/>
      <c r="B213" s="113"/>
      <c r="C213" s="113"/>
      <c r="D213" s="113"/>
      <c r="E213" s="113"/>
      <c r="F213" s="113"/>
      <c r="G213" s="113"/>
      <c r="H213" s="113"/>
      <c r="I213" s="113"/>
      <c r="J213" s="113"/>
      <c r="K213" s="113"/>
      <c r="L213" s="113"/>
      <c r="M213" s="113"/>
      <c r="N213" s="113"/>
      <c r="O213" s="113"/>
      <c r="P213" s="113"/>
      <c r="Q213" s="113"/>
      <c r="R213" s="113"/>
      <c r="S213" s="113"/>
      <c r="T213" s="113"/>
      <c r="U213" s="113"/>
      <c r="V213" s="113"/>
      <c r="W213" s="113"/>
      <c r="X213" s="113"/>
      <c r="Y213" s="113"/>
      <c r="Z213" s="113"/>
      <c r="AA213" s="113"/>
      <c r="AB213" s="113"/>
      <c r="AC213" s="113"/>
      <c r="AD213" s="113"/>
      <c r="AE213" s="113"/>
      <c r="AF213" s="113"/>
      <c r="AG213" s="113"/>
      <c r="AH213" s="113"/>
      <c r="AI213" s="113"/>
      <c r="AJ213" s="113"/>
      <c r="AK213" s="113"/>
      <c r="AL213" s="113"/>
      <c r="AM213" s="113"/>
      <c r="AN213" s="113"/>
    </row>
    <row r="214" spans="1:40" ht="61.35" customHeight="1">
      <c r="A214" s="113"/>
      <c r="B214" s="113"/>
      <c r="C214" s="113"/>
      <c r="D214" s="113"/>
      <c r="E214" s="113"/>
      <c r="F214" s="113"/>
      <c r="G214" s="113"/>
      <c r="H214" s="113"/>
      <c r="I214" s="113"/>
      <c r="J214" s="113"/>
      <c r="K214" s="113"/>
      <c r="L214" s="113"/>
      <c r="M214" s="113"/>
      <c r="N214" s="113"/>
      <c r="O214" s="113"/>
      <c r="P214" s="113"/>
      <c r="Q214" s="113"/>
      <c r="R214" s="113"/>
      <c r="S214" s="113"/>
      <c r="T214" s="113"/>
      <c r="U214" s="113"/>
      <c r="V214" s="113"/>
      <c r="W214" s="113"/>
      <c r="X214" s="113"/>
      <c r="Y214" s="113"/>
      <c r="Z214" s="113"/>
      <c r="AA214" s="113"/>
      <c r="AB214" s="113"/>
      <c r="AC214" s="113"/>
      <c r="AD214" s="113"/>
      <c r="AE214" s="113"/>
      <c r="AF214" s="113"/>
      <c r="AG214" s="113"/>
      <c r="AH214" s="113"/>
      <c r="AI214" s="113"/>
      <c r="AJ214" s="113"/>
      <c r="AK214" s="113"/>
      <c r="AL214" s="113"/>
      <c r="AM214" s="113"/>
      <c r="AN214" s="113"/>
    </row>
    <row r="215" spans="1:40">
      <c r="A215" s="113"/>
      <c r="B215" s="113"/>
      <c r="C215" s="113"/>
      <c r="D215" s="113"/>
      <c r="E215" s="113"/>
      <c r="F215" s="113"/>
      <c r="G215" s="113"/>
      <c r="H215" s="113"/>
      <c r="I215" s="113"/>
      <c r="J215" s="113"/>
      <c r="K215" s="113"/>
      <c r="L215" s="113"/>
      <c r="M215" s="113"/>
      <c r="N215" s="113"/>
      <c r="O215" s="113"/>
      <c r="P215" s="113"/>
      <c r="Q215" s="113"/>
      <c r="R215" s="113"/>
      <c r="S215" s="113"/>
      <c r="T215" s="113"/>
      <c r="U215" s="113"/>
      <c r="V215" s="113"/>
      <c r="W215" s="113"/>
      <c r="X215" s="113"/>
      <c r="Y215" s="113"/>
      <c r="Z215" s="113"/>
      <c r="AA215" s="113"/>
      <c r="AB215" s="113"/>
      <c r="AC215" s="113"/>
      <c r="AD215" s="113"/>
      <c r="AE215" s="113"/>
      <c r="AF215" s="113"/>
      <c r="AG215" s="113"/>
      <c r="AH215" s="113"/>
      <c r="AI215" s="113"/>
      <c r="AJ215" s="113"/>
      <c r="AK215" s="113"/>
      <c r="AL215" s="113"/>
      <c r="AM215" s="113"/>
      <c r="AN215" s="113"/>
    </row>
    <row r="216" spans="1:40">
      <c r="A216" s="113"/>
      <c r="B216" s="113"/>
      <c r="C216" s="113"/>
      <c r="D216" s="113"/>
      <c r="E216" s="113"/>
      <c r="F216" s="113"/>
      <c r="G216" s="113"/>
      <c r="H216" s="113"/>
      <c r="I216" s="113"/>
      <c r="J216" s="113"/>
      <c r="K216" s="113"/>
      <c r="L216" s="113"/>
      <c r="M216" s="113"/>
      <c r="N216" s="113"/>
      <c r="O216" s="113"/>
      <c r="P216" s="113"/>
      <c r="Q216" s="113"/>
      <c r="R216" s="113"/>
      <c r="S216" s="113"/>
      <c r="T216" s="113"/>
      <c r="U216" s="113"/>
      <c r="V216" s="113"/>
      <c r="W216" s="113"/>
      <c r="X216" s="113"/>
      <c r="Y216" s="113"/>
      <c r="Z216" s="113"/>
      <c r="AA216" s="113"/>
      <c r="AB216" s="113"/>
      <c r="AC216" s="113"/>
      <c r="AD216" s="113"/>
      <c r="AE216" s="113"/>
      <c r="AF216" s="113"/>
      <c r="AG216" s="113"/>
      <c r="AH216" s="113"/>
      <c r="AI216" s="113"/>
      <c r="AJ216" s="113"/>
      <c r="AK216" s="113"/>
      <c r="AL216" s="113"/>
      <c r="AM216" s="113"/>
      <c r="AN216" s="113"/>
    </row>
    <row r="217" spans="1:40">
      <c r="A217" s="113"/>
      <c r="B217" s="113"/>
      <c r="C217" s="113"/>
      <c r="D217" s="113"/>
      <c r="E217" s="113"/>
      <c r="F217" s="113"/>
      <c r="G217" s="113"/>
      <c r="H217" s="113"/>
      <c r="I217" s="113"/>
      <c r="J217" s="113"/>
      <c r="K217" s="113"/>
      <c r="L217" s="113"/>
      <c r="M217" s="113"/>
      <c r="N217" s="113"/>
      <c r="O217" s="113"/>
      <c r="P217" s="113"/>
      <c r="Q217" s="113"/>
      <c r="R217" s="113"/>
      <c r="S217" s="113"/>
      <c r="T217" s="113"/>
      <c r="U217" s="113"/>
      <c r="V217" s="113"/>
      <c r="W217" s="113"/>
      <c r="X217" s="113"/>
      <c r="Y217" s="113"/>
      <c r="Z217" s="113"/>
      <c r="AA217" s="113"/>
      <c r="AB217" s="113"/>
      <c r="AC217" s="113"/>
      <c r="AD217" s="113"/>
      <c r="AE217" s="113"/>
      <c r="AF217" s="113"/>
      <c r="AG217" s="113"/>
      <c r="AH217" s="113"/>
      <c r="AI217" s="113"/>
      <c r="AJ217" s="113"/>
      <c r="AK217" s="113"/>
      <c r="AL217" s="113"/>
      <c r="AM217" s="113"/>
      <c r="AN217" s="113"/>
    </row>
    <row r="218" spans="1:40">
      <c r="A218" s="113"/>
      <c r="B218" s="113"/>
      <c r="C218" s="113"/>
      <c r="D218" s="113"/>
      <c r="E218" s="113"/>
      <c r="F218" s="113"/>
      <c r="G218" s="113"/>
      <c r="H218" s="113"/>
      <c r="I218" s="113"/>
      <c r="J218" s="113"/>
      <c r="K218" s="113"/>
      <c r="L218" s="113"/>
      <c r="M218" s="113"/>
      <c r="N218" s="113"/>
      <c r="O218" s="113"/>
      <c r="P218" s="113"/>
      <c r="Q218" s="113"/>
      <c r="R218" s="113"/>
      <c r="S218" s="113"/>
      <c r="T218" s="113"/>
      <c r="U218" s="113"/>
      <c r="V218" s="113"/>
      <c r="W218" s="113"/>
      <c r="X218" s="113"/>
      <c r="Y218" s="113"/>
      <c r="Z218" s="113"/>
      <c r="AA218" s="113"/>
      <c r="AB218" s="113"/>
      <c r="AC218" s="113"/>
      <c r="AD218" s="113"/>
      <c r="AE218" s="113"/>
      <c r="AF218" s="113"/>
      <c r="AG218" s="113"/>
      <c r="AH218" s="113"/>
      <c r="AI218" s="113"/>
      <c r="AJ218" s="113"/>
      <c r="AK218" s="113"/>
      <c r="AL218" s="113"/>
      <c r="AM218" s="113"/>
      <c r="AN218" s="113"/>
    </row>
    <row r="219" spans="1:40">
      <c r="A219" s="113"/>
      <c r="B219" s="113"/>
      <c r="C219" s="113"/>
      <c r="D219" s="113"/>
      <c r="E219" s="113"/>
      <c r="F219" s="113"/>
      <c r="G219" s="113"/>
      <c r="H219" s="113"/>
      <c r="I219" s="113"/>
      <c r="J219" s="113"/>
      <c r="K219" s="113"/>
      <c r="L219" s="113"/>
      <c r="M219" s="113"/>
      <c r="N219" s="113"/>
      <c r="O219" s="113"/>
      <c r="P219" s="113"/>
      <c r="Q219" s="113"/>
      <c r="R219" s="113"/>
      <c r="S219" s="113"/>
      <c r="T219" s="113"/>
      <c r="U219" s="113"/>
      <c r="V219" s="113"/>
      <c r="W219" s="113"/>
      <c r="X219" s="113"/>
      <c r="Y219" s="113"/>
      <c r="Z219" s="113"/>
      <c r="AA219" s="113"/>
      <c r="AB219" s="113"/>
      <c r="AC219" s="113"/>
      <c r="AD219" s="113"/>
      <c r="AE219" s="113"/>
      <c r="AF219" s="113"/>
      <c r="AG219" s="113"/>
      <c r="AH219" s="113"/>
      <c r="AI219" s="113"/>
      <c r="AJ219" s="113"/>
      <c r="AK219" s="113"/>
      <c r="AL219" s="113"/>
      <c r="AM219" s="113"/>
      <c r="AN219" s="113"/>
    </row>
    <row r="220" spans="1:40">
      <c r="A220" s="113"/>
      <c r="B220" s="113"/>
      <c r="C220" s="113"/>
      <c r="D220" s="113"/>
      <c r="E220" s="113"/>
      <c r="F220" s="113"/>
      <c r="G220" s="113"/>
      <c r="H220" s="113"/>
      <c r="I220" s="113"/>
      <c r="J220" s="113"/>
      <c r="K220" s="113"/>
      <c r="L220" s="113"/>
      <c r="M220" s="113"/>
      <c r="N220" s="113"/>
      <c r="O220" s="113"/>
      <c r="P220" s="113"/>
      <c r="Q220" s="113"/>
      <c r="R220" s="113"/>
      <c r="S220" s="113"/>
      <c r="T220" s="113"/>
      <c r="U220" s="113"/>
      <c r="V220" s="113"/>
      <c r="W220" s="113"/>
      <c r="X220" s="113"/>
      <c r="Y220" s="113"/>
      <c r="Z220" s="113"/>
      <c r="AA220" s="113"/>
      <c r="AB220" s="113"/>
      <c r="AC220" s="113"/>
      <c r="AD220" s="113"/>
      <c r="AE220" s="113"/>
      <c r="AF220" s="113"/>
      <c r="AG220" s="113"/>
      <c r="AH220" s="113"/>
      <c r="AI220" s="113"/>
      <c r="AJ220" s="113"/>
      <c r="AK220" s="113"/>
      <c r="AL220" s="113"/>
      <c r="AM220" s="113"/>
      <c r="AN220" s="113"/>
    </row>
    <row r="221" spans="1:40">
      <c r="A221" s="113"/>
      <c r="B221" s="113"/>
      <c r="C221" s="113"/>
      <c r="D221" s="113"/>
      <c r="E221" s="113"/>
      <c r="F221" s="113"/>
      <c r="G221" s="113"/>
      <c r="H221" s="113"/>
      <c r="I221" s="113"/>
      <c r="J221" s="113"/>
      <c r="K221" s="113"/>
      <c r="L221" s="113"/>
      <c r="M221" s="113"/>
      <c r="N221" s="113"/>
      <c r="O221" s="113"/>
      <c r="P221" s="113"/>
      <c r="Q221" s="113"/>
      <c r="R221" s="113"/>
      <c r="S221" s="113"/>
      <c r="T221" s="113"/>
      <c r="U221" s="113"/>
      <c r="V221" s="113"/>
      <c r="W221" s="113"/>
      <c r="X221" s="113"/>
      <c r="Y221" s="113"/>
      <c r="Z221" s="113"/>
      <c r="AA221" s="113"/>
      <c r="AB221" s="113"/>
      <c r="AC221" s="113"/>
      <c r="AD221" s="113"/>
      <c r="AE221" s="113"/>
      <c r="AF221" s="113"/>
      <c r="AG221" s="113"/>
      <c r="AH221" s="113"/>
      <c r="AI221" s="113"/>
      <c r="AJ221" s="113"/>
      <c r="AK221" s="113"/>
      <c r="AL221" s="113"/>
      <c r="AM221" s="113"/>
      <c r="AN221" s="113"/>
    </row>
    <row r="222" spans="1:40">
      <c r="A222" s="113"/>
      <c r="B222" s="113"/>
      <c r="C222" s="113"/>
      <c r="D222" s="113"/>
      <c r="E222" s="113"/>
      <c r="F222" s="113"/>
      <c r="G222" s="113"/>
      <c r="H222" s="113"/>
      <c r="I222" s="113"/>
      <c r="J222" s="113"/>
      <c r="K222" s="113"/>
      <c r="L222" s="113"/>
      <c r="M222" s="113"/>
      <c r="N222" s="113"/>
      <c r="O222" s="113"/>
      <c r="P222" s="113"/>
      <c r="Q222" s="113"/>
      <c r="R222" s="113"/>
      <c r="S222" s="113"/>
      <c r="T222" s="113"/>
      <c r="U222" s="113"/>
      <c r="V222" s="113"/>
      <c r="W222" s="113"/>
      <c r="X222" s="113"/>
      <c r="Y222" s="113"/>
      <c r="Z222" s="113"/>
      <c r="AA222" s="113"/>
      <c r="AB222" s="113"/>
      <c r="AC222" s="113"/>
      <c r="AD222" s="113"/>
      <c r="AE222" s="113"/>
      <c r="AF222" s="113"/>
      <c r="AG222" s="113"/>
      <c r="AH222" s="113"/>
      <c r="AI222" s="113"/>
      <c r="AJ222" s="113"/>
      <c r="AK222" s="113"/>
      <c r="AL222" s="113"/>
      <c r="AM222" s="113"/>
      <c r="AN222" s="113"/>
    </row>
    <row r="223" spans="1:40">
      <c r="A223" s="113"/>
      <c r="B223" s="113"/>
      <c r="C223" s="113"/>
      <c r="D223" s="113"/>
      <c r="E223" s="113"/>
      <c r="F223" s="113"/>
      <c r="G223" s="113"/>
      <c r="H223" s="113"/>
      <c r="I223" s="113"/>
      <c r="J223" s="113"/>
      <c r="K223" s="113"/>
      <c r="L223" s="113"/>
      <c r="M223" s="113"/>
      <c r="N223" s="113"/>
      <c r="O223" s="113"/>
      <c r="P223" s="113"/>
      <c r="Q223" s="113"/>
      <c r="R223" s="113"/>
      <c r="S223" s="113"/>
      <c r="T223" s="113"/>
      <c r="U223" s="113"/>
      <c r="V223" s="113"/>
      <c r="W223" s="113"/>
      <c r="X223" s="113"/>
      <c r="Y223" s="113"/>
      <c r="Z223" s="113"/>
      <c r="AA223" s="113"/>
      <c r="AB223" s="113"/>
      <c r="AC223" s="113"/>
      <c r="AD223" s="113"/>
      <c r="AE223" s="113"/>
      <c r="AF223" s="113"/>
      <c r="AG223" s="113"/>
      <c r="AH223" s="113"/>
      <c r="AI223" s="113"/>
      <c r="AJ223" s="113"/>
      <c r="AK223" s="113"/>
      <c r="AL223" s="113"/>
      <c r="AM223" s="113"/>
      <c r="AN223" s="113"/>
    </row>
    <row r="224" spans="1:40">
      <c r="A224" s="113"/>
      <c r="B224" s="113"/>
      <c r="C224" s="113"/>
      <c r="D224" s="113"/>
      <c r="E224" s="113"/>
      <c r="F224" s="113"/>
      <c r="G224" s="113"/>
      <c r="H224" s="113"/>
      <c r="I224" s="113"/>
      <c r="J224" s="113"/>
      <c r="K224" s="113"/>
      <c r="L224" s="113"/>
      <c r="M224" s="113"/>
      <c r="N224" s="113"/>
      <c r="O224" s="113"/>
      <c r="P224" s="113"/>
      <c r="Q224" s="113"/>
      <c r="R224" s="113"/>
      <c r="S224" s="113"/>
      <c r="T224" s="113"/>
      <c r="U224" s="113"/>
      <c r="V224" s="113"/>
      <c r="W224" s="113"/>
      <c r="X224" s="113"/>
      <c r="Y224" s="113"/>
      <c r="Z224" s="113"/>
      <c r="AA224" s="113"/>
      <c r="AB224" s="113"/>
      <c r="AC224" s="113"/>
      <c r="AD224" s="113"/>
      <c r="AE224" s="113"/>
      <c r="AF224" s="113"/>
      <c r="AG224" s="113"/>
      <c r="AH224" s="113"/>
      <c r="AI224" s="113"/>
      <c r="AJ224" s="113"/>
      <c r="AK224" s="113"/>
      <c r="AL224" s="113"/>
      <c r="AM224" s="113"/>
      <c r="AN224" s="113"/>
    </row>
    <row r="225" spans="1:40">
      <c r="A225" s="113"/>
      <c r="B225" s="113"/>
      <c r="C225" s="113"/>
      <c r="D225" s="113"/>
      <c r="E225" s="113"/>
      <c r="F225" s="113"/>
      <c r="G225" s="113"/>
      <c r="H225" s="113"/>
      <c r="I225" s="113"/>
      <c r="J225" s="113"/>
      <c r="K225" s="113"/>
      <c r="L225" s="113"/>
      <c r="M225" s="113"/>
      <c r="N225" s="113"/>
      <c r="O225" s="113"/>
      <c r="P225" s="113"/>
      <c r="Q225" s="113"/>
      <c r="R225" s="113"/>
      <c r="S225" s="113"/>
      <c r="T225" s="113"/>
      <c r="U225" s="113"/>
      <c r="V225" s="113"/>
      <c r="W225" s="113"/>
      <c r="X225" s="113"/>
      <c r="Y225" s="113"/>
      <c r="Z225" s="113"/>
      <c r="AA225" s="113"/>
      <c r="AB225" s="113"/>
      <c r="AC225" s="113"/>
      <c r="AD225" s="113"/>
      <c r="AE225" s="113"/>
      <c r="AF225" s="113"/>
      <c r="AG225" s="113"/>
      <c r="AH225" s="113"/>
      <c r="AI225" s="113"/>
      <c r="AJ225" s="113"/>
      <c r="AK225" s="113"/>
      <c r="AL225" s="113"/>
      <c r="AM225" s="113"/>
      <c r="AN225" s="113"/>
    </row>
    <row r="226" spans="1:40">
      <c r="A226" s="113"/>
      <c r="B226" s="113"/>
      <c r="C226" s="113"/>
      <c r="D226" s="113"/>
      <c r="E226" s="113"/>
      <c r="F226" s="113"/>
      <c r="G226" s="113"/>
      <c r="H226" s="113"/>
      <c r="I226" s="113"/>
      <c r="J226" s="113"/>
      <c r="K226" s="113"/>
      <c r="L226" s="113"/>
      <c r="M226" s="113"/>
      <c r="N226" s="113"/>
      <c r="O226" s="113"/>
      <c r="P226" s="113"/>
      <c r="Q226" s="113"/>
      <c r="R226" s="113"/>
      <c r="S226" s="113"/>
      <c r="T226" s="113"/>
      <c r="U226" s="113"/>
      <c r="V226" s="113"/>
      <c r="W226" s="113"/>
      <c r="X226" s="113"/>
      <c r="Y226" s="113"/>
      <c r="Z226" s="113"/>
      <c r="AA226" s="113"/>
      <c r="AB226" s="113"/>
      <c r="AC226" s="113"/>
      <c r="AD226" s="113"/>
      <c r="AE226" s="113"/>
      <c r="AF226" s="113"/>
      <c r="AG226" s="113"/>
      <c r="AH226" s="113"/>
      <c r="AI226" s="113"/>
      <c r="AJ226" s="113"/>
      <c r="AK226" s="113"/>
      <c r="AL226" s="113"/>
      <c r="AM226" s="113"/>
      <c r="AN226" s="113"/>
    </row>
    <row r="227" spans="1:40">
      <c r="A227" s="113"/>
      <c r="B227" s="113"/>
      <c r="C227" s="113"/>
      <c r="D227" s="113"/>
      <c r="E227" s="113"/>
      <c r="F227" s="113"/>
      <c r="G227" s="113"/>
      <c r="H227" s="113"/>
      <c r="I227" s="113"/>
      <c r="J227" s="113"/>
      <c r="K227" s="113"/>
      <c r="L227" s="113"/>
      <c r="M227" s="113"/>
      <c r="N227" s="113"/>
      <c r="O227" s="113"/>
      <c r="P227" s="113"/>
      <c r="Q227" s="113"/>
      <c r="R227" s="113"/>
      <c r="S227" s="113"/>
      <c r="T227" s="113"/>
      <c r="U227" s="113"/>
      <c r="V227" s="113"/>
      <c r="W227" s="113"/>
      <c r="X227" s="113"/>
      <c r="Y227" s="113"/>
      <c r="Z227" s="113"/>
      <c r="AA227" s="113"/>
      <c r="AB227" s="113"/>
      <c r="AC227" s="113"/>
      <c r="AD227" s="113"/>
      <c r="AE227" s="113"/>
      <c r="AF227" s="113"/>
      <c r="AG227" s="113"/>
      <c r="AH227" s="113"/>
      <c r="AI227" s="113"/>
      <c r="AJ227" s="113"/>
      <c r="AK227" s="113"/>
      <c r="AL227" s="113"/>
      <c r="AM227" s="113"/>
      <c r="AN227" s="113"/>
    </row>
    <row r="228" spans="1:40">
      <c r="A228" s="113"/>
      <c r="B228" s="113"/>
      <c r="C228" s="113"/>
      <c r="D228" s="113"/>
      <c r="E228" s="113"/>
      <c r="F228" s="113"/>
      <c r="G228" s="113"/>
      <c r="H228" s="113"/>
      <c r="I228" s="113"/>
      <c r="J228" s="113"/>
      <c r="K228" s="113"/>
      <c r="L228" s="113"/>
      <c r="M228" s="113"/>
      <c r="N228" s="113"/>
      <c r="O228" s="113"/>
      <c r="P228" s="113"/>
      <c r="Q228" s="113"/>
      <c r="R228" s="113"/>
      <c r="S228" s="113"/>
      <c r="T228" s="113"/>
      <c r="U228" s="113"/>
      <c r="V228" s="113"/>
      <c r="W228" s="113"/>
      <c r="X228" s="113"/>
      <c r="Y228" s="113"/>
      <c r="Z228" s="113"/>
      <c r="AA228" s="113"/>
      <c r="AB228" s="113"/>
      <c r="AC228" s="113"/>
      <c r="AD228" s="113"/>
      <c r="AE228" s="113"/>
      <c r="AF228" s="113"/>
      <c r="AG228" s="113"/>
      <c r="AH228" s="113"/>
      <c r="AI228" s="113"/>
      <c r="AJ228" s="113"/>
      <c r="AK228" s="113"/>
      <c r="AL228" s="113"/>
      <c r="AM228" s="113"/>
      <c r="AN228" s="113"/>
    </row>
    <row r="229" spans="1:40">
      <c r="A229" s="113"/>
      <c r="B229" s="113"/>
      <c r="C229" s="113"/>
      <c r="D229" s="113"/>
      <c r="E229" s="113"/>
      <c r="F229" s="113"/>
      <c r="G229" s="113"/>
      <c r="H229" s="113"/>
      <c r="I229" s="113"/>
      <c r="J229" s="113"/>
      <c r="K229" s="113"/>
      <c r="L229" s="113"/>
      <c r="M229" s="113"/>
      <c r="N229" s="113"/>
      <c r="O229" s="113"/>
      <c r="P229" s="113"/>
      <c r="Q229" s="113"/>
      <c r="R229" s="113"/>
      <c r="S229" s="113"/>
      <c r="T229" s="113"/>
      <c r="U229" s="113"/>
      <c r="V229" s="113"/>
      <c r="W229" s="113"/>
      <c r="X229" s="113"/>
      <c r="Y229" s="113"/>
      <c r="Z229" s="113"/>
      <c r="AA229" s="113"/>
      <c r="AB229" s="113"/>
      <c r="AC229" s="113"/>
      <c r="AD229" s="113"/>
      <c r="AE229" s="113"/>
      <c r="AF229" s="113"/>
      <c r="AG229" s="113"/>
      <c r="AH229" s="113"/>
      <c r="AI229" s="113"/>
      <c r="AJ229" s="113"/>
      <c r="AK229" s="113"/>
      <c r="AL229" s="113"/>
      <c r="AM229" s="113"/>
      <c r="AN229" s="113"/>
    </row>
    <row r="230" spans="1:40">
      <c r="A230" s="113"/>
      <c r="B230" s="113"/>
      <c r="C230" s="113"/>
      <c r="D230" s="113"/>
      <c r="E230" s="113"/>
      <c r="F230" s="113"/>
      <c r="G230" s="113"/>
      <c r="H230" s="113"/>
      <c r="I230" s="113"/>
      <c r="J230" s="113"/>
      <c r="K230" s="113"/>
      <c r="L230" s="113"/>
      <c r="M230" s="113"/>
      <c r="N230" s="113"/>
      <c r="O230" s="113"/>
      <c r="P230" s="113"/>
      <c r="Q230" s="113"/>
      <c r="R230" s="113"/>
      <c r="S230" s="113"/>
      <c r="T230" s="113"/>
      <c r="U230" s="113"/>
      <c r="V230" s="113"/>
      <c r="W230" s="113"/>
      <c r="X230" s="113"/>
      <c r="Y230" s="113"/>
      <c r="Z230" s="113"/>
      <c r="AA230" s="113"/>
      <c r="AB230" s="113"/>
      <c r="AC230" s="113"/>
      <c r="AD230" s="113"/>
      <c r="AE230" s="113"/>
      <c r="AF230" s="113"/>
      <c r="AG230" s="113"/>
      <c r="AH230" s="113"/>
      <c r="AI230" s="113"/>
      <c r="AJ230" s="113"/>
      <c r="AK230" s="113"/>
      <c r="AL230" s="113"/>
      <c r="AM230" s="113"/>
      <c r="AN230" s="113"/>
    </row>
    <row r="231" spans="1:40">
      <c r="A231" s="113"/>
      <c r="B231" s="113"/>
      <c r="C231" s="113"/>
      <c r="D231" s="113"/>
      <c r="E231" s="113"/>
      <c r="F231" s="113"/>
      <c r="G231" s="113"/>
      <c r="H231" s="113"/>
      <c r="I231" s="113"/>
      <c r="J231" s="113"/>
      <c r="K231" s="113"/>
      <c r="L231" s="113"/>
      <c r="M231" s="113"/>
      <c r="N231" s="113"/>
      <c r="O231" s="113"/>
      <c r="P231" s="113"/>
      <c r="Q231" s="113"/>
      <c r="R231" s="113"/>
      <c r="S231" s="113"/>
      <c r="T231" s="113"/>
      <c r="U231" s="113"/>
      <c r="V231" s="113"/>
      <c r="W231" s="113"/>
      <c r="X231" s="113"/>
      <c r="Y231" s="113"/>
      <c r="Z231" s="113"/>
      <c r="AA231" s="113"/>
      <c r="AB231" s="113"/>
      <c r="AC231" s="113"/>
      <c r="AD231" s="113"/>
      <c r="AE231" s="113"/>
      <c r="AF231" s="113"/>
      <c r="AG231" s="113"/>
      <c r="AH231" s="113"/>
      <c r="AI231" s="113"/>
      <c r="AJ231" s="113"/>
      <c r="AK231" s="113"/>
      <c r="AL231" s="113"/>
      <c r="AM231" s="113"/>
      <c r="AN231" s="113"/>
    </row>
    <row r="232" spans="1:40">
      <c r="A232" s="113"/>
      <c r="B232" s="113"/>
      <c r="C232" s="113"/>
      <c r="D232" s="113"/>
      <c r="E232" s="113"/>
      <c r="F232" s="113"/>
      <c r="G232" s="113"/>
      <c r="H232" s="113"/>
      <c r="I232" s="113"/>
      <c r="J232" s="113"/>
      <c r="K232" s="113"/>
      <c r="L232" s="113"/>
      <c r="M232" s="113"/>
      <c r="N232" s="113"/>
      <c r="O232" s="113"/>
      <c r="P232" s="113"/>
      <c r="Q232" s="113"/>
      <c r="R232" s="113"/>
      <c r="S232" s="113"/>
      <c r="T232" s="113"/>
      <c r="U232" s="113"/>
      <c r="V232" s="113"/>
      <c r="W232" s="113"/>
      <c r="X232" s="113"/>
      <c r="Y232" s="113"/>
      <c r="Z232" s="113"/>
      <c r="AA232" s="113"/>
      <c r="AB232" s="113"/>
      <c r="AC232" s="113"/>
      <c r="AD232" s="113"/>
      <c r="AE232" s="113"/>
      <c r="AF232" s="113"/>
      <c r="AG232" s="113"/>
      <c r="AH232" s="113"/>
      <c r="AI232" s="113"/>
      <c r="AJ232" s="113"/>
      <c r="AK232" s="113"/>
      <c r="AL232" s="113"/>
      <c r="AM232" s="113"/>
      <c r="AN232" s="113"/>
    </row>
    <row r="233" spans="1:40">
      <c r="A233" s="113"/>
      <c r="B233" s="113"/>
      <c r="C233" s="113"/>
      <c r="D233" s="113"/>
      <c r="E233" s="113"/>
      <c r="F233" s="113"/>
      <c r="G233" s="113"/>
      <c r="H233" s="113"/>
      <c r="I233" s="113"/>
      <c r="J233" s="113"/>
      <c r="K233" s="113"/>
      <c r="L233" s="113"/>
      <c r="M233" s="113"/>
      <c r="N233" s="113"/>
      <c r="O233" s="113"/>
      <c r="P233" s="113"/>
      <c r="Q233" s="113"/>
      <c r="R233" s="113"/>
      <c r="S233" s="113"/>
      <c r="T233" s="113"/>
      <c r="U233" s="113"/>
      <c r="V233" s="113"/>
      <c r="W233" s="113"/>
      <c r="X233" s="113"/>
      <c r="Y233" s="113"/>
      <c r="Z233" s="113"/>
      <c r="AA233" s="113"/>
      <c r="AB233" s="113"/>
      <c r="AC233" s="113"/>
      <c r="AD233" s="113"/>
      <c r="AE233" s="113"/>
      <c r="AF233" s="113"/>
      <c r="AG233" s="113"/>
      <c r="AH233" s="113"/>
      <c r="AI233" s="113"/>
      <c r="AJ233" s="113"/>
      <c r="AK233" s="113"/>
      <c r="AL233" s="113"/>
      <c r="AM233" s="113"/>
      <c r="AN233" s="113"/>
    </row>
    <row r="234" spans="1:40">
      <c r="A234" s="113"/>
      <c r="B234" s="113"/>
      <c r="C234" s="113"/>
      <c r="D234" s="113"/>
      <c r="E234" s="113"/>
      <c r="F234" s="113"/>
      <c r="G234" s="113"/>
      <c r="H234" s="113"/>
      <c r="I234" s="113"/>
      <c r="J234" s="113"/>
      <c r="K234" s="113"/>
      <c r="L234" s="113"/>
      <c r="M234" s="113"/>
      <c r="N234" s="113"/>
      <c r="O234" s="113"/>
      <c r="P234" s="113"/>
      <c r="Q234" s="113"/>
      <c r="R234" s="113"/>
      <c r="S234" s="113"/>
      <c r="T234" s="113"/>
      <c r="U234" s="113"/>
      <c r="V234" s="113"/>
      <c r="W234" s="113"/>
      <c r="X234" s="113"/>
      <c r="Y234" s="113"/>
      <c r="Z234" s="113"/>
      <c r="AA234" s="113"/>
      <c r="AB234" s="113"/>
      <c r="AC234" s="113"/>
      <c r="AD234" s="113"/>
      <c r="AE234" s="113"/>
      <c r="AF234" s="113"/>
      <c r="AG234" s="113"/>
      <c r="AH234" s="113"/>
      <c r="AI234" s="113"/>
      <c r="AJ234" s="113"/>
      <c r="AK234" s="113"/>
      <c r="AL234" s="113"/>
      <c r="AM234" s="113"/>
      <c r="AN234" s="113"/>
    </row>
    <row r="235" spans="1:40">
      <c r="A235" s="113"/>
      <c r="B235" s="113"/>
      <c r="C235" s="113"/>
      <c r="D235" s="113"/>
      <c r="E235" s="113"/>
      <c r="F235" s="113"/>
      <c r="G235" s="113"/>
      <c r="H235" s="113"/>
      <c r="I235" s="113"/>
      <c r="J235" s="113"/>
      <c r="K235" s="113"/>
      <c r="L235" s="113"/>
      <c r="M235" s="113"/>
      <c r="N235" s="113"/>
      <c r="O235" s="113"/>
      <c r="P235" s="113"/>
      <c r="Q235" s="113"/>
      <c r="R235" s="113"/>
      <c r="S235" s="113"/>
      <c r="T235" s="113"/>
      <c r="U235" s="113"/>
      <c r="V235" s="113"/>
      <c r="W235" s="113"/>
      <c r="X235" s="113"/>
      <c r="Y235" s="113"/>
      <c r="Z235" s="113"/>
      <c r="AA235" s="113"/>
      <c r="AB235" s="113"/>
      <c r="AC235" s="113"/>
      <c r="AD235" s="113"/>
      <c r="AE235" s="113"/>
      <c r="AF235" s="113"/>
      <c r="AG235" s="113"/>
      <c r="AH235" s="113"/>
      <c r="AI235" s="113"/>
      <c r="AJ235" s="113"/>
      <c r="AK235" s="113"/>
      <c r="AL235" s="113"/>
      <c r="AM235" s="113"/>
      <c r="AN235" s="113"/>
    </row>
    <row r="236" spans="1:40">
      <c r="A236" s="113"/>
      <c r="B236" s="113"/>
      <c r="C236" s="113"/>
      <c r="D236" s="113"/>
      <c r="E236" s="113"/>
      <c r="F236" s="113"/>
      <c r="G236" s="113"/>
      <c r="H236" s="113"/>
      <c r="I236" s="113"/>
      <c r="J236" s="113"/>
      <c r="K236" s="113"/>
      <c r="L236" s="113"/>
      <c r="M236" s="113"/>
      <c r="N236" s="113"/>
      <c r="O236" s="113"/>
      <c r="P236" s="113"/>
      <c r="Q236" s="113"/>
      <c r="R236" s="113"/>
      <c r="S236" s="113"/>
      <c r="T236" s="113"/>
      <c r="U236" s="113"/>
      <c r="V236" s="113"/>
      <c r="W236" s="113"/>
      <c r="X236" s="113"/>
      <c r="Y236" s="113"/>
      <c r="Z236" s="113"/>
      <c r="AA236" s="113"/>
      <c r="AB236" s="113"/>
      <c r="AC236" s="113"/>
      <c r="AD236" s="113"/>
      <c r="AE236" s="113"/>
      <c r="AF236" s="113"/>
      <c r="AG236" s="113"/>
      <c r="AH236" s="113"/>
      <c r="AI236" s="113"/>
      <c r="AJ236" s="113"/>
      <c r="AK236" s="113"/>
      <c r="AL236" s="113"/>
      <c r="AM236" s="113"/>
      <c r="AN236" s="113"/>
    </row>
    <row r="237" spans="1:40">
      <c r="A237" s="113"/>
      <c r="B237" s="113"/>
      <c r="C237" s="113"/>
      <c r="D237" s="113"/>
      <c r="E237" s="113"/>
      <c r="F237" s="113"/>
      <c r="G237" s="113"/>
      <c r="H237" s="113"/>
      <c r="I237" s="113"/>
      <c r="J237" s="113"/>
      <c r="K237" s="113"/>
      <c r="L237" s="113"/>
      <c r="M237" s="113"/>
      <c r="N237" s="113"/>
      <c r="O237" s="113"/>
      <c r="P237" s="113"/>
      <c r="Q237" s="113"/>
      <c r="R237" s="113"/>
      <c r="S237" s="113"/>
      <c r="T237" s="113"/>
      <c r="U237" s="113"/>
      <c r="V237" s="113"/>
      <c r="W237" s="113"/>
      <c r="X237" s="113"/>
      <c r="Y237" s="113"/>
      <c r="Z237" s="113"/>
      <c r="AA237" s="113"/>
      <c r="AB237" s="113"/>
      <c r="AC237" s="113"/>
      <c r="AD237" s="113"/>
      <c r="AE237" s="113"/>
      <c r="AF237" s="113"/>
      <c r="AG237" s="113"/>
      <c r="AH237" s="113"/>
      <c r="AI237" s="113"/>
      <c r="AJ237" s="113"/>
      <c r="AK237" s="113"/>
      <c r="AL237" s="113"/>
      <c r="AM237" s="113"/>
      <c r="AN237" s="113"/>
    </row>
  </sheetData>
  <hyperlinks>
    <hyperlink ref="A16" r:id="rId1" xr:uid="{82215820-7020-4EDF-9492-D6166C582194}"/>
    <hyperlink ref="B191" r:id="rId2" xr:uid="{9568FE37-B344-46B9-9AC8-FAF5EDC57BD6}"/>
    <hyperlink ref="A19" r:id="rId3" xr:uid="{6AA0C0D8-2ED0-4857-B348-21A79D067EF2}"/>
  </hyperlinks>
  <pageMargins left="0.75" right="0.75" top="1" bottom="1" header="0.5" footer="0.5"/>
  <pageSetup paperSize="9" scale="72" orientation="portrait" r:id="rId4"/>
  <headerFooter alignWithMargins="0">
    <oddHeader>&amp;C&amp;"Aptos"&amp;10&amp;K000000 OFFICIAL&amp;1#_x000D_</oddHeader>
    <oddFooter>&amp;C_x000D_&amp;1#&amp;"Aptos"&amp;10&amp;K000000 OFFICIAL</oddFooter>
  </headerFooter>
  <rowBreaks count="1" manualBreakCount="1">
    <brk id="132" max="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F930C-3DCA-44B6-9C8A-856461A961ED}">
  <sheetPr codeName="Sheet4">
    <tabColor rgb="FFFF0000"/>
  </sheetPr>
  <dimension ref="A4:N32"/>
  <sheetViews>
    <sheetView workbookViewId="0"/>
  </sheetViews>
  <sheetFormatPr defaultRowHeight="12.75"/>
  <cols>
    <col min="1" max="1" width="33" bestFit="1" customWidth="1"/>
    <col min="2" max="5" width="15.7109375" customWidth="1"/>
    <col min="6" max="6" width="20.5703125" customWidth="1"/>
    <col min="7" max="11" width="15.7109375" customWidth="1"/>
    <col min="12" max="12" width="19.7109375" customWidth="1"/>
    <col min="13" max="13" width="15.7109375" customWidth="1"/>
    <col min="14" max="14" width="19.140625" customWidth="1"/>
  </cols>
  <sheetData>
    <row r="4" spans="1:14">
      <c r="D4" s="138" t="s">
        <v>5</v>
      </c>
      <c r="E4" s="139" t="str">
        <f>VLOOKUP(Cover!A6,Cover!B319:E325,3,FALSE)</f>
        <v>2024/25</v>
      </c>
      <c r="F4" s="140" t="str">
        <f>Cover!A10</f>
        <v>Shropshire</v>
      </c>
    </row>
    <row r="10" spans="1:14" s="141" customFormat="1" ht="69.95" customHeight="1">
      <c r="B10" s="141" t="s">
        <v>283</v>
      </c>
      <c r="C10" s="141" t="s">
        <v>284</v>
      </c>
      <c r="D10" s="141" t="s">
        <v>285</v>
      </c>
      <c r="E10" s="141" t="s">
        <v>286</v>
      </c>
      <c r="F10" s="141" t="s">
        <v>287</v>
      </c>
      <c r="G10" s="141" t="s">
        <v>288</v>
      </c>
      <c r="H10" s="142" t="s">
        <v>289</v>
      </c>
      <c r="I10" s="142" t="s">
        <v>290</v>
      </c>
      <c r="J10" s="142" t="s">
        <v>291</v>
      </c>
      <c r="K10" s="142" t="s">
        <v>292</v>
      </c>
      <c r="L10" s="141" t="s">
        <v>293</v>
      </c>
      <c r="M10" s="141" t="s">
        <v>294</v>
      </c>
      <c r="N10" s="142" t="s">
        <v>295</v>
      </c>
    </row>
    <row r="11" spans="1:14">
      <c r="A11" t="s">
        <v>296</v>
      </c>
    </row>
    <row r="12" spans="1:14">
      <c r="A12" t="s">
        <v>297</v>
      </c>
    </row>
    <row r="13" spans="1:14">
      <c r="A13" t="s">
        <v>298</v>
      </c>
    </row>
    <row r="14" spans="1:14">
      <c r="A14" t="s">
        <v>299</v>
      </c>
    </row>
    <row r="15" spans="1:14">
      <c r="A15" t="s">
        <v>300</v>
      </c>
    </row>
    <row r="16" spans="1:14">
      <c r="A16" t="s">
        <v>301</v>
      </c>
    </row>
    <row r="17" spans="1:14">
      <c r="A17" t="s">
        <v>302</v>
      </c>
    </row>
    <row r="18" spans="1:14">
      <c r="A18" t="s">
        <v>303</v>
      </c>
    </row>
    <row r="19" spans="1:14">
      <c r="A19" t="s">
        <v>304</v>
      </c>
    </row>
    <row r="20" spans="1:14">
      <c r="A20" t="s">
        <v>305</v>
      </c>
    </row>
    <row r="21" spans="1:14">
      <c r="A21" t="s">
        <v>306</v>
      </c>
    </row>
    <row r="22" spans="1:14">
      <c r="A22" t="s">
        <v>307</v>
      </c>
    </row>
    <row r="23" spans="1:14">
      <c r="A23" t="s">
        <v>308</v>
      </c>
    </row>
    <row r="24" spans="1:14">
      <c r="A24" t="s">
        <v>309</v>
      </c>
    </row>
    <row r="25" spans="1:14">
      <c r="A25" t="s">
        <v>310</v>
      </c>
    </row>
    <row r="26" spans="1:14">
      <c r="A26" t="s">
        <v>311</v>
      </c>
    </row>
    <row r="27" spans="1:14">
      <c r="A27" t="s">
        <v>312</v>
      </c>
    </row>
    <row r="28" spans="1:14">
      <c r="A28" t="s">
        <v>313</v>
      </c>
    </row>
    <row r="29" spans="1:14">
      <c r="A29" t="s">
        <v>314</v>
      </c>
    </row>
    <row r="30" spans="1:14">
      <c r="A30" t="s">
        <v>315</v>
      </c>
    </row>
    <row r="31" spans="1:14">
      <c r="A31" t="s">
        <v>316</v>
      </c>
    </row>
    <row r="32" spans="1:14">
      <c r="A32" t="s">
        <v>317</v>
      </c>
      <c r="B32" cm="1">
        <f t="array" ref="B32">SUMPRODUCT(('FS1 - PY data'!$A$2:$A$10000='FS1 PY'!$D$4)*('FS1 - PY data'!$B$2:$B$10000='FS1 PY'!$E$4)*('FS1 - PY data'!$C$2:$C$10000='FS1 PY'!$F$4)*('FS1 - PY data'!$D$2:$D$10000=B10)*('FS1 - PY data'!$E$2:$E$10000))</f>
        <v>0</v>
      </c>
      <c r="C32" cm="1">
        <f t="array" ref="C32">SUMPRODUCT(('FS1 - PY data'!$A$2:$A$10000='FS1 PY'!$D$4)*('FS1 - PY data'!$B$2:$B$10000='FS1 PY'!$E$4)*('FS1 - PY data'!$C$2:$C$10000='FS1 PY'!$F$4)*('FS1 - PY data'!$D$2:$D$10000=C10)*('FS1 - PY data'!$E$2:$E$10000))</f>
        <v>0</v>
      </c>
      <c r="D32" cm="1">
        <f t="array" ref="D32">SUMPRODUCT(('FS1 - PY data'!$A$2:$A$10000='FS1 PY'!$D$4)*('FS1 - PY data'!$B$2:$B$10000='FS1 PY'!$E$4)*('FS1 - PY data'!$C$2:$C$10000='FS1 PY'!$F$4)*('FS1 - PY data'!$D$2:$D$10000=D10)*('FS1 - PY data'!$E$2:$E$10000))</f>
        <v>0</v>
      </c>
      <c r="E32" cm="1">
        <f t="array" ref="E32">SUMPRODUCT(('FS1 - PY data'!$A$2:$A$10000='FS1 PY'!$D$4)*('FS1 - PY data'!$B$2:$B$10000='FS1 PY'!$E$4)*('FS1 - PY data'!$C$2:$C$10000='FS1 PY'!$F$4)*('FS1 - PY data'!$D$2:$D$10000=E10)*('FS1 - PY data'!$E$2:$E$10000))</f>
        <v>0</v>
      </c>
      <c r="F32" cm="1">
        <f t="array" ref="F32">SUMPRODUCT(('FS1 - PY data'!$A$2:$A$10000='FS1 PY'!$D$4)*('FS1 - PY data'!$B$2:$B$10000='FS1 PY'!$E$4)*('FS1 - PY data'!$C$2:$C$10000='FS1 PY'!$F$4)*('FS1 - PY data'!$D$2:$D$10000=F10)*('FS1 - PY data'!$E$2:$E$10000))</f>
        <v>0</v>
      </c>
      <c r="G32" cm="1">
        <f t="array" ref="G32">SUMPRODUCT(('FS1 - PY data'!$A$2:$A$10000='FS1 PY'!$D$4)*('FS1 - PY data'!$B$2:$B$10000='FS1 PY'!$E$4)*('FS1 - PY data'!$C$2:$C$10000='FS1 PY'!$F$4)*('FS1 - PY data'!$D$2:$D$10000=G10)*('FS1 - PY data'!$E$2:$E$10000))</f>
        <v>0</v>
      </c>
      <c r="H32" cm="1">
        <f t="array" ref="H32">SUMPRODUCT(('FS1 - PY data'!$A$2:$A$10000='FS1 PY'!$D$4)*('FS1 - PY data'!$B$2:$B$10000='FS1 PY'!$E$4)*('FS1 - PY data'!$C$2:$C$10000='FS1 PY'!$F$4)*('FS1 - PY data'!$D$2:$D$10000=H10)*('FS1 - PY data'!$E$2:$E$10000))</f>
        <v>0</v>
      </c>
      <c r="I32" cm="1">
        <f t="array" ref="I32">SUMPRODUCT(('FS1 - PY data'!$A$2:$A$10000='FS1 PY'!$D$4)*('FS1 - PY data'!$B$2:$B$10000='FS1 PY'!$E$4)*('FS1 - PY data'!$C$2:$C$10000='FS1 PY'!$F$4)*('FS1 - PY data'!$D$2:$D$10000=I10)*('FS1 - PY data'!$E$2:$E$10000))</f>
        <v>0</v>
      </c>
      <c r="J32" cm="1">
        <f t="array" ref="J32">SUMPRODUCT(('FS1 - PY data'!$A$2:$A$10000='FS1 PY'!$D$4)*('FS1 - PY data'!$B$2:$B$10000='FS1 PY'!$E$4)*('FS1 - PY data'!$C$2:$C$10000='FS1 PY'!$F$4)*('FS1 - PY data'!$D$2:$D$10000=J10)*('FS1 - PY data'!$E$2:$E$10000))</f>
        <v>0</v>
      </c>
      <c r="K32" cm="1">
        <f t="array" ref="K32">SUMPRODUCT(('FS1 - PY data'!$A$2:$A$10000='FS1 PY'!$D$4)*('FS1 - PY data'!$B$2:$B$10000='FS1 PY'!$E$4)*('FS1 - PY data'!$C$2:$C$10000='FS1 PY'!$F$4)*('FS1 - PY data'!$D$2:$D$10000=K10)*('FS1 - PY data'!$E$2:$E$10000))</f>
        <v>0</v>
      </c>
      <c r="L32" cm="1">
        <f t="array" ref="L32">SUMPRODUCT(('FS1 - PY data'!$A$2:$A$10000='FS1 PY'!$D$4)*('FS1 - PY data'!$B$2:$B$10000='FS1 PY'!$E$4)*('FS1 - PY data'!$C$2:$C$10000='FS1 PY'!$F$4)*('FS1 - PY data'!$D$2:$D$10000=L10)*('FS1 - PY data'!$E$2:$E$10000))</f>
        <v>0</v>
      </c>
      <c r="M32" cm="1">
        <f t="array" ref="M32">SUMPRODUCT(('FS1 - PY data'!$A$2:$A$10000='FS1 PY'!$D$4)*('FS1 - PY data'!$B$2:$B$10000='FS1 PY'!$E$4)*('FS1 - PY data'!$C$2:$C$10000='FS1 PY'!$F$4)*('FS1 - PY data'!$D$2:$D$10000=M10)*('FS1 - PY data'!$E$2:$E$10000))</f>
        <v>0</v>
      </c>
      <c r="N32" cm="1">
        <f t="array" ref="N32">SUMPRODUCT(('FS1 - PY data'!$A$2:$A$10000='FS1 PY'!$D$4)*('FS1 - PY data'!$B$2:$B$10000='FS1 PY'!$E$4)*('FS1 - PY data'!$C$2:$C$10000='FS1 PY'!$F$4)*('FS1 - PY data'!$D$2:$D$10000=N10)*('FS1 - PY data'!$E$2:$E$10000))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A7037-5FDE-4535-A88C-3CC32C0F8A1A}">
  <sheetPr codeName="Sheet1">
    <tabColor theme="1" tint="0.499984740745262"/>
  </sheetPr>
  <dimension ref="A1:E1"/>
  <sheetViews>
    <sheetView workbookViewId="0">
      <selection activeCell="D31" sqref="D31"/>
    </sheetView>
  </sheetViews>
  <sheetFormatPr defaultColWidth="9.140625" defaultRowHeight="12.75"/>
  <cols>
    <col min="1" max="2" width="9.140625" style="143"/>
    <col min="3" max="3" width="12.85546875" style="143" bestFit="1" customWidth="1"/>
    <col min="4" max="4" width="60" style="143" bestFit="1" customWidth="1"/>
    <col min="5" max="16384" width="9.140625" style="143"/>
  </cols>
  <sheetData>
    <row r="1" spans="1:5">
      <c r="A1" s="143" t="s">
        <v>318</v>
      </c>
      <c r="B1" s="143" t="s">
        <v>319</v>
      </c>
      <c r="C1" s="143" t="s">
        <v>320</v>
      </c>
      <c r="D1" s="143" t="s">
        <v>321</v>
      </c>
      <c r="E1" s="143" t="s">
        <v>322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35208-357D-42C5-91F8-836012E52136}">
  <sheetPr codeName="Sheet2"/>
  <dimension ref="A1:AZ66"/>
  <sheetViews>
    <sheetView zoomScale="70" zoomScaleNormal="70" workbookViewId="0">
      <selection activeCell="AK11" sqref="AK11"/>
    </sheetView>
  </sheetViews>
  <sheetFormatPr defaultColWidth="9.140625" defaultRowHeight="12.75"/>
  <cols>
    <col min="1" max="1" width="43.42578125" customWidth="1"/>
    <col min="2" max="14" width="13.5703125" customWidth="1"/>
    <col min="15" max="15" width="5.5703125" customWidth="1"/>
    <col min="16" max="17" width="10" customWidth="1"/>
    <col min="18" max="18" width="79.42578125" customWidth="1"/>
    <col min="19" max="21" width="10" customWidth="1"/>
    <col min="27" max="27" width="9.42578125" customWidth="1"/>
    <col min="30" max="30" width="8" customWidth="1"/>
    <col min="35" max="56" width="9.140625" customWidth="1"/>
  </cols>
  <sheetData>
    <row r="1" spans="1:41" s="7" customFormat="1" ht="9.75" customHeight="1">
      <c r="A1" s="86"/>
      <c r="B1" s="86"/>
      <c r="C1" s="86"/>
      <c r="D1" s="86"/>
      <c r="E1" s="86"/>
      <c r="F1" s="86"/>
      <c r="G1" s="86"/>
      <c r="H1" s="86"/>
      <c r="I1" s="86"/>
      <c r="J1" s="86"/>
      <c r="K1" s="86"/>
      <c r="L1" s="86"/>
      <c r="M1" s="86"/>
      <c r="N1" s="86"/>
      <c r="O1" s="40"/>
      <c r="P1" s="86"/>
      <c r="Q1" s="86"/>
      <c r="R1" s="86"/>
      <c r="S1" s="86"/>
      <c r="T1" s="86"/>
      <c r="U1" s="86"/>
      <c r="V1" s="86"/>
      <c r="W1" s="86"/>
      <c r="X1" s="86"/>
      <c r="Y1" s="86"/>
      <c r="Z1" s="86"/>
      <c r="AA1" s="86"/>
      <c r="AB1" s="86"/>
      <c r="AC1" s="86"/>
      <c r="AD1" s="86"/>
      <c r="AE1" s="86"/>
      <c r="AF1" s="86"/>
      <c r="AG1" s="86"/>
      <c r="AH1" s="86"/>
      <c r="AI1" s="86"/>
      <c r="AJ1" s="86"/>
      <c r="AL1" s="86"/>
      <c r="AM1" s="86"/>
      <c r="AN1" s="86"/>
      <c r="AO1" s="86"/>
    </row>
    <row r="2" spans="1:41" s="7" customFormat="1" ht="6.75" customHeight="1" thickBot="1">
      <c r="A2" s="86"/>
      <c r="B2" s="86"/>
      <c r="C2" s="86"/>
      <c r="D2" s="86"/>
      <c r="E2" s="86"/>
      <c r="F2" s="86"/>
      <c r="G2" s="86"/>
      <c r="H2" s="86"/>
      <c r="I2" s="86"/>
      <c r="J2" s="86"/>
      <c r="K2" s="86"/>
      <c r="L2" s="86"/>
      <c r="M2" s="86"/>
      <c r="N2" s="86"/>
      <c r="O2" s="40"/>
      <c r="P2" s="86"/>
      <c r="Q2" s="86"/>
      <c r="R2" s="86"/>
      <c r="S2" s="86"/>
      <c r="T2" s="86"/>
      <c r="U2" s="86"/>
      <c r="V2" s="86"/>
      <c r="W2" s="86"/>
      <c r="X2" s="86"/>
      <c r="Y2" s="86"/>
      <c r="Z2" s="86"/>
      <c r="AA2" s="86"/>
      <c r="AB2" s="86"/>
      <c r="AC2" s="86"/>
      <c r="AD2" s="86"/>
      <c r="AE2" s="86"/>
      <c r="AF2" s="86"/>
      <c r="AG2" s="86"/>
      <c r="AH2" s="86"/>
      <c r="AI2" s="86"/>
      <c r="AJ2" s="86"/>
      <c r="AL2" s="86"/>
      <c r="AM2" s="86"/>
      <c r="AN2" s="86"/>
      <c r="AO2" s="86"/>
    </row>
    <row r="3" spans="1:41" s="7" customFormat="1" ht="22.5" customHeight="1">
      <c r="A3" s="86"/>
      <c r="B3" s="86"/>
      <c r="C3" s="248" t="str">
        <f>Cover!A10</f>
        <v>Shropshire</v>
      </c>
      <c r="D3" s="249"/>
      <c r="E3" s="249"/>
      <c r="F3" s="249"/>
      <c r="G3" s="249"/>
      <c r="H3" s="249"/>
      <c r="I3" s="249"/>
      <c r="J3" s="249"/>
      <c r="K3" s="249"/>
      <c r="L3" s="249"/>
      <c r="M3" s="249"/>
      <c r="N3" s="250"/>
      <c r="O3" s="40"/>
      <c r="P3" s="86"/>
      <c r="Q3" s="86"/>
      <c r="R3" s="86"/>
      <c r="S3" s="86"/>
      <c r="T3" s="86"/>
      <c r="U3" s="86"/>
      <c r="V3" s="86"/>
      <c r="W3" s="86"/>
      <c r="X3" s="86"/>
      <c r="Y3" s="86"/>
      <c r="Z3" s="86"/>
      <c r="AA3" s="86"/>
      <c r="AB3" s="86"/>
      <c r="AC3" s="86"/>
      <c r="AD3" s="86"/>
      <c r="AE3" s="86"/>
      <c r="AF3" s="86"/>
      <c r="AG3" s="86"/>
      <c r="AH3" s="86"/>
      <c r="AI3" s="86"/>
      <c r="AJ3" s="86"/>
      <c r="AL3" s="86"/>
      <c r="AM3" s="86"/>
      <c r="AN3" s="86"/>
      <c r="AO3" s="86"/>
    </row>
    <row r="4" spans="1:41" s="7" customFormat="1" ht="13.5" thickBot="1">
      <c r="A4" s="86"/>
      <c r="B4" s="86"/>
      <c r="C4" s="251"/>
      <c r="D4" s="252"/>
      <c r="E4" s="252"/>
      <c r="F4" s="252"/>
      <c r="G4" s="252"/>
      <c r="H4" s="252"/>
      <c r="I4" s="252"/>
      <c r="J4" s="252"/>
      <c r="K4" s="252"/>
      <c r="L4" s="252"/>
      <c r="M4" s="252"/>
      <c r="N4" s="253"/>
      <c r="O4" s="40"/>
      <c r="P4" s="86"/>
      <c r="Q4" s="86"/>
      <c r="R4" s="86"/>
      <c r="S4" s="86"/>
      <c r="T4" s="86"/>
      <c r="U4" s="86"/>
      <c r="V4" s="86"/>
      <c r="W4" s="86"/>
      <c r="X4" s="86"/>
      <c r="Y4" s="86"/>
      <c r="Z4" s="86"/>
      <c r="AA4" s="86"/>
      <c r="AB4" s="86"/>
      <c r="AC4" s="86"/>
      <c r="AD4" s="86"/>
      <c r="AE4" s="86"/>
      <c r="AF4" s="86"/>
      <c r="AG4" s="86"/>
      <c r="AH4" s="86"/>
      <c r="AI4" s="86"/>
      <c r="AJ4" s="86"/>
      <c r="AL4" s="86"/>
      <c r="AM4" s="86"/>
      <c r="AN4" s="86"/>
      <c r="AO4" s="86"/>
    </row>
    <row r="5" spans="1:41" s="7" customFormat="1" ht="6.75" customHeight="1">
      <c r="A5" s="86"/>
      <c r="B5" s="86"/>
      <c r="C5" s="86"/>
      <c r="D5" s="86"/>
      <c r="E5" s="86"/>
      <c r="F5" s="86"/>
      <c r="G5" s="86"/>
      <c r="H5" s="86"/>
      <c r="I5" s="86"/>
      <c r="J5" s="86"/>
      <c r="K5" s="86"/>
      <c r="L5" s="86"/>
      <c r="M5" s="86"/>
      <c r="N5" s="86"/>
      <c r="O5" s="40"/>
      <c r="P5" s="86"/>
      <c r="Q5" s="86"/>
      <c r="R5" s="86"/>
      <c r="S5" s="86"/>
      <c r="T5" s="86"/>
      <c r="U5" s="86"/>
      <c r="V5" s="86"/>
      <c r="W5" s="86"/>
      <c r="X5" s="86"/>
      <c r="Y5" s="86"/>
      <c r="Z5" s="86"/>
      <c r="AA5" s="86"/>
      <c r="AB5" s="86"/>
      <c r="AC5" s="86"/>
      <c r="AD5" s="86"/>
      <c r="AE5" s="86"/>
      <c r="AF5" s="86"/>
      <c r="AG5" s="86"/>
      <c r="AH5" s="86"/>
      <c r="AI5" s="86"/>
      <c r="AJ5" s="86"/>
      <c r="AL5" s="86"/>
      <c r="AM5" s="86"/>
      <c r="AN5" s="86"/>
      <c r="AO5" s="86"/>
    </row>
    <row r="6" spans="1:41" ht="36.75" customHeight="1" thickBot="1">
      <c r="A6" s="40"/>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L6" s="40"/>
      <c r="AM6" s="40"/>
      <c r="AN6" s="40"/>
      <c r="AO6" s="40"/>
    </row>
    <row r="7" spans="1:41" s="7" customFormat="1" ht="19.5" customHeight="1" thickBot="1">
      <c r="A7" s="254" t="s">
        <v>323</v>
      </c>
      <c r="B7" s="255"/>
      <c r="C7" s="255"/>
      <c r="D7" s="255"/>
      <c r="E7" s="255"/>
      <c r="F7" s="255"/>
      <c r="G7" s="255"/>
      <c r="H7" s="255"/>
      <c r="I7" s="255"/>
      <c r="J7" s="255"/>
      <c r="K7" s="255"/>
      <c r="L7" s="255"/>
      <c r="M7" s="255"/>
      <c r="N7" s="256"/>
      <c r="O7" s="40"/>
      <c r="P7" s="86"/>
      <c r="Q7" s="86"/>
      <c r="R7" s="163" t="s">
        <v>324</v>
      </c>
      <c r="S7" s="86"/>
      <c r="T7" s="86"/>
      <c r="U7" s="86"/>
      <c r="V7" s="86"/>
      <c r="W7" s="86"/>
      <c r="X7" s="86"/>
      <c r="Y7" s="86"/>
      <c r="Z7" s="86"/>
      <c r="AA7" s="86"/>
      <c r="AB7" s="86"/>
      <c r="AC7" s="86"/>
      <c r="AD7" s="86"/>
      <c r="AE7" s="86"/>
      <c r="AF7" s="86"/>
      <c r="AG7" s="86"/>
      <c r="AH7" s="86"/>
      <c r="AI7" s="86"/>
      <c r="AJ7" s="86"/>
      <c r="AL7" s="86"/>
      <c r="AM7" s="86"/>
      <c r="AN7" s="86"/>
      <c r="AO7" s="86"/>
    </row>
    <row r="8" spans="1:41" s="7" customFormat="1" ht="37.35" customHeight="1" thickBot="1">
      <c r="A8" s="257" t="s">
        <v>325</v>
      </c>
      <c r="B8" s="258"/>
      <c r="C8" s="258"/>
      <c r="D8" s="258"/>
      <c r="E8" s="258"/>
      <c r="F8" s="258"/>
      <c r="G8" s="258"/>
      <c r="H8" s="258"/>
      <c r="I8" s="258"/>
      <c r="J8" s="258"/>
      <c r="K8" s="258"/>
      <c r="L8" s="258"/>
      <c r="M8" s="258"/>
      <c r="N8" s="259"/>
      <c r="O8" s="40"/>
      <c r="P8" s="86"/>
      <c r="Q8" s="86"/>
      <c r="R8" s="243" t="s">
        <v>326</v>
      </c>
      <c r="S8" s="86"/>
      <c r="T8" s="86"/>
      <c r="U8" s="86"/>
      <c r="V8" s="86"/>
      <c r="W8" s="86"/>
      <c r="X8" s="86"/>
      <c r="Y8" s="86"/>
      <c r="Z8" s="86"/>
      <c r="AA8" s="86"/>
      <c r="AB8" s="86"/>
      <c r="AC8" s="86"/>
      <c r="AD8" s="86"/>
      <c r="AE8" s="86"/>
      <c r="AF8" s="86"/>
      <c r="AG8" s="86"/>
      <c r="AH8" s="86"/>
      <c r="AI8" s="86"/>
      <c r="AJ8" s="86"/>
      <c r="AL8" s="86"/>
      <c r="AM8" s="86"/>
      <c r="AN8" s="86"/>
      <c r="AO8" s="86"/>
    </row>
    <row r="9" spans="1:41" s="7" customFormat="1" ht="13.5" thickBot="1">
      <c r="A9" s="260" t="s">
        <v>6</v>
      </c>
      <c r="B9" s="261"/>
      <c r="C9" s="261"/>
      <c r="D9" s="261"/>
      <c r="E9" s="261"/>
      <c r="F9" s="261"/>
      <c r="G9" s="261"/>
      <c r="H9" s="261"/>
      <c r="I9" s="261"/>
      <c r="J9" s="261"/>
      <c r="K9" s="261"/>
      <c r="L9" s="261"/>
      <c r="M9" s="261"/>
      <c r="N9" s="262"/>
      <c r="O9" s="40"/>
      <c r="P9" s="86"/>
      <c r="Q9" s="86"/>
      <c r="R9" s="244"/>
      <c r="S9" s="86"/>
      <c r="T9" s="86"/>
      <c r="U9" s="86"/>
      <c r="V9" s="86"/>
      <c r="W9" s="86"/>
      <c r="X9" s="86"/>
      <c r="Y9" s="86"/>
      <c r="Z9" s="86"/>
      <c r="AA9" s="86"/>
      <c r="AB9" s="86"/>
      <c r="AC9" s="86"/>
      <c r="AD9" s="86"/>
      <c r="AE9" s="86"/>
      <c r="AF9" s="86"/>
      <c r="AG9" s="86"/>
      <c r="AH9" s="86"/>
      <c r="AI9" s="86"/>
      <c r="AJ9" s="86"/>
      <c r="AL9" s="86"/>
      <c r="AM9" s="86"/>
      <c r="AN9" s="86"/>
      <c r="AO9" s="86"/>
    </row>
    <row r="10" spans="1:41" s="7" customFormat="1" ht="126.75" customHeight="1" thickBot="1">
      <c r="A10" s="2"/>
      <c r="B10" s="49" t="s">
        <v>327</v>
      </c>
      <c r="C10" s="49" t="s">
        <v>328</v>
      </c>
      <c r="D10" s="49" t="s">
        <v>329</v>
      </c>
      <c r="E10" s="181" t="s">
        <v>330</v>
      </c>
      <c r="F10" s="45" t="s">
        <v>287</v>
      </c>
      <c r="G10" s="182" t="s">
        <v>288</v>
      </c>
      <c r="H10" s="46" t="s">
        <v>289</v>
      </c>
      <c r="I10" s="47" t="s">
        <v>331</v>
      </c>
      <c r="J10" s="48" t="s">
        <v>291</v>
      </c>
      <c r="K10" s="45" t="s">
        <v>332</v>
      </c>
      <c r="L10" s="49" t="s">
        <v>333</v>
      </c>
      <c r="M10" s="50" t="s">
        <v>334</v>
      </c>
      <c r="N10" s="51" t="s">
        <v>335</v>
      </c>
      <c r="O10" s="40"/>
      <c r="P10" s="40"/>
      <c r="Q10" s="40"/>
      <c r="R10" s="164"/>
      <c r="S10" s="40"/>
      <c r="T10" s="40"/>
      <c r="U10" s="40"/>
      <c r="V10" s="40"/>
      <c r="W10" s="40"/>
      <c r="X10" s="40"/>
      <c r="Y10" s="40"/>
      <c r="Z10" s="40"/>
      <c r="AA10" s="40"/>
      <c r="AB10" s="86"/>
      <c r="AC10" s="86"/>
      <c r="AD10" s="86"/>
      <c r="AE10" s="86"/>
      <c r="AF10" s="86"/>
      <c r="AG10" s="86"/>
      <c r="AH10" s="86"/>
      <c r="AI10" s="86"/>
      <c r="AJ10" s="86"/>
      <c r="AL10" s="86"/>
      <c r="AM10" s="86"/>
      <c r="AN10" s="86"/>
      <c r="AO10" s="86"/>
    </row>
    <row r="11" spans="1:41" ht="18.75" customHeight="1" thickBot="1">
      <c r="A11" s="13" t="s">
        <v>296</v>
      </c>
      <c r="B11" s="63"/>
      <c r="C11" s="63"/>
      <c r="D11" s="63"/>
      <c r="E11" s="63"/>
      <c r="F11" s="63"/>
      <c r="G11" s="63"/>
      <c r="H11" s="63"/>
      <c r="I11" s="63"/>
      <c r="J11" s="63"/>
      <c r="K11" s="144">
        <f>IF('FS7'!C11="",0,'FS7'!C11)</f>
        <v>0</v>
      </c>
      <c r="L11" s="43">
        <f>B11+D11</f>
        <v>0</v>
      </c>
      <c r="M11" s="63"/>
      <c r="N11" s="44">
        <f>SUM(H11:K11)</f>
        <v>0</v>
      </c>
      <c r="O11" s="40"/>
      <c r="P11" s="40"/>
      <c r="Q11" s="40"/>
      <c r="R11" s="40"/>
      <c r="S11" s="40"/>
      <c r="T11" s="40"/>
      <c r="U11" s="40"/>
      <c r="V11" s="40"/>
      <c r="W11" s="40"/>
      <c r="X11" s="40"/>
      <c r="Y11" s="40"/>
      <c r="Z11" s="40"/>
      <c r="AA11" s="40"/>
      <c r="AB11" s="40"/>
      <c r="AC11" s="40"/>
      <c r="AD11" s="40"/>
      <c r="AE11" s="40"/>
      <c r="AF11" s="40"/>
      <c r="AG11" s="40"/>
      <c r="AH11" s="40"/>
      <c r="AI11" s="40"/>
      <c r="AJ11" s="40"/>
      <c r="AL11" s="40"/>
      <c r="AM11" s="40"/>
      <c r="AN11" s="40"/>
      <c r="AO11" s="40"/>
    </row>
    <row r="12" spans="1:41" ht="18.75" customHeight="1" thickBot="1">
      <c r="A12" s="13" t="s">
        <v>297</v>
      </c>
      <c r="B12" s="63"/>
      <c r="C12" s="63"/>
      <c r="D12" s="63"/>
      <c r="E12" s="63"/>
      <c r="F12" s="63"/>
      <c r="G12" s="63"/>
      <c r="H12" s="63"/>
      <c r="I12" s="63"/>
      <c r="J12" s="63"/>
      <c r="K12" s="144">
        <f>IF('FS7'!C12="",0,'FS7'!C12)</f>
        <v>0</v>
      </c>
      <c r="L12" s="12">
        <f t="shared" ref="L12:L31" si="0">B12+D12</f>
        <v>0</v>
      </c>
      <c r="M12" s="63"/>
      <c r="N12" s="37">
        <f t="shared" ref="N12:N31" si="1">SUM(H12:K12)</f>
        <v>0</v>
      </c>
      <c r="O12" s="40"/>
      <c r="P12" s="40"/>
      <c r="Q12" s="40"/>
      <c r="R12" s="40"/>
      <c r="S12" s="40"/>
      <c r="T12" s="40"/>
      <c r="U12" s="40"/>
      <c r="V12" s="40"/>
      <c r="W12" s="40"/>
      <c r="X12" s="40"/>
      <c r="Y12" s="40"/>
      <c r="Z12" s="40"/>
      <c r="AA12" s="40"/>
      <c r="AB12" s="40"/>
      <c r="AC12" s="40"/>
      <c r="AD12" s="40"/>
      <c r="AE12" s="40"/>
      <c r="AF12" s="40"/>
      <c r="AG12" s="40"/>
      <c r="AH12" s="40"/>
      <c r="AI12" s="40"/>
      <c r="AJ12" s="40"/>
      <c r="AL12" s="40"/>
      <c r="AM12" s="40"/>
      <c r="AN12" s="40"/>
      <c r="AO12" s="40"/>
    </row>
    <row r="13" spans="1:41" ht="18.75" customHeight="1" thickBot="1">
      <c r="A13" s="13" t="s">
        <v>298</v>
      </c>
      <c r="B13" s="63"/>
      <c r="C13" s="63"/>
      <c r="D13" s="63"/>
      <c r="E13" s="63"/>
      <c r="F13" s="63"/>
      <c r="G13" s="63"/>
      <c r="H13" s="63"/>
      <c r="I13" s="63"/>
      <c r="J13" s="63"/>
      <c r="K13" s="144">
        <f>IF('FS7'!C13="",0,'FS7'!C13)</f>
        <v>0</v>
      </c>
      <c r="L13" s="12">
        <f t="shared" si="0"/>
        <v>0</v>
      </c>
      <c r="M13" s="63"/>
      <c r="N13" s="37">
        <f t="shared" si="1"/>
        <v>0</v>
      </c>
      <c r="O13" s="40"/>
      <c r="P13" s="40"/>
      <c r="Q13" s="40"/>
      <c r="R13" s="40"/>
      <c r="S13" s="40"/>
      <c r="T13" s="40"/>
      <c r="U13" s="40"/>
      <c r="V13" s="40"/>
      <c r="W13" s="40"/>
      <c r="X13" s="40"/>
      <c r="Y13" s="40"/>
      <c r="Z13" s="40"/>
      <c r="AA13" s="40"/>
      <c r="AB13" s="40"/>
      <c r="AC13" s="40"/>
      <c r="AD13" s="40"/>
      <c r="AE13" s="40"/>
      <c r="AF13" s="40"/>
      <c r="AG13" s="40"/>
      <c r="AH13" s="40"/>
      <c r="AI13" s="40"/>
      <c r="AJ13" s="40"/>
      <c r="AL13" s="40"/>
      <c r="AM13" s="40"/>
      <c r="AN13" s="40"/>
      <c r="AO13" s="40"/>
    </row>
    <row r="14" spans="1:41" ht="18.75" customHeight="1" thickBot="1">
      <c r="A14" s="13" t="s">
        <v>299</v>
      </c>
      <c r="B14" s="63"/>
      <c r="C14" s="63"/>
      <c r="D14" s="63"/>
      <c r="E14" s="63"/>
      <c r="F14" s="63"/>
      <c r="G14" s="63"/>
      <c r="H14" s="63"/>
      <c r="I14" s="63"/>
      <c r="J14" s="63"/>
      <c r="K14" s="144">
        <f>IF('FS7'!C14="",0,'FS7'!C14)</f>
        <v>0</v>
      </c>
      <c r="L14" s="12">
        <f t="shared" si="0"/>
        <v>0</v>
      </c>
      <c r="M14" s="63"/>
      <c r="N14" s="37">
        <f t="shared" si="1"/>
        <v>0</v>
      </c>
      <c r="O14" s="40"/>
      <c r="P14" s="40"/>
      <c r="Q14" s="40"/>
      <c r="R14" s="40"/>
      <c r="S14" s="40"/>
      <c r="T14" s="40"/>
      <c r="U14" s="40"/>
      <c r="V14" s="40"/>
      <c r="W14" s="40"/>
      <c r="X14" s="40"/>
      <c r="Y14" s="40"/>
      <c r="Z14" s="40"/>
      <c r="AA14" s="40"/>
      <c r="AB14" s="40"/>
      <c r="AC14" s="40"/>
      <c r="AD14" s="40"/>
      <c r="AE14" s="40"/>
      <c r="AF14" s="40"/>
      <c r="AG14" s="40"/>
      <c r="AH14" s="40"/>
      <c r="AI14" s="40"/>
      <c r="AJ14" s="40"/>
      <c r="AL14" s="40"/>
      <c r="AM14" s="40"/>
      <c r="AN14" s="40"/>
      <c r="AO14" s="40"/>
    </row>
    <row r="15" spans="1:41" ht="18.75" hidden="1" customHeight="1" thickBot="1">
      <c r="A15" s="13" t="s">
        <v>300</v>
      </c>
      <c r="B15" s="63"/>
      <c r="C15" s="63"/>
      <c r="D15" s="63"/>
      <c r="E15" s="63"/>
      <c r="F15" s="63"/>
      <c r="G15" s="63"/>
      <c r="H15" s="63"/>
      <c r="I15" s="63"/>
      <c r="J15" s="63"/>
      <c r="K15" s="144">
        <f>IF('FS7'!C15="",0,'FS7'!C15)</f>
        <v>0</v>
      </c>
      <c r="L15" s="12">
        <f t="shared" si="0"/>
        <v>0</v>
      </c>
      <c r="M15" s="63"/>
      <c r="N15" s="37">
        <f t="shared" si="1"/>
        <v>0</v>
      </c>
      <c r="O15" s="40"/>
      <c r="P15" s="40"/>
      <c r="Q15" s="40"/>
      <c r="R15" s="40"/>
      <c r="S15" s="40"/>
      <c r="T15" s="40"/>
      <c r="U15" s="40"/>
      <c r="V15" s="40"/>
      <c r="W15" s="40"/>
      <c r="X15" s="40"/>
      <c r="Y15" s="40"/>
      <c r="Z15" s="40"/>
      <c r="AA15" s="40"/>
      <c r="AB15" s="40"/>
      <c r="AC15" s="40"/>
      <c r="AD15" s="40"/>
      <c r="AE15" s="40"/>
      <c r="AF15" s="40"/>
      <c r="AG15" s="40"/>
      <c r="AH15" s="40"/>
      <c r="AI15" s="40"/>
      <c r="AJ15" s="40"/>
      <c r="AL15" s="40"/>
      <c r="AM15" s="40"/>
      <c r="AN15" s="40"/>
      <c r="AO15" s="40"/>
    </row>
    <row r="16" spans="1:41" ht="18.75" hidden="1" customHeight="1" thickBot="1">
      <c r="A16" s="13" t="s">
        <v>301</v>
      </c>
      <c r="B16" s="63"/>
      <c r="C16" s="63"/>
      <c r="D16" s="63"/>
      <c r="E16" s="63"/>
      <c r="F16" s="63"/>
      <c r="G16" s="63"/>
      <c r="H16" s="63"/>
      <c r="I16" s="63"/>
      <c r="J16" s="63"/>
      <c r="K16" s="144">
        <f>IF('FS7'!C16="",0,'FS7'!C16)</f>
        <v>0</v>
      </c>
      <c r="L16" s="12">
        <f t="shared" si="0"/>
        <v>0</v>
      </c>
      <c r="M16" s="63"/>
      <c r="N16" s="37">
        <f t="shared" si="1"/>
        <v>0</v>
      </c>
      <c r="O16" s="40"/>
      <c r="P16" s="40"/>
      <c r="Q16" s="40"/>
      <c r="R16" s="40"/>
      <c r="S16" s="40"/>
      <c r="T16" s="40"/>
      <c r="U16" s="40"/>
      <c r="V16" s="40"/>
      <c r="W16" s="40"/>
      <c r="X16" s="40"/>
      <c r="Y16" s="40"/>
      <c r="Z16" s="40"/>
      <c r="AA16" s="40"/>
      <c r="AB16" s="40"/>
      <c r="AC16" s="40"/>
      <c r="AD16" s="40"/>
      <c r="AE16" s="40"/>
      <c r="AF16" s="40"/>
      <c r="AG16" s="40"/>
      <c r="AH16" s="40"/>
      <c r="AI16" s="40"/>
      <c r="AJ16" s="40"/>
      <c r="AL16" s="40"/>
      <c r="AM16" s="40"/>
      <c r="AN16" s="40"/>
      <c r="AO16" s="40"/>
    </row>
    <row r="17" spans="1:52" ht="18.75" hidden="1" customHeight="1" thickBot="1">
      <c r="A17" s="13" t="s">
        <v>302</v>
      </c>
      <c r="B17" s="63"/>
      <c r="C17" s="63"/>
      <c r="D17" s="63"/>
      <c r="E17" s="63"/>
      <c r="F17" s="63"/>
      <c r="G17" s="63"/>
      <c r="H17" s="63"/>
      <c r="I17" s="63"/>
      <c r="J17" s="63"/>
      <c r="K17" s="144">
        <f>IF('FS7'!C17="",0,'FS7'!C17)</f>
        <v>0</v>
      </c>
      <c r="L17" s="12">
        <f t="shared" si="0"/>
        <v>0</v>
      </c>
      <c r="M17" s="63"/>
      <c r="N17" s="37">
        <f t="shared" si="1"/>
        <v>0</v>
      </c>
      <c r="O17" s="40"/>
      <c r="P17" s="40"/>
      <c r="Q17" s="40"/>
      <c r="R17" s="40"/>
      <c r="S17" s="40"/>
      <c r="T17" s="40"/>
      <c r="U17" s="40"/>
      <c r="V17" s="40"/>
      <c r="W17" s="40"/>
      <c r="X17" s="40"/>
      <c r="Y17" s="40"/>
      <c r="Z17" s="40"/>
      <c r="AA17" s="40"/>
      <c r="AB17" s="40"/>
      <c r="AC17" s="40"/>
      <c r="AD17" s="40"/>
      <c r="AE17" s="40"/>
      <c r="AF17" s="40"/>
      <c r="AG17" s="40"/>
      <c r="AH17" s="40"/>
      <c r="AI17" s="40"/>
      <c r="AJ17" s="40"/>
      <c r="AL17" s="40"/>
      <c r="AM17" s="40"/>
      <c r="AN17" s="40"/>
      <c r="AO17" s="40"/>
    </row>
    <row r="18" spans="1:52" ht="13.5" thickBot="1">
      <c r="A18" s="56" t="s">
        <v>303</v>
      </c>
      <c r="B18" s="57"/>
      <c r="C18" s="57"/>
      <c r="D18" s="57"/>
      <c r="E18" s="57"/>
      <c r="F18" s="57"/>
      <c r="G18" s="57"/>
      <c r="H18" s="57"/>
      <c r="I18" s="57"/>
      <c r="J18" s="57"/>
      <c r="K18" s="144">
        <f>IF('FS7'!C18="",0,'FS7'!C18)</f>
        <v>0</v>
      </c>
      <c r="L18" s="12">
        <f t="shared" si="0"/>
        <v>0</v>
      </c>
      <c r="M18" s="57"/>
      <c r="N18" s="37">
        <f t="shared" si="1"/>
        <v>0</v>
      </c>
      <c r="O18" s="40"/>
      <c r="P18" s="40"/>
      <c r="Q18" s="40"/>
      <c r="R18" s="40"/>
      <c r="S18" s="40"/>
      <c r="T18" s="40"/>
      <c r="U18" s="40"/>
      <c r="V18" s="40"/>
      <c r="W18" s="40"/>
      <c r="X18" s="40"/>
      <c r="Y18" s="40"/>
      <c r="Z18" s="40"/>
      <c r="AA18" s="40"/>
      <c r="AB18" s="40"/>
      <c r="AC18" s="40"/>
      <c r="AD18" s="40"/>
      <c r="AE18" s="40"/>
      <c r="AF18" s="40"/>
      <c r="AG18" s="40"/>
      <c r="AH18" s="40"/>
      <c r="AI18" s="40"/>
      <c r="AJ18" s="40"/>
      <c r="AL18" s="40"/>
      <c r="AM18" s="40"/>
      <c r="AN18" s="40"/>
      <c r="AO18" s="40"/>
    </row>
    <row r="19" spans="1:52" ht="18.75" customHeight="1" thickBot="1">
      <c r="A19" s="13" t="s">
        <v>304</v>
      </c>
      <c r="B19" s="63"/>
      <c r="C19" s="63"/>
      <c r="D19" s="63"/>
      <c r="E19" s="63"/>
      <c r="F19" s="63"/>
      <c r="G19" s="63"/>
      <c r="H19" s="63"/>
      <c r="I19" s="63"/>
      <c r="J19" s="63"/>
      <c r="K19" s="144">
        <f>IF('FS7'!C19="",0,'FS7'!C19)</f>
        <v>0</v>
      </c>
      <c r="L19" s="12">
        <f t="shared" si="0"/>
        <v>0</v>
      </c>
      <c r="M19" s="63"/>
      <c r="N19" s="37">
        <f t="shared" si="1"/>
        <v>0</v>
      </c>
      <c r="O19" s="40"/>
      <c r="P19" s="40"/>
      <c r="Q19" s="40"/>
      <c r="R19" s="40"/>
      <c r="S19" s="40"/>
      <c r="T19" s="40"/>
      <c r="U19" s="40"/>
      <c r="V19" s="40"/>
      <c r="W19" s="40"/>
      <c r="X19" s="40"/>
      <c r="Y19" s="40"/>
      <c r="Z19" s="40"/>
      <c r="AA19" s="40"/>
      <c r="AB19" s="40"/>
      <c r="AC19" s="40"/>
      <c r="AD19" s="40"/>
      <c r="AE19" s="40"/>
      <c r="AF19" s="40"/>
      <c r="AG19" s="40"/>
      <c r="AH19" s="40"/>
      <c r="AI19" s="40"/>
      <c r="AJ19" s="40"/>
      <c r="AL19" s="40"/>
      <c r="AM19" s="40"/>
      <c r="AN19" s="40"/>
      <c r="AO19" s="40"/>
    </row>
    <row r="20" spans="1:52" ht="18.75" customHeight="1" thickBot="1">
      <c r="A20" s="13" t="s">
        <v>305</v>
      </c>
      <c r="B20" s="63"/>
      <c r="C20" s="63"/>
      <c r="D20" s="63"/>
      <c r="E20" s="63"/>
      <c r="F20" s="63"/>
      <c r="G20" s="63"/>
      <c r="H20" s="63"/>
      <c r="I20" s="63"/>
      <c r="J20" s="63"/>
      <c r="K20" s="144">
        <f>IF('FS7'!C20="",0,'FS7'!C20)</f>
        <v>0</v>
      </c>
      <c r="L20" s="12">
        <f t="shared" si="0"/>
        <v>0</v>
      </c>
      <c r="M20" s="63"/>
      <c r="N20" s="37">
        <f t="shared" si="1"/>
        <v>0</v>
      </c>
      <c r="O20" s="40"/>
      <c r="P20" s="40"/>
      <c r="Q20" s="40"/>
      <c r="R20" s="40"/>
      <c r="S20" s="40"/>
      <c r="T20" s="40"/>
      <c r="U20" s="40"/>
      <c r="V20" s="40"/>
      <c r="W20" s="40"/>
      <c r="X20" s="40"/>
      <c r="Y20" s="40"/>
      <c r="Z20" s="40"/>
      <c r="AA20" s="40"/>
      <c r="AB20" s="40"/>
      <c r="AC20" s="40"/>
      <c r="AD20" s="40"/>
      <c r="AE20" s="40"/>
      <c r="AF20" s="40"/>
      <c r="AG20" s="40"/>
      <c r="AH20" s="40"/>
      <c r="AI20" s="40"/>
      <c r="AJ20" s="40"/>
      <c r="AL20" s="40"/>
      <c r="AM20" s="40"/>
      <c r="AN20" s="40"/>
      <c r="AO20" s="40"/>
    </row>
    <row r="21" spans="1:52" ht="18.75" customHeight="1" thickBot="1">
      <c r="A21" s="13" t="s">
        <v>306</v>
      </c>
      <c r="B21" s="63"/>
      <c r="C21" s="63"/>
      <c r="D21" s="63"/>
      <c r="E21" s="63"/>
      <c r="F21" s="63"/>
      <c r="G21" s="63"/>
      <c r="H21" s="63"/>
      <c r="I21" s="63"/>
      <c r="J21" s="63"/>
      <c r="K21" s="144">
        <f>IF('FS7'!C21="",0,'FS7'!C21)</f>
        <v>0</v>
      </c>
      <c r="L21" s="12">
        <f t="shared" si="0"/>
        <v>0</v>
      </c>
      <c r="M21" s="63"/>
      <c r="N21" s="37">
        <f t="shared" si="1"/>
        <v>0</v>
      </c>
      <c r="O21" s="40"/>
      <c r="P21" s="40"/>
      <c r="Q21" s="40"/>
      <c r="R21" s="40"/>
      <c r="S21" s="40"/>
      <c r="T21" s="40"/>
      <c r="U21" s="40"/>
      <c r="V21" s="40"/>
      <c r="W21" s="40"/>
      <c r="X21" s="40"/>
      <c r="Y21" s="40"/>
      <c r="Z21" s="40"/>
      <c r="AA21" s="40"/>
      <c r="AB21" s="40"/>
      <c r="AC21" s="40"/>
      <c r="AD21" s="40"/>
      <c r="AE21" s="40"/>
      <c r="AF21" s="40"/>
      <c r="AG21" s="40"/>
      <c r="AH21" s="40"/>
      <c r="AI21" s="40"/>
      <c r="AJ21" s="40"/>
      <c r="AL21" s="40"/>
      <c r="AM21" s="40"/>
      <c r="AN21" s="40"/>
      <c r="AO21" s="40"/>
    </row>
    <row r="22" spans="1:52" ht="18.75" customHeight="1" thickBot="1">
      <c r="A22" s="13" t="s">
        <v>307</v>
      </c>
      <c r="B22" s="63"/>
      <c r="C22" s="63"/>
      <c r="D22" s="63"/>
      <c r="E22" s="63"/>
      <c r="F22" s="63"/>
      <c r="G22" s="63"/>
      <c r="H22" s="63"/>
      <c r="I22" s="63"/>
      <c r="J22" s="63"/>
      <c r="K22" s="144">
        <f>IF('FS7'!C22="",0,'FS7'!C22)</f>
        <v>0</v>
      </c>
      <c r="L22" s="12">
        <f t="shared" si="0"/>
        <v>0</v>
      </c>
      <c r="M22" s="63"/>
      <c r="N22" s="37">
        <f t="shared" si="1"/>
        <v>0</v>
      </c>
      <c r="O22" s="40"/>
      <c r="P22" s="40"/>
      <c r="Q22" s="40"/>
      <c r="R22" s="40"/>
      <c r="S22" s="40"/>
      <c r="T22" s="40"/>
      <c r="U22" s="40"/>
      <c r="V22" s="40"/>
      <c r="W22" s="40"/>
      <c r="X22" s="40"/>
      <c r="Y22" s="40"/>
      <c r="Z22" s="40"/>
      <c r="AA22" s="40"/>
      <c r="AB22" s="40"/>
      <c r="AC22" s="40"/>
      <c r="AD22" s="40"/>
      <c r="AE22" s="40"/>
      <c r="AF22" s="40"/>
      <c r="AG22" s="40"/>
      <c r="AH22" s="40"/>
      <c r="AI22" s="40"/>
      <c r="AJ22" s="40"/>
      <c r="AL22" s="40"/>
      <c r="AM22" s="40"/>
      <c r="AN22" s="40"/>
      <c r="AO22" s="40"/>
    </row>
    <row r="23" spans="1:52" ht="18.75" customHeight="1" thickBot="1">
      <c r="A23" s="13" t="s">
        <v>308</v>
      </c>
      <c r="B23" s="63"/>
      <c r="C23" s="63"/>
      <c r="D23" s="63"/>
      <c r="E23" s="63"/>
      <c r="F23" s="63"/>
      <c r="G23" s="64"/>
      <c r="H23" s="64"/>
      <c r="I23" s="64"/>
      <c r="J23" s="64"/>
      <c r="K23" s="144">
        <f>IF('FS7'!C23="",0,'FS7'!C23)</f>
        <v>0</v>
      </c>
      <c r="L23" s="12">
        <f t="shared" si="0"/>
        <v>0</v>
      </c>
      <c r="M23" s="63"/>
      <c r="N23" s="37">
        <f t="shared" si="1"/>
        <v>0</v>
      </c>
      <c r="O23" s="40"/>
      <c r="P23" s="40"/>
      <c r="Q23" s="40"/>
      <c r="R23" s="40"/>
      <c r="S23" s="40"/>
      <c r="T23" s="40"/>
      <c r="U23" s="40"/>
      <c r="V23" s="40"/>
      <c r="W23" s="40"/>
      <c r="X23" s="40"/>
      <c r="Y23" s="40"/>
      <c r="Z23" s="40"/>
      <c r="AA23" s="40"/>
      <c r="AB23" s="40"/>
      <c r="AC23" s="40"/>
      <c r="AD23" s="40"/>
      <c r="AE23" s="40"/>
      <c r="AF23" s="40"/>
      <c r="AG23" s="40"/>
      <c r="AH23" s="40"/>
      <c r="AI23" s="40"/>
      <c r="AJ23" s="40"/>
      <c r="AL23" s="40"/>
      <c r="AM23" s="40"/>
      <c r="AN23" s="40"/>
      <c r="AO23" s="40"/>
    </row>
    <row r="24" spans="1:52" ht="18.75" customHeight="1" thickBot="1">
      <c r="A24" s="13" t="s">
        <v>309</v>
      </c>
      <c r="B24" s="63"/>
      <c r="C24" s="63"/>
      <c r="D24" s="63"/>
      <c r="E24" s="63"/>
      <c r="F24" s="65"/>
      <c r="G24" s="183"/>
      <c r="H24" s="183"/>
      <c r="I24" s="183"/>
      <c r="J24" s="183"/>
      <c r="K24" s="144">
        <f>IF('FS7'!C24="",0,'FS7'!C24)</f>
        <v>0</v>
      </c>
      <c r="L24" s="12">
        <f t="shared" si="0"/>
        <v>0</v>
      </c>
      <c r="M24" s="63"/>
      <c r="N24" s="37">
        <f t="shared" si="1"/>
        <v>0</v>
      </c>
      <c r="O24" s="40"/>
      <c r="P24" s="40"/>
      <c r="Q24" s="40"/>
      <c r="R24" s="40"/>
      <c r="S24" s="40"/>
      <c r="T24" s="40"/>
      <c r="U24" s="40"/>
      <c r="V24" s="40"/>
      <c r="W24" s="40"/>
      <c r="X24" s="40"/>
      <c r="Y24" s="40"/>
      <c r="Z24" s="40"/>
      <c r="AA24" s="40"/>
      <c r="AB24" s="40"/>
      <c r="AC24" s="40"/>
      <c r="AD24" s="40"/>
      <c r="AE24" s="40"/>
      <c r="AF24" s="40"/>
      <c r="AG24" s="40"/>
      <c r="AH24" s="40"/>
      <c r="AI24" s="40"/>
      <c r="AJ24" s="40"/>
      <c r="AL24" s="40"/>
      <c r="AM24" s="40"/>
      <c r="AN24" s="40"/>
      <c r="AO24" s="40"/>
    </row>
    <row r="25" spans="1:52" ht="18.75" customHeight="1" thickBot="1">
      <c r="A25" s="13" t="s">
        <v>310</v>
      </c>
      <c r="B25" s="63"/>
      <c r="C25" s="63"/>
      <c r="D25" s="63"/>
      <c r="E25" s="63"/>
      <c r="F25" s="65"/>
      <c r="G25" s="183"/>
      <c r="H25" s="184"/>
      <c r="I25" s="184"/>
      <c r="J25" s="184"/>
      <c r="K25" s="144">
        <f>IF('FS7'!C25="",0,'FS7'!C25)</f>
        <v>0</v>
      </c>
      <c r="L25" s="12">
        <f t="shared" si="0"/>
        <v>0</v>
      </c>
      <c r="M25" s="63"/>
      <c r="N25" s="37">
        <f t="shared" si="1"/>
        <v>0</v>
      </c>
      <c r="O25" s="40"/>
      <c r="P25" s="40"/>
      <c r="Q25" s="40"/>
      <c r="R25" s="40"/>
      <c r="S25" s="40"/>
      <c r="T25" s="40"/>
      <c r="U25" s="40"/>
      <c r="V25" s="40"/>
      <c r="W25" s="40"/>
      <c r="X25" s="40"/>
      <c r="Y25" s="40"/>
      <c r="Z25" s="40"/>
      <c r="AA25" s="40"/>
      <c r="AB25" s="40"/>
      <c r="AC25" s="40"/>
      <c r="AD25" s="40"/>
      <c r="AE25" s="40"/>
      <c r="AF25" s="40"/>
      <c r="AG25" s="40"/>
      <c r="AH25" s="40"/>
      <c r="AI25" s="40"/>
      <c r="AJ25" s="40"/>
      <c r="AK25" s="39"/>
      <c r="AL25" s="40"/>
      <c r="AM25" s="40"/>
      <c r="AN25" s="40"/>
      <c r="AO25" s="40"/>
    </row>
    <row r="26" spans="1:52" ht="18.75" customHeight="1" thickBot="1">
      <c r="A26" s="13" t="s">
        <v>311</v>
      </c>
      <c r="B26" s="63"/>
      <c r="C26" s="63"/>
      <c r="D26" s="63"/>
      <c r="E26" s="63"/>
      <c r="F26" s="65"/>
      <c r="G26" s="183"/>
      <c r="H26" s="183"/>
      <c r="I26" s="183"/>
      <c r="J26" s="183"/>
      <c r="K26" s="144">
        <f>IF('FS7'!C26="",0,'FS7'!C26)</f>
        <v>0</v>
      </c>
      <c r="L26" s="12">
        <f t="shared" si="0"/>
        <v>0</v>
      </c>
      <c r="M26" s="63"/>
      <c r="N26" s="37">
        <f t="shared" si="1"/>
        <v>0</v>
      </c>
      <c r="O26" s="40"/>
      <c r="P26" s="40"/>
      <c r="Q26" s="40"/>
      <c r="R26" s="40"/>
      <c r="S26" s="40"/>
      <c r="T26" s="40"/>
      <c r="U26" s="40"/>
      <c r="V26" s="40"/>
      <c r="W26" s="40"/>
      <c r="X26" s="40"/>
      <c r="Y26" s="40"/>
      <c r="Z26" s="40"/>
      <c r="AA26" s="40"/>
      <c r="AB26" s="40"/>
      <c r="AC26" s="40"/>
      <c r="AD26" s="40"/>
      <c r="AE26" s="40"/>
      <c r="AF26" s="40"/>
      <c r="AG26" s="40"/>
      <c r="AH26" s="40"/>
      <c r="AI26" s="40"/>
      <c r="AJ26" s="40"/>
      <c r="AL26" s="40"/>
      <c r="AM26" s="40"/>
      <c r="AN26" s="40"/>
      <c r="AO26" s="40"/>
    </row>
    <row r="27" spans="1:52" ht="18.75" customHeight="1" thickBot="1">
      <c r="A27" s="13" t="s">
        <v>312</v>
      </c>
      <c r="B27" s="63"/>
      <c r="C27" s="63"/>
      <c r="D27" s="63"/>
      <c r="E27" s="63"/>
      <c r="F27" s="65"/>
      <c r="G27" s="183"/>
      <c r="H27" s="183"/>
      <c r="I27" s="183"/>
      <c r="J27" s="183"/>
      <c r="K27" s="144">
        <f>IF('FS7'!C27="",0,'FS7'!C27)</f>
        <v>0</v>
      </c>
      <c r="L27" s="12">
        <f t="shared" si="0"/>
        <v>0</v>
      </c>
      <c r="M27" s="63"/>
      <c r="N27" s="37">
        <f t="shared" si="1"/>
        <v>0</v>
      </c>
      <c r="O27" s="40"/>
      <c r="P27" s="40"/>
      <c r="Q27" s="40"/>
      <c r="R27" s="40"/>
      <c r="S27" s="40"/>
      <c r="T27" s="40"/>
      <c r="U27" s="40"/>
      <c r="V27" s="40"/>
      <c r="W27" s="40"/>
      <c r="X27" s="40"/>
      <c r="Y27" s="40"/>
      <c r="Z27" s="40"/>
      <c r="AA27" s="40"/>
      <c r="AB27" s="40"/>
      <c r="AC27" s="40"/>
      <c r="AD27" s="40"/>
      <c r="AE27" s="40"/>
      <c r="AF27" s="40"/>
      <c r="AG27" s="40"/>
      <c r="AH27" s="40"/>
      <c r="AI27" s="40"/>
      <c r="AJ27" s="89"/>
      <c r="AK27" s="38"/>
      <c r="AL27" s="89"/>
      <c r="AM27" s="89"/>
      <c r="AN27" s="89"/>
      <c r="AO27" s="89"/>
      <c r="AP27" s="38"/>
      <c r="AQ27" s="38"/>
      <c r="AR27" s="38"/>
      <c r="AS27" s="38"/>
      <c r="AT27" s="38"/>
      <c r="AU27" s="38"/>
      <c r="AV27" s="38"/>
      <c r="AW27" s="38"/>
      <c r="AX27" s="38"/>
      <c r="AY27" s="38"/>
      <c r="AZ27" s="38"/>
    </row>
    <row r="28" spans="1:52" ht="18.75" customHeight="1" thickBot="1">
      <c r="A28" s="13" t="s">
        <v>313</v>
      </c>
      <c r="B28" s="63"/>
      <c r="C28" s="63"/>
      <c r="D28" s="63"/>
      <c r="E28" s="63"/>
      <c r="F28" s="65"/>
      <c r="G28" s="183"/>
      <c r="H28" s="183"/>
      <c r="I28" s="183"/>
      <c r="J28" s="183"/>
      <c r="K28" s="144">
        <f>IF('FS7'!C28="",0,'FS7'!C28)</f>
        <v>0</v>
      </c>
      <c r="L28" s="12">
        <f t="shared" si="0"/>
        <v>0</v>
      </c>
      <c r="M28" s="63"/>
      <c r="N28" s="37">
        <f t="shared" si="1"/>
        <v>0</v>
      </c>
      <c r="O28" s="40"/>
      <c r="P28" s="40"/>
      <c r="Q28" s="40"/>
      <c r="R28" s="40"/>
      <c r="S28" s="40"/>
      <c r="T28" s="40"/>
      <c r="U28" s="40"/>
      <c r="V28" s="40"/>
      <c r="W28" s="40"/>
      <c r="X28" s="40"/>
      <c r="Y28" s="40"/>
      <c r="Z28" s="40"/>
      <c r="AA28" s="40"/>
      <c r="AB28" s="40"/>
      <c r="AC28" s="40"/>
      <c r="AD28" s="40"/>
      <c r="AE28" s="40"/>
      <c r="AF28" s="40"/>
      <c r="AG28" s="40"/>
      <c r="AH28" s="40"/>
      <c r="AI28" s="40"/>
      <c r="AJ28" s="89"/>
      <c r="AK28" s="38"/>
      <c r="AL28" s="89"/>
      <c r="AM28" s="89"/>
      <c r="AN28" s="89"/>
      <c r="AO28" s="89"/>
      <c r="AP28" s="38"/>
      <c r="AQ28" s="38"/>
      <c r="AR28" s="38"/>
      <c r="AS28" s="38"/>
      <c r="AT28" s="38"/>
      <c r="AU28" s="38"/>
      <c r="AV28" s="38"/>
      <c r="AW28" s="38"/>
      <c r="AX28" s="38"/>
      <c r="AY28" s="38"/>
      <c r="AZ28" s="38"/>
    </row>
    <row r="29" spans="1:52" ht="18.75" customHeight="1" thickBot="1">
      <c r="A29" s="185" t="s">
        <v>314</v>
      </c>
      <c r="B29" s="63"/>
      <c r="C29" s="63"/>
      <c r="D29" s="63"/>
      <c r="E29" s="63"/>
      <c r="F29" s="63"/>
      <c r="G29" s="66"/>
      <c r="H29" s="66"/>
      <c r="I29" s="66"/>
      <c r="J29" s="66"/>
      <c r="K29" s="144">
        <f>IF('FS7'!C29="",0,'FS7'!C29)</f>
        <v>0</v>
      </c>
      <c r="L29" s="12">
        <f>B29+D29</f>
        <v>0</v>
      </c>
      <c r="M29" s="63"/>
      <c r="N29" s="37">
        <f t="shared" si="1"/>
        <v>0</v>
      </c>
      <c r="O29" s="40"/>
      <c r="P29" s="40"/>
      <c r="Q29" s="40"/>
      <c r="R29" s="40"/>
      <c r="S29" s="40"/>
      <c r="T29" s="40"/>
      <c r="U29" s="40"/>
      <c r="V29" s="40"/>
      <c r="W29" s="40"/>
      <c r="X29" s="40"/>
      <c r="Y29" s="40"/>
      <c r="Z29" s="40"/>
      <c r="AA29" s="40"/>
      <c r="AB29" s="40"/>
      <c r="AC29" s="40"/>
      <c r="AD29" s="40"/>
      <c r="AE29" s="40"/>
      <c r="AF29" s="40"/>
      <c r="AG29" s="40"/>
      <c r="AH29" s="40"/>
      <c r="AI29" s="40"/>
      <c r="AJ29" s="89"/>
      <c r="AK29" s="38"/>
      <c r="AL29" s="89"/>
      <c r="AM29" s="89"/>
      <c r="AN29" s="89"/>
      <c r="AO29" s="89"/>
      <c r="AP29" s="38"/>
      <c r="AQ29" s="38"/>
      <c r="AR29" s="38"/>
      <c r="AS29" s="38"/>
      <c r="AT29" s="38"/>
      <c r="AU29" s="38"/>
      <c r="AV29" s="38"/>
      <c r="AW29" s="38"/>
      <c r="AX29" s="38"/>
      <c r="AY29" s="38"/>
      <c r="AZ29" s="38"/>
    </row>
    <row r="30" spans="1:52" ht="18.75" customHeight="1" thickBot="1">
      <c r="A30" s="186" t="s">
        <v>315</v>
      </c>
      <c r="B30" s="64"/>
      <c r="C30" s="64"/>
      <c r="D30" s="64"/>
      <c r="E30" s="64"/>
      <c r="F30" s="64"/>
      <c r="G30" s="64"/>
      <c r="H30" s="64"/>
      <c r="I30" s="64"/>
      <c r="J30" s="64"/>
      <c r="K30" s="187">
        <f>IF('FS7'!C30="",0,'FS7'!C30)</f>
        <v>0</v>
      </c>
      <c r="L30" s="54">
        <f t="shared" si="0"/>
        <v>0</v>
      </c>
      <c r="M30" s="64"/>
      <c r="N30" s="55">
        <f t="shared" si="1"/>
        <v>0</v>
      </c>
      <c r="O30" s="40"/>
      <c r="P30" s="40"/>
      <c r="Q30" s="40"/>
      <c r="R30" s="40"/>
      <c r="S30" s="40"/>
      <c r="T30" s="40"/>
      <c r="U30" s="40"/>
      <c r="V30" s="40"/>
      <c r="W30" s="40"/>
      <c r="X30" s="40"/>
      <c r="Y30" s="40"/>
      <c r="Z30" s="40"/>
      <c r="AA30" s="40"/>
      <c r="AB30" s="40"/>
      <c r="AC30" s="40"/>
      <c r="AD30" s="40"/>
      <c r="AE30" s="40"/>
      <c r="AF30" s="40"/>
      <c r="AG30" s="40"/>
      <c r="AH30" s="40"/>
      <c r="AI30" s="40"/>
      <c r="AJ30" s="89"/>
      <c r="AK30" s="38"/>
      <c r="AL30" s="89"/>
      <c r="AM30" s="89"/>
      <c r="AN30" s="89"/>
      <c r="AO30" s="89"/>
      <c r="AP30" s="38"/>
      <c r="AQ30" s="38"/>
      <c r="AR30" s="38"/>
      <c r="AS30" s="38"/>
      <c r="AT30" s="38"/>
      <c r="AU30" s="38"/>
      <c r="AV30" s="38"/>
      <c r="AW30" s="38"/>
      <c r="AX30" s="38"/>
      <c r="AY30" s="38"/>
      <c r="AZ30" s="38"/>
    </row>
    <row r="31" spans="1:52" ht="18.75" customHeight="1" thickBot="1">
      <c r="A31" s="186" t="s">
        <v>316</v>
      </c>
      <c r="B31" s="93"/>
      <c r="C31" s="93"/>
      <c r="D31" s="93"/>
      <c r="E31" s="93"/>
      <c r="F31" s="93"/>
      <c r="G31" s="93"/>
      <c r="H31" s="93"/>
      <c r="I31" s="93"/>
      <c r="J31" s="93"/>
      <c r="K31" s="145">
        <f>IF('FS7'!C31="",0,'FS7'!C31)</f>
        <v>0</v>
      </c>
      <c r="L31" s="96">
        <f t="shared" si="0"/>
        <v>0</v>
      </c>
      <c r="M31" s="93"/>
      <c r="N31" s="96">
        <f t="shared" si="1"/>
        <v>0</v>
      </c>
      <c r="O31" s="40"/>
      <c r="P31" s="40"/>
      <c r="Q31" s="40"/>
      <c r="R31" s="40"/>
      <c r="S31" s="40"/>
      <c r="T31" s="40"/>
      <c r="U31" s="40"/>
      <c r="V31" s="40"/>
      <c r="W31" s="40"/>
      <c r="X31" s="40"/>
      <c r="Y31" s="40"/>
      <c r="Z31" s="40"/>
      <c r="AA31" s="40"/>
      <c r="AB31" s="40"/>
      <c r="AC31" s="40"/>
      <c r="AD31" s="40"/>
      <c r="AE31" s="40"/>
      <c r="AF31" s="40"/>
      <c r="AG31" s="40"/>
      <c r="AH31" s="40"/>
      <c r="AI31" s="40"/>
      <c r="AJ31" s="89"/>
      <c r="AK31" s="38"/>
      <c r="AL31" s="89"/>
      <c r="AM31" s="89"/>
      <c r="AN31" s="89"/>
      <c r="AO31" s="89"/>
      <c r="AP31" s="38"/>
      <c r="AQ31" s="38"/>
      <c r="AR31" s="38"/>
      <c r="AS31" s="38"/>
      <c r="AT31" s="38"/>
      <c r="AU31" s="38"/>
      <c r="AV31" s="38"/>
      <c r="AW31" s="38"/>
      <c r="AX31" s="38"/>
      <c r="AY31" s="38"/>
      <c r="AZ31" s="38"/>
    </row>
    <row r="32" spans="1:52" ht="18.75" customHeight="1" thickBot="1">
      <c r="A32" s="120" t="s">
        <v>317</v>
      </c>
      <c r="B32" s="91">
        <f>SUM(B11:B31)</f>
        <v>0</v>
      </c>
      <c r="C32" s="91">
        <f t="shared" ref="C32:N32" si="2">SUM(C11:C31)</f>
        <v>0</v>
      </c>
      <c r="D32" s="91">
        <f t="shared" si="2"/>
        <v>0</v>
      </c>
      <c r="E32" s="91">
        <f t="shared" si="2"/>
        <v>0</v>
      </c>
      <c r="F32" s="91">
        <f t="shared" si="2"/>
        <v>0</v>
      </c>
      <c r="G32" s="91">
        <f t="shared" si="2"/>
        <v>0</v>
      </c>
      <c r="H32" s="91">
        <f t="shared" si="2"/>
        <v>0</v>
      </c>
      <c r="I32" s="91">
        <f t="shared" si="2"/>
        <v>0</v>
      </c>
      <c r="J32" s="91">
        <f t="shared" si="2"/>
        <v>0</v>
      </c>
      <c r="K32" s="91">
        <f>SUM(K11:K31)</f>
        <v>0</v>
      </c>
      <c r="L32" s="91">
        <f t="shared" si="2"/>
        <v>0</v>
      </c>
      <c r="M32" s="91">
        <f t="shared" si="2"/>
        <v>0</v>
      </c>
      <c r="N32" s="91">
        <f t="shared" si="2"/>
        <v>0</v>
      </c>
      <c r="O32" s="40"/>
      <c r="P32" s="40"/>
      <c r="Q32" s="40"/>
      <c r="R32" s="40"/>
      <c r="S32" s="40"/>
      <c r="T32" s="40"/>
      <c r="U32" s="40"/>
      <c r="V32" s="40"/>
      <c r="W32" s="40"/>
      <c r="X32" s="40"/>
      <c r="Y32" s="40"/>
      <c r="Z32" s="40"/>
      <c r="AA32" s="40"/>
      <c r="AB32" s="40"/>
      <c r="AC32" s="40"/>
      <c r="AD32" s="40"/>
      <c r="AE32" s="40"/>
      <c r="AF32" s="40"/>
      <c r="AG32" s="40"/>
      <c r="AH32" s="40"/>
      <c r="AI32" s="40"/>
      <c r="AJ32" s="89"/>
      <c r="AK32" s="38"/>
      <c r="AL32" s="89"/>
      <c r="AM32" s="89"/>
      <c r="AN32" s="89"/>
      <c r="AO32" s="89"/>
      <c r="AP32" s="38"/>
      <c r="AQ32" s="38"/>
      <c r="AR32" s="38"/>
      <c r="AS32" s="38"/>
      <c r="AT32" s="38"/>
      <c r="AU32" s="38"/>
      <c r="AV32" s="38"/>
      <c r="AW32" s="38"/>
      <c r="AX32" s="38"/>
      <c r="AY32" s="38"/>
      <c r="AZ32" s="38"/>
    </row>
    <row r="33" spans="1:52" ht="6.75" customHeight="1">
      <c r="A33" s="87"/>
      <c r="B33" s="88"/>
      <c r="C33" s="88"/>
      <c r="D33" s="88"/>
      <c r="E33" s="88"/>
      <c r="F33" s="88"/>
      <c r="G33" s="88"/>
      <c r="H33" s="88"/>
      <c r="I33" s="88"/>
      <c r="J33" s="88"/>
      <c r="K33" s="88"/>
      <c r="L33" s="88"/>
      <c r="M33" s="88"/>
      <c r="N33" s="88"/>
      <c r="O33" s="40"/>
      <c r="P33" s="40"/>
      <c r="Q33" s="40"/>
      <c r="R33" s="40"/>
      <c r="S33" s="40"/>
      <c r="T33" s="40"/>
      <c r="U33" s="40"/>
      <c r="V33" s="40"/>
      <c r="W33" s="40"/>
      <c r="X33" s="40"/>
      <c r="Y33" s="40"/>
      <c r="Z33" s="40"/>
      <c r="AA33" s="40"/>
      <c r="AB33" s="40"/>
      <c r="AC33" s="40"/>
      <c r="AD33" s="40"/>
      <c r="AE33" s="40"/>
      <c r="AF33" s="40"/>
      <c r="AG33" s="40"/>
      <c r="AH33" s="40"/>
      <c r="AI33" s="40"/>
      <c r="AJ33" s="89"/>
      <c r="AK33" s="38"/>
      <c r="AL33" s="89"/>
      <c r="AM33" s="89"/>
      <c r="AN33" s="89"/>
      <c r="AO33" s="89"/>
      <c r="AP33" s="38"/>
      <c r="AQ33" s="38"/>
      <c r="AR33" s="38"/>
      <c r="AS33" s="38"/>
      <c r="AT33" s="38"/>
      <c r="AU33" s="38"/>
      <c r="AV33" s="38"/>
      <c r="AW33" s="38"/>
      <c r="AX33" s="38"/>
      <c r="AY33" s="38"/>
      <c r="AZ33" s="38"/>
    </row>
    <row r="34" spans="1:52" ht="15.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c r="AF34" s="40"/>
      <c r="AG34" s="40"/>
      <c r="AH34" s="40"/>
      <c r="AI34" s="40"/>
      <c r="AJ34" s="89"/>
      <c r="AK34" s="38"/>
      <c r="AL34" s="89"/>
      <c r="AM34" s="89"/>
      <c r="AN34" s="89"/>
      <c r="AO34" s="89"/>
      <c r="AP34" s="38"/>
      <c r="AQ34" s="38"/>
      <c r="AR34" s="38"/>
      <c r="AS34" s="38"/>
      <c r="AT34" s="38"/>
      <c r="AU34" s="38"/>
      <c r="AV34" s="38"/>
      <c r="AW34" s="38"/>
      <c r="AX34" s="38"/>
      <c r="AY34" s="38"/>
      <c r="AZ34" s="38"/>
    </row>
    <row r="35" spans="1:52" ht="12.6"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89"/>
      <c r="AK35" s="38"/>
      <c r="AL35" s="89"/>
      <c r="AM35" s="89"/>
      <c r="AN35" s="89"/>
      <c r="AO35" s="89"/>
      <c r="AP35" s="38"/>
      <c r="AQ35" s="38"/>
      <c r="AR35" s="38"/>
      <c r="AS35" s="38"/>
      <c r="AT35" s="38"/>
      <c r="AU35" s="38"/>
      <c r="AV35" s="38"/>
      <c r="AW35" s="38"/>
      <c r="AX35" s="38"/>
      <c r="AY35" s="38"/>
      <c r="AZ35" s="38"/>
    </row>
    <row r="36" spans="1:52" ht="21.75" customHeight="1" thickBot="1">
      <c r="A36" s="40"/>
      <c r="B36" s="260" t="s">
        <v>336</v>
      </c>
      <c r="C36" s="261"/>
      <c r="D36" s="261"/>
      <c r="E36" s="261"/>
      <c r="F36" s="261"/>
      <c r="G36" s="261"/>
      <c r="H36" s="261"/>
      <c r="I36" s="261"/>
      <c r="J36" s="261"/>
      <c r="K36" s="261"/>
      <c r="L36" s="261"/>
      <c r="M36" s="261"/>
      <c r="N36" s="262"/>
      <c r="O36" s="40"/>
      <c r="P36" s="40"/>
      <c r="Q36" s="40"/>
      <c r="R36" s="40"/>
      <c r="S36" s="40"/>
      <c r="T36" s="40"/>
      <c r="U36" s="40"/>
      <c r="V36" s="40"/>
      <c r="W36" s="40"/>
      <c r="X36" s="40"/>
      <c r="Y36" s="40"/>
      <c r="Z36" s="40"/>
      <c r="AA36" s="40"/>
      <c r="AB36" s="40"/>
      <c r="AC36" s="40"/>
      <c r="AD36" s="40"/>
      <c r="AE36" s="40"/>
      <c r="AF36" s="40"/>
      <c r="AG36" s="40"/>
      <c r="AH36" s="40"/>
      <c r="AI36" s="40"/>
      <c r="AJ36" s="89"/>
      <c r="AK36" s="38"/>
      <c r="AL36" s="89"/>
      <c r="AM36" s="89"/>
      <c r="AN36" s="89"/>
      <c r="AO36" s="89"/>
      <c r="AP36" s="38"/>
      <c r="AQ36" s="38"/>
      <c r="AR36" s="38"/>
      <c r="AS36" s="38"/>
      <c r="AT36" s="38"/>
      <c r="AU36" s="38"/>
      <c r="AV36" s="38"/>
      <c r="AW36" s="38"/>
      <c r="AX36" s="38"/>
      <c r="AY36" s="38"/>
      <c r="AZ36" s="38"/>
    </row>
    <row r="37" spans="1:52" ht="59.1" customHeight="1" thickBot="1">
      <c r="A37" s="40"/>
      <c r="B37" s="245"/>
      <c r="C37" s="246"/>
      <c r="D37" s="246"/>
      <c r="E37" s="246"/>
      <c r="F37" s="246"/>
      <c r="G37" s="246"/>
      <c r="H37" s="246"/>
      <c r="I37" s="246"/>
      <c r="J37" s="246"/>
      <c r="K37" s="246"/>
      <c r="L37" s="246"/>
      <c r="M37" s="246"/>
      <c r="N37" s="247"/>
      <c r="O37" s="40"/>
      <c r="P37" s="40"/>
      <c r="Q37" s="40"/>
      <c r="R37" s="40"/>
      <c r="S37" s="40"/>
      <c r="T37" s="40"/>
      <c r="U37" s="40"/>
      <c r="V37" s="40"/>
      <c r="W37" s="40"/>
      <c r="X37" s="40"/>
      <c r="Y37" s="40"/>
      <c r="Z37" s="40"/>
      <c r="AA37" s="40"/>
      <c r="AB37" s="40"/>
      <c r="AC37" s="40"/>
      <c r="AD37" s="40"/>
      <c r="AE37" s="40"/>
      <c r="AF37" s="40"/>
      <c r="AG37" s="40"/>
      <c r="AH37" s="40"/>
      <c r="AI37" s="40"/>
      <c r="AJ37" s="40"/>
      <c r="AL37" s="40"/>
      <c r="AM37" s="40"/>
      <c r="AN37" s="40"/>
      <c r="AO37" s="40"/>
    </row>
    <row r="38" spans="1:52" ht="24" customHeight="1">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L38" s="40"/>
      <c r="AM38" s="40"/>
      <c r="AN38" s="40"/>
      <c r="AO38" s="40"/>
    </row>
    <row r="39" spans="1:52">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L39" s="40"/>
      <c r="AM39" s="40"/>
      <c r="AN39" s="40"/>
      <c r="AO39" s="40"/>
    </row>
    <row r="40" spans="1:52" ht="10.5" customHeight="1">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L40" s="40"/>
      <c r="AM40" s="40"/>
      <c r="AN40" s="40"/>
      <c r="AO40" s="40"/>
    </row>
    <row r="41" spans="1:52">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L41" s="40"/>
      <c r="AM41" s="40"/>
      <c r="AN41" s="40"/>
      <c r="AO41" s="40"/>
    </row>
    <row r="42" spans="1:52">
      <c r="A42" s="188"/>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L42" s="40"/>
      <c r="AM42" s="40"/>
      <c r="AN42" s="40"/>
      <c r="AO42" s="40"/>
    </row>
    <row r="43" spans="1:52">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L43" s="40"/>
      <c r="AM43" s="40"/>
      <c r="AN43" s="40"/>
      <c r="AO43" s="40"/>
    </row>
    <row r="44" spans="1:52">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L44" s="40"/>
      <c r="AM44" s="40"/>
      <c r="AN44" s="40"/>
      <c r="AO44" s="40"/>
    </row>
    <row r="45" spans="1:52">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L45" s="40"/>
      <c r="AM45" s="40"/>
      <c r="AN45" s="40"/>
      <c r="AO45" s="40"/>
    </row>
    <row r="46" spans="1:52">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L46" s="40"/>
      <c r="AM46" s="40"/>
      <c r="AN46" s="40"/>
      <c r="AO46" s="40"/>
    </row>
    <row r="47" spans="1:52">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L47" s="40"/>
      <c r="AM47" s="40"/>
      <c r="AN47" s="40"/>
      <c r="AO47" s="40"/>
    </row>
    <row r="48" spans="1:52">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L48" s="40"/>
      <c r="AM48" s="40"/>
      <c r="AN48" s="40"/>
      <c r="AO48" s="40"/>
    </row>
    <row r="49" spans="1:41">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L49" s="40"/>
      <c r="AM49" s="40"/>
      <c r="AN49" s="40"/>
      <c r="AO49" s="40"/>
    </row>
    <row r="50" spans="1:41">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L50" s="40"/>
      <c r="AM50" s="40"/>
      <c r="AN50" s="40"/>
      <c r="AO50" s="40"/>
    </row>
    <row r="51" spans="1:4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L51" s="40"/>
      <c r="AM51" s="40"/>
      <c r="AN51" s="40"/>
      <c r="AO51" s="40"/>
    </row>
    <row r="52" spans="1:41">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L52" s="40"/>
      <c r="AM52" s="40"/>
      <c r="AN52" s="40"/>
      <c r="AO52" s="40"/>
    </row>
    <row r="53" spans="1:41">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L53" s="40"/>
      <c r="AM53" s="40"/>
      <c r="AN53" s="40"/>
      <c r="AO53" s="40"/>
    </row>
    <row r="54" spans="1:41">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L54" s="40"/>
      <c r="AM54" s="40"/>
      <c r="AN54" s="40"/>
      <c r="AO54" s="40"/>
    </row>
    <row r="55" spans="1:41">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L55" s="40"/>
      <c r="AM55" s="40"/>
      <c r="AN55" s="40"/>
      <c r="AO55" s="40"/>
    </row>
    <row r="56" spans="1:41">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L56" s="40"/>
      <c r="AM56" s="40"/>
      <c r="AN56" s="40"/>
      <c r="AO56" s="40"/>
    </row>
    <row r="57" spans="1:41">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L57" s="40"/>
      <c r="AM57" s="40"/>
      <c r="AN57" s="40"/>
      <c r="AO57" s="40"/>
    </row>
    <row r="58" spans="1:41">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L58" s="40"/>
      <c r="AM58" s="40"/>
      <c r="AN58" s="40"/>
      <c r="AO58" s="40"/>
    </row>
    <row r="59" spans="1:41">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L59" s="40"/>
      <c r="AM59" s="40"/>
      <c r="AN59" s="40"/>
      <c r="AO59" s="40"/>
    </row>
    <row r="60" spans="1:41">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L60" s="40"/>
      <c r="AM60" s="40"/>
      <c r="AN60" s="40"/>
      <c r="AO60" s="40"/>
    </row>
    <row r="61" spans="1:4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L61" s="40"/>
      <c r="AM61" s="40"/>
      <c r="AN61" s="40"/>
      <c r="AO61" s="40"/>
    </row>
    <row r="62" spans="1:41">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L62" s="40"/>
      <c r="AM62" s="40"/>
      <c r="AN62" s="40"/>
      <c r="AO62" s="40"/>
    </row>
    <row r="63" spans="1:41">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L63" s="40"/>
      <c r="AM63" s="40"/>
      <c r="AN63" s="40"/>
      <c r="AO63" s="40"/>
    </row>
    <row r="64" spans="1:41">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L64" s="40"/>
      <c r="AM64" s="40"/>
      <c r="AN64" s="40"/>
      <c r="AO64" s="40"/>
    </row>
    <row r="65" spans="1:41">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L65" s="40"/>
      <c r="AM65" s="40"/>
      <c r="AN65" s="40"/>
      <c r="AO65" s="40"/>
    </row>
    <row r="66" spans="1:41">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L66" s="40"/>
      <c r="AM66" s="40"/>
      <c r="AN66" s="40"/>
      <c r="AO66" s="40"/>
    </row>
  </sheetData>
  <sheetProtection selectLockedCells="1"/>
  <dataConsolidate/>
  <mergeCells count="7">
    <mergeCell ref="R8:R9"/>
    <mergeCell ref="B37:N37"/>
    <mergeCell ref="C3:N4"/>
    <mergeCell ref="A7:N7"/>
    <mergeCell ref="A8:N8"/>
    <mergeCell ref="A9:N9"/>
    <mergeCell ref="B36:N36"/>
  </mergeCells>
  <dataValidations count="6">
    <dataValidation type="whole" errorStyle="warning" allowBlank="1" showInputMessage="1" showErrorMessage="1" error="The value you have entered is either not a positive whole number or is excessively high." sqref="B32:J32 M32" xr:uid="{AF902567-CA5E-4B00-9660-830B8B2545A1}">
      <formula1>0</formula1>
      <formula2>10000</formula2>
    </dataValidation>
    <dataValidation errorStyle="warning" operator="lessThanOrEqual" allowBlank="1" showInputMessage="1" showErrorMessage="1" errorTitle="Large or non numeric value" error="The value is either very large or non numeric, is this correct?" sqref="K11:L31 N11:N31" xr:uid="{23B0870A-AE06-4BE0-AD1A-297B3C9971E3}"/>
    <dataValidation type="decimal" errorStyle="warning" operator="greaterThanOrEqual" allowBlank="1" showInputMessage="1" showErrorMessage="1" error="The figure inputted must be a positive number." prompt="Please only populate this row if you are unable to provide the more detailed breakdown in rows 16, 17 &amp; 18. If you do populate this row please leave rows 16, 17 &amp; 18 blank." sqref="C18 E18" xr:uid="{E9F9E67E-27C1-4D63-A232-4F71F4C09316}">
      <formula1>0</formula1>
    </dataValidation>
    <dataValidation type="whole" errorStyle="warning" allowBlank="1" showInputMessage="1" showErrorMessage="1" error="The figure inputted is either unexpectedly large or not a positive whole number." sqref="B11:B17 B19:B31 D11:D17 D19:D31 F11:J17 F19:J31 M11:M17 M19:M31" xr:uid="{58651663-6609-432E-8323-ECADCC30F52A}">
      <formula1>0</formula1>
      <formula2>30000</formula2>
    </dataValidation>
    <dataValidation type="decimal" errorStyle="warning" operator="greaterThanOrEqual" allowBlank="1" showInputMessage="1" showErrorMessage="1" error="The figure inputted must be a positive number." sqref="C11:C17 C19:C31 E11:E17 E19:E31" xr:uid="{D11353C5-4D93-4407-9CC7-3BF2A24CCE3A}">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 D18 F18:J18 M18" xr:uid="{79C5E85B-5836-4F23-92BB-915DC3143E11}">
      <formula1>0</formula1>
      <formula2>30000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1"/>
  <headerFooter alignWithMargins="0">
    <oddHeader>&amp;LAnnual Returns 2016-17&amp;C&amp;"Aptos"&amp;10&amp;K000000 OFFICIAL&amp;1#_x000D_&amp;RFS1 - Fire Safety Audits and Outcomes&amp;LAnnual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8B63BC0C-79DA-4517-A2B5-DECBF321FBE5}">
            <xm:f>IF(AND(B32&lt;'FS1 PY'!B32-'QA check thresholds'!$A$4,B32&lt;'FS1 PY'!B32*'QA check thresholds'!$C$2),TRUE,FALSE)</xm:f>
            <x14:dxf>
              <font>
                <b/>
                <i val="0"/>
                <color rgb="FFFF0000"/>
              </font>
              <fill>
                <patternFill>
                  <bgColor rgb="FFFFC000"/>
                </patternFill>
              </fill>
            </x14:dxf>
          </x14:cfRule>
          <x14:cfRule type="expression" priority="8" id="{908DEF10-CB50-4A94-99E1-02CD2BC8623B}">
            <xm:f>IF(AND(B32&gt;'FS1 PY'!B32+'QA check thresholds'!$A$4,B32&gt;'FS1 PY'!B32*'QA check thresholds'!$C$3),TRUE,FALSE)</xm:f>
            <x14:dxf>
              <font>
                <b/>
                <i val="0"/>
                <color rgb="FFFF0000"/>
              </font>
              <fill>
                <patternFill>
                  <bgColor rgb="FFFFC000"/>
                </patternFill>
              </fill>
            </x14:dxf>
          </x14:cfRule>
          <xm:sqref>B32 D32 L32 N32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F222D-A3AF-41CA-9E20-D8347393B955}">
  <sheetPr codeName="Sheet5">
    <tabColor theme="0" tint="-0.499984740745262"/>
  </sheetPr>
  <dimension ref="A1:F1"/>
  <sheetViews>
    <sheetView workbookViewId="0">
      <selection activeCell="E18" sqref="E18"/>
    </sheetView>
  </sheetViews>
  <sheetFormatPr defaultRowHeight="12.75"/>
  <cols>
    <col min="4" max="4" width="50.140625" bestFit="1" customWidth="1"/>
    <col min="5" max="5" width="36.28515625" bestFit="1" customWidth="1"/>
  </cols>
  <sheetData>
    <row r="1" spans="1:6">
      <c r="A1" t="s">
        <v>318</v>
      </c>
      <c r="B1" t="s">
        <v>319</v>
      </c>
      <c r="C1" t="s">
        <v>320</v>
      </c>
      <c r="D1" t="s">
        <v>337</v>
      </c>
      <c r="E1" t="s">
        <v>321</v>
      </c>
      <c r="F1" t="s">
        <v>322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730BB-5F80-46DC-BA44-2507677F0A74}">
  <sheetPr codeName="Sheet6">
    <tabColor rgb="FFFF0000"/>
  </sheetPr>
  <dimension ref="A4:L33"/>
  <sheetViews>
    <sheetView workbookViewId="0">
      <selection activeCell="B11" sqref="B11"/>
    </sheetView>
  </sheetViews>
  <sheetFormatPr defaultRowHeight="12.75"/>
  <cols>
    <col min="1" max="1" width="33" bestFit="1" customWidth="1"/>
    <col min="2" max="2" width="14.85546875" bestFit="1" customWidth="1"/>
  </cols>
  <sheetData>
    <row r="4" spans="1:12">
      <c r="D4" s="138" t="s">
        <v>7</v>
      </c>
      <c r="E4" s="139" t="str">
        <f>VLOOKUP(Cover!A6,Cover!B319:E325,3,FALSE)</f>
        <v>2024/25</v>
      </c>
      <c r="F4" s="140" t="str">
        <f>Cover!A10</f>
        <v>Shropshire</v>
      </c>
    </row>
    <row r="10" spans="1:12">
      <c r="B10" t="s">
        <v>338</v>
      </c>
      <c r="C10" t="s">
        <v>339</v>
      </c>
      <c r="D10" t="s">
        <v>340</v>
      </c>
      <c r="E10" t="s">
        <v>341</v>
      </c>
      <c r="F10" t="s">
        <v>342</v>
      </c>
      <c r="G10" t="s">
        <v>343</v>
      </c>
      <c r="H10" t="s">
        <v>344</v>
      </c>
      <c r="I10" t="s">
        <v>345</v>
      </c>
      <c r="J10" t="s">
        <v>346</v>
      </c>
      <c r="K10" t="s">
        <v>342</v>
      </c>
      <c r="L10" t="s">
        <v>347</v>
      </c>
    </row>
    <row r="11" spans="1:12">
      <c r="A11" t="s">
        <v>296</v>
      </c>
      <c r="B11" cm="1">
        <f t="array" ref="B11">SUMPRODUCT(('FS2 - PY data'!$A$2:$A$10000=$D$4)*('FS2 - PY data'!$B$2:$B$10000=$E$4)*('FS2 - PY data'!$C$2:$C$10000=$F$4)*('FS2 - PY data'!$D$2:$D$10000=$A11)*('FS2 - PY data'!$E$2:$E$10000=B$10)*('FS2 - PY data'!$F$2:$F$10000))</f>
        <v>0</v>
      </c>
      <c r="C11" cm="1">
        <f t="array" ref="C11">SUMPRODUCT(('FS2 - PY data'!$A$2:$A$10000=$D$4)*('FS2 - PY data'!$B$2:$B$10000=$E$4)*('FS2 - PY data'!$C$2:$C$10000=$F$4)*('FS2 - PY data'!$D$2:$D$10000=$A11)*('FS2 - PY data'!$E$2:$E$10000=C$10)*('FS2 - PY data'!$F$2:$F$10000))</f>
        <v>0</v>
      </c>
      <c r="D11" cm="1">
        <f t="array" ref="D11">SUMPRODUCT(('FS2 - PY data'!$A$2:$A$10000=$D$4)*('FS2 - PY data'!$B$2:$B$10000=$E$4)*('FS2 - PY data'!$C$2:$C$10000=$F$4)*('FS2 - PY data'!$D$2:$D$10000=$A11)*('FS2 - PY data'!$E$2:$E$10000=D$10)*('FS2 - PY data'!$F$2:$F$10000))</f>
        <v>0</v>
      </c>
      <c r="E11" cm="1">
        <f t="array" ref="E11">SUMPRODUCT(('FS2 - PY data'!$A$2:$A$10000=$D$4)*('FS2 - PY data'!$B$2:$B$10000=$E$4)*('FS2 - PY data'!$C$2:$C$10000=$F$4)*('FS2 - PY data'!$D$2:$D$10000=$A11)*('FS2 - PY data'!$E$2:$E$10000=E$10)*('FS2 - PY data'!$F$2:$F$10000))</f>
        <v>0</v>
      </c>
      <c r="F11" cm="1">
        <f t="array" ref="F11">SUMPRODUCT(('FS2 - PY data'!$A$2:$A$10000=$D$4)*('FS2 - PY data'!$B$2:$B$10000=$E$4)*('FS2 - PY data'!$C$2:$C$10000=$F$4)*('FS2 - PY data'!$D$2:$D$10000=$A11)*('FS2 - PY data'!$E$2:$E$10000=F$10)*('FS2 - PY data'!$F$2:$F$10000))</f>
        <v>0</v>
      </c>
      <c r="G11" cm="1">
        <f t="array" ref="G11">SUMPRODUCT(('FS2 - PY data'!$A$2:$A$10000=$D$4)*('FS2 - PY data'!$B$2:$B$10000=$E$4)*('FS2 - PY data'!$C$2:$C$10000=$F$4)*('FS2 - PY data'!$D$2:$D$10000=$A11)*('FS2 - PY data'!$E$2:$E$10000=G$10)*('FS2 - PY data'!$F$2:$F$10000))</f>
        <v>0</v>
      </c>
      <c r="H11" cm="1">
        <f t="array" ref="H11">SUMPRODUCT(('FS2 - PY data'!$A$2:$A$10000=$D$4)*('FS2 - PY data'!$B$2:$B$10000=$E$4)*('FS2 - PY data'!$C$2:$C$10000=$F$4)*('FS2 - PY data'!$D$2:$D$10000=$A11)*('FS2 - PY data'!$E$2:$E$10000=H$10)*('FS2 - PY data'!$F$2:$F$10000))</f>
        <v>0</v>
      </c>
      <c r="I11" cm="1">
        <f t="array" ref="I11">SUMPRODUCT(('FS2 - PY data'!$A$2:$A$10000=$D$4)*('FS2 - PY data'!$B$2:$B$10000=$E$4)*('FS2 - PY data'!$C$2:$C$10000=$F$4)*('FS2 - PY data'!$D$2:$D$10000=$A11)*('FS2 - PY data'!$E$2:$E$10000=I$10)*('FS2 - PY data'!$F$2:$F$10000))</f>
        <v>0</v>
      </c>
      <c r="J11" cm="1">
        <f t="array" ref="J11">SUMPRODUCT(('FS2 - PY data'!$A$2:$A$10000=$D$4)*('FS2 - PY data'!$B$2:$B$10000=$E$4)*('FS2 - PY data'!$C$2:$C$10000=$F$4)*('FS2 - PY data'!$D$2:$D$10000=$A11)*('FS2 - PY data'!$E$2:$E$10000=J$10)*('FS2 - PY data'!$F$2:$F$10000))</f>
        <v>0</v>
      </c>
      <c r="K11" cm="1">
        <f t="array" ref="K11">SUMPRODUCT(('FS2 - PY data'!$A$2:$A$10000=$D$4)*('FS2 - PY data'!$B$2:$B$10000=$E$4)*('FS2 - PY data'!$C$2:$C$10000=$F$4)*('FS2 - PY data'!$D$2:$D$10000=$A11)*('FS2 - PY data'!$E$2:$E$10000=K$10)*('FS2 - PY data'!$F$2:$F$10000))</f>
        <v>0</v>
      </c>
      <c r="L11" cm="1">
        <f t="array" ref="L11">SUMPRODUCT(('FS2 - PY data'!$A$2:$A$10000=$D$4)*('FS2 - PY data'!$B$2:$B$10000=$E$4)*('FS2 - PY data'!$C$2:$C$10000=$F$4)*('FS2 - PY data'!$D$2:$D$10000=$A11)*('FS2 - PY data'!$E$2:$E$10000=L$10)*('FS2 - PY data'!$F$2:$F$10000))</f>
        <v>0</v>
      </c>
    </row>
    <row r="12" spans="1:12">
      <c r="A12" t="s">
        <v>297</v>
      </c>
      <c r="B12" cm="1">
        <f t="array" ref="B12">SUMPRODUCT(('FS2 - PY data'!$A$2:$A$10000=$D$4)*('FS2 - PY data'!$B$2:$B$10000=$E$4)*('FS2 - PY data'!$C$2:$C$10000=$F$4)*('FS2 - PY data'!$D$2:$D$10000=$A12)*('FS2 - PY data'!$E$2:$E$10000=B$10)*('FS2 - PY data'!$F$2:$F$10000))</f>
        <v>0</v>
      </c>
      <c r="C12" cm="1">
        <f t="array" ref="C12">SUMPRODUCT(('FS2 - PY data'!$A$2:$A$10000=$D$4)*('FS2 - PY data'!$B$2:$B$10000=$E$4)*('FS2 - PY data'!$C$2:$C$10000=$F$4)*('FS2 - PY data'!$D$2:$D$10000=$A12)*('FS2 - PY data'!$E$2:$E$10000=C$10)*('FS2 - PY data'!$F$2:$F$10000))</f>
        <v>0</v>
      </c>
      <c r="D12" cm="1">
        <f t="array" ref="D12">SUMPRODUCT(('FS2 - PY data'!$A$2:$A$10000=$D$4)*('FS2 - PY data'!$B$2:$B$10000=$E$4)*('FS2 - PY data'!$C$2:$C$10000=$F$4)*('FS2 - PY data'!$D$2:$D$10000=$A12)*('FS2 - PY data'!$E$2:$E$10000=D$10)*('FS2 - PY data'!$F$2:$F$10000))</f>
        <v>0</v>
      </c>
      <c r="E12" cm="1">
        <f t="array" ref="E12">SUMPRODUCT(('FS2 - PY data'!$A$2:$A$10000=$D$4)*('FS2 - PY data'!$B$2:$B$10000=$E$4)*('FS2 - PY data'!$C$2:$C$10000=$F$4)*('FS2 - PY data'!$D$2:$D$10000=$A12)*('FS2 - PY data'!$E$2:$E$10000=E$10)*('FS2 - PY data'!$F$2:$F$10000))</f>
        <v>0</v>
      </c>
      <c r="F12" cm="1">
        <f t="array" ref="F12">SUMPRODUCT(('FS2 - PY data'!$A$2:$A$10000=$D$4)*('FS2 - PY data'!$B$2:$B$10000=$E$4)*('FS2 - PY data'!$C$2:$C$10000=$F$4)*('FS2 - PY data'!$D$2:$D$10000=$A12)*('FS2 - PY data'!$E$2:$E$10000=F$10)*('FS2 - PY data'!$F$2:$F$10000))</f>
        <v>0</v>
      </c>
      <c r="G12" cm="1">
        <f t="array" ref="G12">SUMPRODUCT(('FS2 - PY data'!$A$2:$A$10000=$D$4)*('FS2 - PY data'!$B$2:$B$10000=$E$4)*('FS2 - PY data'!$C$2:$C$10000=$F$4)*('FS2 - PY data'!$D$2:$D$10000=$A12)*('FS2 - PY data'!$E$2:$E$10000=G$10)*('FS2 - PY data'!$F$2:$F$10000))</f>
        <v>0</v>
      </c>
      <c r="H12" cm="1">
        <f t="array" ref="H12">SUMPRODUCT(('FS2 - PY data'!$A$2:$A$10000=$D$4)*('FS2 - PY data'!$B$2:$B$10000=$E$4)*('FS2 - PY data'!$C$2:$C$10000=$F$4)*('FS2 - PY data'!$D$2:$D$10000=$A12)*('FS2 - PY data'!$E$2:$E$10000=H$10)*('FS2 - PY data'!$F$2:$F$10000))</f>
        <v>0</v>
      </c>
      <c r="I12" cm="1">
        <f t="array" ref="I12">SUMPRODUCT(('FS2 - PY data'!$A$2:$A$10000=$D$4)*('FS2 - PY data'!$B$2:$B$10000=$E$4)*('FS2 - PY data'!$C$2:$C$10000=$F$4)*('FS2 - PY data'!$D$2:$D$10000=$A12)*('FS2 - PY data'!$E$2:$E$10000=I$10)*('FS2 - PY data'!$F$2:$F$10000))</f>
        <v>0</v>
      </c>
      <c r="J12" cm="1">
        <f t="array" ref="J12">SUMPRODUCT(('FS2 - PY data'!$A$2:$A$10000=$D$4)*('FS2 - PY data'!$B$2:$B$10000=$E$4)*('FS2 - PY data'!$C$2:$C$10000=$F$4)*('FS2 - PY data'!$D$2:$D$10000=$A12)*('FS2 - PY data'!$E$2:$E$10000=J$10)*('FS2 - PY data'!$F$2:$F$10000))</f>
        <v>0</v>
      </c>
      <c r="K12" cm="1">
        <f t="array" ref="K12">SUMPRODUCT(('FS2 - PY data'!$A$2:$A$10000=$D$4)*('FS2 - PY data'!$B$2:$B$10000=$E$4)*('FS2 - PY data'!$C$2:$C$10000=$F$4)*('FS2 - PY data'!$D$2:$D$10000=$A12)*('FS2 - PY data'!$E$2:$E$10000=K$10)*('FS2 - PY data'!$F$2:$F$10000))</f>
        <v>0</v>
      </c>
      <c r="L12" cm="1">
        <f t="array" ref="L12">SUMPRODUCT(('FS2 - PY data'!$A$2:$A$10000=$D$4)*('FS2 - PY data'!$B$2:$B$10000=$E$4)*('FS2 - PY data'!$C$2:$C$10000=$F$4)*('FS2 - PY data'!$D$2:$D$10000=$A12)*('FS2 - PY data'!$E$2:$E$10000=L$10)*('FS2 - PY data'!$F$2:$F$10000))</f>
        <v>0</v>
      </c>
    </row>
    <row r="13" spans="1:12">
      <c r="A13" t="s">
        <v>348</v>
      </c>
      <c r="B13" cm="1">
        <f t="array" ref="B13">SUMPRODUCT(('FS2 - PY data'!$A$2:$A$10000=$D$4)*('FS2 - PY data'!$B$2:$B$10000=$E$4)*('FS2 - PY data'!$C$2:$C$10000=$F$4)*('FS2 - PY data'!$D$2:$D$10000=$A13)*('FS2 - PY data'!$E$2:$E$10000=B$10)*('FS2 - PY data'!$F$2:$F$10000))</f>
        <v>0</v>
      </c>
      <c r="C13" cm="1">
        <f t="array" ref="C13">SUMPRODUCT(('FS2 - PY data'!$A$2:$A$10000=$D$4)*('FS2 - PY data'!$B$2:$B$10000=$E$4)*('FS2 - PY data'!$C$2:$C$10000=$F$4)*('FS2 - PY data'!$D$2:$D$10000=$A13)*('FS2 - PY data'!$E$2:$E$10000=C$10)*('FS2 - PY data'!$F$2:$F$10000))</f>
        <v>0</v>
      </c>
      <c r="D13" cm="1">
        <f t="array" ref="D13">SUMPRODUCT(('FS2 - PY data'!$A$2:$A$10000=$D$4)*('FS2 - PY data'!$B$2:$B$10000=$E$4)*('FS2 - PY data'!$C$2:$C$10000=$F$4)*('FS2 - PY data'!$D$2:$D$10000=$A13)*('FS2 - PY data'!$E$2:$E$10000=D$10)*('FS2 - PY data'!$F$2:$F$10000))</f>
        <v>0</v>
      </c>
      <c r="E13" cm="1">
        <f t="array" ref="E13">SUMPRODUCT(('FS2 - PY data'!$A$2:$A$10000=$D$4)*('FS2 - PY data'!$B$2:$B$10000=$E$4)*('FS2 - PY data'!$C$2:$C$10000=$F$4)*('FS2 - PY data'!$D$2:$D$10000=$A13)*('FS2 - PY data'!$E$2:$E$10000=E$10)*('FS2 - PY data'!$F$2:$F$10000))</f>
        <v>0</v>
      </c>
      <c r="F13" cm="1">
        <f t="array" ref="F13">SUMPRODUCT(('FS2 - PY data'!$A$2:$A$10000=$D$4)*('FS2 - PY data'!$B$2:$B$10000=$E$4)*('FS2 - PY data'!$C$2:$C$10000=$F$4)*('FS2 - PY data'!$D$2:$D$10000=$A13)*('FS2 - PY data'!$E$2:$E$10000=F$10)*('FS2 - PY data'!$F$2:$F$10000))</f>
        <v>0</v>
      </c>
      <c r="G13" cm="1">
        <f t="array" ref="G13">SUMPRODUCT(('FS2 - PY data'!$A$2:$A$10000=$D$4)*('FS2 - PY data'!$B$2:$B$10000=$E$4)*('FS2 - PY data'!$C$2:$C$10000=$F$4)*('FS2 - PY data'!$D$2:$D$10000=$A13)*('FS2 - PY data'!$E$2:$E$10000=G$10)*('FS2 - PY data'!$F$2:$F$10000))</f>
        <v>0</v>
      </c>
      <c r="H13" cm="1">
        <f t="array" ref="H13">SUMPRODUCT(('FS2 - PY data'!$A$2:$A$10000=$D$4)*('FS2 - PY data'!$B$2:$B$10000=$E$4)*('FS2 - PY data'!$C$2:$C$10000=$F$4)*('FS2 - PY data'!$D$2:$D$10000=$A13)*('FS2 - PY data'!$E$2:$E$10000=H$10)*('FS2 - PY data'!$F$2:$F$10000))</f>
        <v>0</v>
      </c>
      <c r="I13" cm="1">
        <f t="array" ref="I13">SUMPRODUCT(('FS2 - PY data'!$A$2:$A$10000=$D$4)*('FS2 - PY data'!$B$2:$B$10000=$E$4)*('FS2 - PY data'!$C$2:$C$10000=$F$4)*('FS2 - PY data'!$D$2:$D$10000=$A13)*('FS2 - PY data'!$E$2:$E$10000=I$10)*('FS2 - PY data'!$F$2:$F$10000))</f>
        <v>0</v>
      </c>
      <c r="J13" cm="1">
        <f t="array" ref="J13">SUMPRODUCT(('FS2 - PY data'!$A$2:$A$10000=$D$4)*('FS2 - PY data'!$B$2:$B$10000=$E$4)*('FS2 - PY data'!$C$2:$C$10000=$F$4)*('FS2 - PY data'!$D$2:$D$10000=$A13)*('FS2 - PY data'!$E$2:$E$10000=J$10)*('FS2 - PY data'!$F$2:$F$10000))</f>
        <v>0</v>
      </c>
      <c r="K13" cm="1">
        <f t="array" ref="K13">SUMPRODUCT(('FS2 - PY data'!$A$2:$A$10000=$D$4)*('FS2 - PY data'!$B$2:$B$10000=$E$4)*('FS2 - PY data'!$C$2:$C$10000=$F$4)*('FS2 - PY data'!$D$2:$D$10000=$A13)*('FS2 - PY data'!$E$2:$E$10000=K$10)*('FS2 - PY data'!$F$2:$F$10000))</f>
        <v>0</v>
      </c>
      <c r="L13" cm="1">
        <f t="array" ref="L13">SUMPRODUCT(('FS2 - PY data'!$A$2:$A$10000=$D$4)*('FS2 - PY data'!$B$2:$B$10000=$E$4)*('FS2 - PY data'!$C$2:$C$10000=$F$4)*('FS2 - PY data'!$D$2:$D$10000=$A13)*('FS2 - PY data'!$E$2:$E$10000=L$10)*('FS2 - PY data'!$F$2:$F$10000))</f>
        <v>0</v>
      </c>
    </row>
    <row r="14" spans="1:12">
      <c r="A14" t="s">
        <v>349</v>
      </c>
      <c r="B14" cm="1">
        <f t="array" ref="B14">SUMPRODUCT(('FS2 - PY data'!$A$2:$A$10000=$D$4)*('FS2 - PY data'!$B$2:$B$10000=$E$4)*('FS2 - PY data'!$C$2:$C$10000=$F$4)*('FS2 - PY data'!$D$2:$D$10000=$A14)*('FS2 - PY data'!$E$2:$E$10000=B$10)*('FS2 - PY data'!$F$2:$F$10000))</f>
        <v>0</v>
      </c>
      <c r="C14" cm="1">
        <f t="array" ref="C14">SUMPRODUCT(('FS2 - PY data'!$A$2:$A$10000=$D$4)*('FS2 - PY data'!$B$2:$B$10000=$E$4)*('FS2 - PY data'!$C$2:$C$10000=$F$4)*('FS2 - PY data'!$D$2:$D$10000=$A14)*('FS2 - PY data'!$E$2:$E$10000=C$10)*('FS2 - PY data'!$F$2:$F$10000))</f>
        <v>0</v>
      </c>
      <c r="D14" cm="1">
        <f t="array" ref="D14">SUMPRODUCT(('FS2 - PY data'!$A$2:$A$10000=$D$4)*('FS2 - PY data'!$B$2:$B$10000=$E$4)*('FS2 - PY data'!$C$2:$C$10000=$F$4)*('FS2 - PY data'!$D$2:$D$10000=$A14)*('FS2 - PY data'!$E$2:$E$10000=D$10)*('FS2 - PY data'!$F$2:$F$10000))</f>
        <v>0</v>
      </c>
      <c r="E14" cm="1">
        <f t="array" ref="E14">SUMPRODUCT(('FS2 - PY data'!$A$2:$A$10000=$D$4)*('FS2 - PY data'!$B$2:$B$10000=$E$4)*('FS2 - PY data'!$C$2:$C$10000=$F$4)*('FS2 - PY data'!$D$2:$D$10000=$A14)*('FS2 - PY data'!$E$2:$E$10000=E$10)*('FS2 - PY data'!$F$2:$F$10000))</f>
        <v>0</v>
      </c>
      <c r="F14" cm="1">
        <f t="array" ref="F14">SUMPRODUCT(('FS2 - PY data'!$A$2:$A$10000=$D$4)*('FS2 - PY data'!$B$2:$B$10000=$E$4)*('FS2 - PY data'!$C$2:$C$10000=$F$4)*('FS2 - PY data'!$D$2:$D$10000=$A14)*('FS2 - PY data'!$E$2:$E$10000=F$10)*('FS2 - PY data'!$F$2:$F$10000))</f>
        <v>0</v>
      </c>
      <c r="G14" cm="1">
        <f t="array" ref="G14">SUMPRODUCT(('FS2 - PY data'!$A$2:$A$10000=$D$4)*('FS2 - PY data'!$B$2:$B$10000=$E$4)*('FS2 - PY data'!$C$2:$C$10000=$F$4)*('FS2 - PY data'!$D$2:$D$10000=$A14)*('FS2 - PY data'!$E$2:$E$10000=G$10)*('FS2 - PY data'!$F$2:$F$10000))</f>
        <v>0</v>
      </c>
      <c r="H14" cm="1">
        <f t="array" ref="H14">SUMPRODUCT(('FS2 - PY data'!$A$2:$A$10000=$D$4)*('FS2 - PY data'!$B$2:$B$10000=$E$4)*('FS2 - PY data'!$C$2:$C$10000=$F$4)*('FS2 - PY data'!$D$2:$D$10000=$A14)*('FS2 - PY data'!$E$2:$E$10000=H$10)*('FS2 - PY data'!$F$2:$F$10000))</f>
        <v>0</v>
      </c>
      <c r="I14" cm="1">
        <f t="array" ref="I14">SUMPRODUCT(('FS2 - PY data'!$A$2:$A$10000=$D$4)*('FS2 - PY data'!$B$2:$B$10000=$E$4)*('FS2 - PY data'!$C$2:$C$10000=$F$4)*('FS2 - PY data'!$D$2:$D$10000=$A14)*('FS2 - PY data'!$E$2:$E$10000=I$10)*('FS2 - PY data'!$F$2:$F$10000))</f>
        <v>0</v>
      </c>
      <c r="J14" cm="1">
        <f t="array" ref="J14">SUMPRODUCT(('FS2 - PY data'!$A$2:$A$10000=$D$4)*('FS2 - PY data'!$B$2:$B$10000=$E$4)*('FS2 - PY data'!$C$2:$C$10000=$F$4)*('FS2 - PY data'!$D$2:$D$10000=$A14)*('FS2 - PY data'!$E$2:$E$10000=J$10)*('FS2 - PY data'!$F$2:$F$10000))</f>
        <v>0</v>
      </c>
      <c r="K14" cm="1">
        <f t="array" ref="K14">SUMPRODUCT(('FS2 - PY data'!$A$2:$A$10000=$D$4)*('FS2 - PY data'!$B$2:$B$10000=$E$4)*('FS2 - PY data'!$C$2:$C$10000=$F$4)*('FS2 - PY data'!$D$2:$D$10000=$A14)*('FS2 - PY data'!$E$2:$E$10000=K$10)*('FS2 - PY data'!$F$2:$F$10000))</f>
        <v>0</v>
      </c>
      <c r="L14" cm="1">
        <f t="array" ref="L14">SUMPRODUCT(('FS2 - PY data'!$A$2:$A$10000=$D$4)*('FS2 - PY data'!$B$2:$B$10000=$E$4)*('FS2 - PY data'!$C$2:$C$10000=$F$4)*('FS2 - PY data'!$D$2:$D$10000=$A14)*('FS2 - PY data'!$E$2:$E$10000=L$10)*('FS2 - PY data'!$F$2:$F$10000))</f>
        <v>0</v>
      </c>
    </row>
    <row r="15" spans="1:12">
      <c r="A15" t="s">
        <v>350</v>
      </c>
      <c r="B15" cm="1">
        <f t="array" ref="B15">SUMPRODUCT(('FS2 - PY data'!$A$2:$A$10000=$D$4)*('FS2 - PY data'!$B$2:$B$10000=$E$4)*('FS2 - PY data'!$C$2:$C$10000=$F$4)*('FS2 - PY data'!$D$2:$D$10000=$A15)*('FS2 - PY data'!$E$2:$E$10000=B$10)*('FS2 - PY data'!$F$2:$F$10000))</f>
        <v>0</v>
      </c>
      <c r="C15" cm="1">
        <f t="array" ref="C15">SUMPRODUCT(('FS2 - PY data'!$A$2:$A$10000=$D$4)*('FS2 - PY data'!$B$2:$B$10000=$E$4)*('FS2 - PY data'!$C$2:$C$10000=$F$4)*('FS2 - PY data'!$D$2:$D$10000=$A15)*('FS2 - PY data'!$E$2:$E$10000=C$10)*('FS2 - PY data'!$F$2:$F$10000))</f>
        <v>0</v>
      </c>
      <c r="D15" cm="1">
        <f t="array" ref="D15">SUMPRODUCT(('FS2 - PY data'!$A$2:$A$10000=$D$4)*('FS2 - PY data'!$B$2:$B$10000=$E$4)*('FS2 - PY data'!$C$2:$C$10000=$F$4)*('FS2 - PY data'!$D$2:$D$10000=$A15)*('FS2 - PY data'!$E$2:$E$10000=D$10)*('FS2 - PY data'!$F$2:$F$10000))</f>
        <v>0</v>
      </c>
      <c r="E15" cm="1">
        <f t="array" ref="E15">SUMPRODUCT(('FS2 - PY data'!$A$2:$A$10000=$D$4)*('FS2 - PY data'!$B$2:$B$10000=$E$4)*('FS2 - PY data'!$C$2:$C$10000=$F$4)*('FS2 - PY data'!$D$2:$D$10000=$A15)*('FS2 - PY data'!$E$2:$E$10000=E$10)*('FS2 - PY data'!$F$2:$F$10000))</f>
        <v>0</v>
      </c>
      <c r="F15" cm="1">
        <f t="array" ref="F15">SUMPRODUCT(('FS2 - PY data'!$A$2:$A$10000=$D$4)*('FS2 - PY data'!$B$2:$B$10000=$E$4)*('FS2 - PY data'!$C$2:$C$10000=$F$4)*('FS2 - PY data'!$D$2:$D$10000=$A15)*('FS2 - PY data'!$E$2:$E$10000=F$10)*('FS2 - PY data'!$F$2:$F$10000))</f>
        <v>0</v>
      </c>
      <c r="G15" cm="1">
        <f t="array" ref="G15">SUMPRODUCT(('FS2 - PY data'!$A$2:$A$10000=$D$4)*('FS2 - PY data'!$B$2:$B$10000=$E$4)*('FS2 - PY data'!$C$2:$C$10000=$F$4)*('FS2 - PY data'!$D$2:$D$10000=$A15)*('FS2 - PY data'!$E$2:$E$10000=G$10)*('FS2 - PY data'!$F$2:$F$10000))</f>
        <v>0</v>
      </c>
      <c r="H15" cm="1">
        <f t="array" ref="H15">SUMPRODUCT(('FS2 - PY data'!$A$2:$A$10000=$D$4)*('FS2 - PY data'!$B$2:$B$10000=$E$4)*('FS2 - PY data'!$C$2:$C$10000=$F$4)*('FS2 - PY data'!$D$2:$D$10000=$A15)*('FS2 - PY data'!$E$2:$E$10000=H$10)*('FS2 - PY data'!$F$2:$F$10000))</f>
        <v>0</v>
      </c>
      <c r="I15" cm="1">
        <f t="array" ref="I15">SUMPRODUCT(('FS2 - PY data'!$A$2:$A$10000=$D$4)*('FS2 - PY data'!$B$2:$B$10000=$E$4)*('FS2 - PY data'!$C$2:$C$10000=$F$4)*('FS2 - PY data'!$D$2:$D$10000=$A15)*('FS2 - PY data'!$E$2:$E$10000=I$10)*('FS2 - PY data'!$F$2:$F$10000))</f>
        <v>0</v>
      </c>
      <c r="J15" cm="1">
        <f t="array" ref="J15">SUMPRODUCT(('FS2 - PY data'!$A$2:$A$10000=$D$4)*('FS2 - PY data'!$B$2:$B$10000=$E$4)*('FS2 - PY data'!$C$2:$C$10000=$F$4)*('FS2 - PY data'!$D$2:$D$10000=$A15)*('FS2 - PY data'!$E$2:$E$10000=J$10)*('FS2 - PY data'!$F$2:$F$10000))</f>
        <v>0</v>
      </c>
      <c r="K15" cm="1">
        <f t="array" ref="K15">SUMPRODUCT(('FS2 - PY data'!$A$2:$A$10000=$D$4)*('FS2 - PY data'!$B$2:$B$10000=$E$4)*('FS2 - PY data'!$C$2:$C$10000=$F$4)*('FS2 - PY data'!$D$2:$D$10000=$A15)*('FS2 - PY data'!$E$2:$E$10000=K$10)*('FS2 - PY data'!$F$2:$F$10000))</f>
        <v>0</v>
      </c>
      <c r="L15" cm="1">
        <f t="array" ref="L15">SUMPRODUCT(('FS2 - PY data'!$A$2:$A$10000=$D$4)*('FS2 - PY data'!$B$2:$B$10000=$E$4)*('FS2 - PY data'!$C$2:$C$10000=$F$4)*('FS2 - PY data'!$D$2:$D$10000=$A15)*('FS2 - PY data'!$E$2:$E$10000=L$10)*('FS2 - PY data'!$F$2:$F$10000))</f>
        <v>0</v>
      </c>
    </row>
    <row r="16" spans="1:12">
      <c r="A16" t="s">
        <v>351</v>
      </c>
      <c r="B16" cm="1">
        <f t="array" ref="B16">SUMPRODUCT(('FS2 - PY data'!$A$2:$A$10000=$D$4)*('FS2 - PY data'!$B$2:$B$10000=$E$4)*('FS2 - PY data'!$C$2:$C$10000=$F$4)*('FS2 - PY data'!$D$2:$D$10000=$A16)*('FS2 - PY data'!$E$2:$E$10000=B$10)*('FS2 - PY data'!$F$2:$F$10000))</f>
        <v>0</v>
      </c>
      <c r="C16" cm="1">
        <f t="array" ref="C16">SUMPRODUCT(('FS2 - PY data'!$A$2:$A$10000=$D$4)*('FS2 - PY data'!$B$2:$B$10000=$E$4)*('FS2 - PY data'!$C$2:$C$10000=$F$4)*('FS2 - PY data'!$D$2:$D$10000=$A16)*('FS2 - PY data'!$E$2:$E$10000=C$10)*('FS2 - PY data'!$F$2:$F$10000))</f>
        <v>0</v>
      </c>
      <c r="D16" cm="1">
        <f t="array" ref="D16">SUMPRODUCT(('FS2 - PY data'!$A$2:$A$10000=$D$4)*('FS2 - PY data'!$B$2:$B$10000=$E$4)*('FS2 - PY data'!$C$2:$C$10000=$F$4)*('FS2 - PY data'!$D$2:$D$10000=$A16)*('FS2 - PY data'!$E$2:$E$10000=D$10)*('FS2 - PY data'!$F$2:$F$10000))</f>
        <v>0</v>
      </c>
      <c r="E16" cm="1">
        <f t="array" ref="E16">SUMPRODUCT(('FS2 - PY data'!$A$2:$A$10000=$D$4)*('FS2 - PY data'!$B$2:$B$10000=$E$4)*('FS2 - PY data'!$C$2:$C$10000=$F$4)*('FS2 - PY data'!$D$2:$D$10000=$A16)*('FS2 - PY data'!$E$2:$E$10000=E$10)*('FS2 - PY data'!$F$2:$F$10000))</f>
        <v>0</v>
      </c>
      <c r="F16" cm="1">
        <f t="array" ref="F16">SUMPRODUCT(('FS2 - PY data'!$A$2:$A$10000=$D$4)*('FS2 - PY data'!$B$2:$B$10000=$E$4)*('FS2 - PY data'!$C$2:$C$10000=$F$4)*('FS2 - PY data'!$D$2:$D$10000=$A16)*('FS2 - PY data'!$E$2:$E$10000=F$10)*('FS2 - PY data'!$F$2:$F$10000))</f>
        <v>0</v>
      </c>
      <c r="G16" cm="1">
        <f t="array" ref="G16">SUMPRODUCT(('FS2 - PY data'!$A$2:$A$10000=$D$4)*('FS2 - PY data'!$B$2:$B$10000=$E$4)*('FS2 - PY data'!$C$2:$C$10000=$F$4)*('FS2 - PY data'!$D$2:$D$10000=$A16)*('FS2 - PY data'!$E$2:$E$10000=G$10)*('FS2 - PY data'!$F$2:$F$10000))</f>
        <v>0</v>
      </c>
      <c r="H16" cm="1">
        <f t="array" ref="H16">SUMPRODUCT(('FS2 - PY data'!$A$2:$A$10000=$D$4)*('FS2 - PY data'!$B$2:$B$10000=$E$4)*('FS2 - PY data'!$C$2:$C$10000=$F$4)*('FS2 - PY data'!$D$2:$D$10000=$A16)*('FS2 - PY data'!$E$2:$E$10000=H$10)*('FS2 - PY data'!$F$2:$F$10000))</f>
        <v>0</v>
      </c>
      <c r="I16" cm="1">
        <f t="array" ref="I16">SUMPRODUCT(('FS2 - PY data'!$A$2:$A$10000=$D$4)*('FS2 - PY data'!$B$2:$B$10000=$E$4)*('FS2 - PY data'!$C$2:$C$10000=$F$4)*('FS2 - PY data'!$D$2:$D$10000=$A16)*('FS2 - PY data'!$E$2:$E$10000=I$10)*('FS2 - PY data'!$F$2:$F$10000))</f>
        <v>0</v>
      </c>
      <c r="J16" cm="1">
        <f t="array" ref="J16">SUMPRODUCT(('FS2 - PY data'!$A$2:$A$10000=$D$4)*('FS2 - PY data'!$B$2:$B$10000=$E$4)*('FS2 - PY data'!$C$2:$C$10000=$F$4)*('FS2 - PY data'!$D$2:$D$10000=$A16)*('FS2 - PY data'!$E$2:$E$10000=J$10)*('FS2 - PY data'!$F$2:$F$10000))</f>
        <v>0</v>
      </c>
      <c r="K16" cm="1">
        <f t="array" ref="K16">SUMPRODUCT(('FS2 - PY data'!$A$2:$A$10000=$D$4)*('FS2 - PY data'!$B$2:$B$10000=$E$4)*('FS2 - PY data'!$C$2:$C$10000=$F$4)*('FS2 - PY data'!$D$2:$D$10000=$A16)*('FS2 - PY data'!$E$2:$E$10000=K$10)*('FS2 - PY data'!$F$2:$F$10000))</f>
        <v>0</v>
      </c>
      <c r="L16" cm="1">
        <f t="array" ref="L16">SUMPRODUCT(('FS2 - PY data'!$A$2:$A$10000=$D$4)*('FS2 - PY data'!$B$2:$B$10000=$E$4)*('FS2 - PY data'!$C$2:$C$10000=$F$4)*('FS2 - PY data'!$D$2:$D$10000=$A16)*('FS2 - PY data'!$E$2:$E$10000=L$10)*('FS2 - PY data'!$F$2:$F$10000))</f>
        <v>0</v>
      </c>
    </row>
    <row r="17" spans="1:12">
      <c r="A17" t="s">
        <v>352</v>
      </c>
      <c r="B17" cm="1">
        <f t="array" ref="B17">SUMPRODUCT(('FS2 - PY data'!$A$2:$A$10000=$D$4)*('FS2 - PY data'!$B$2:$B$10000=$E$4)*('FS2 - PY data'!$C$2:$C$10000=$F$4)*('FS2 - PY data'!$D$2:$D$10000=$A17)*('FS2 - PY data'!$E$2:$E$10000=B$10)*('FS2 - PY data'!$F$2:$F$10000))</f>
        <v>0</v>
      </c>
      <c r="C17" cm="1">
        <f t="array" ref="C17">SUMPRODUCT(('FS2 - PY data'!$A$2:$A$10000=$D$4)*('FS2 - PY data'!$B$2:$B$10000=$E$4)*('FS2 - PY data'!$C$2:$C$10000=$F$4)*('FS2 - PY data'!$D$2:$D$10000=$A17)*('FS2 - PY data'!$E$2:$E$10000=C$10)*('FS2 - PY data'!$F$2:$F$10000))</f>
        <v>0</v>
      </c>
      <c r="D17" cm="1">
        <f t="array" ref="D17">SUMPRODUCT(('FS2 - PY data'!$A$2:$A$10000=$D$4)*('FS2 - PY data'!$B$2:$B$10000=$E$4)*('FS2 - PY data'!$C$2:$C$10000=$F$4)*('FS2 - PY data'!$D$2:$D$10000=$A17)*('FS2 - PY data'!$E$2:$E$10000=D$10)*('FS2 - PY data'!$F$2:$F$10000))</f>
        <v>0</v>
      </c>
      <c r="E17" cm="1">
        <f t="array" ref="E17">SUMPRODUCT(('FS2 - PY data'!$A$2:$A$10000=$D$4)*('FS2 - PY data'!$B$2:$B$10000=$E$4)*('FS2 - PY data'!$C$2:$C$10000=$F$4)*('FS2 - PY data'!$D$2:$D$10000=$A17)*('FS2 - PY data'!$E$2:$E$10000=E$10)*('FS2 - PY data'!$F$2:$F$10000))</f>
        <v>0</v>
      </c>
      <c r="F17" cm="1">
        <f t="array" ref="F17">SUMPRODUCT(('FS2 - PY data'!$A$2:$A$10000=$D$4)*('FS2 - PY data'!$B$2:$B$10000=$E$4)*('FS2 - PY data'!$C$2:$C$10000=$F$4)*('FS2 - PY data'!$D$2:$D$10000=$A17)*('FS2 - PY data'!$E$2:$E$10000=F$10)*('FS2 - PY data'!$F$2:$F$10000))</f>
        <v>0</v>
      </c>
      <c r="G17" cm="1">
        <f t="array" ref="G17">SUMPRODUCT(('FS2 - PY data'!$A$2:$A$10000=$D$4)*('FS2 - PY data'!$B$2:$B$10000=$E$4)*('FS2 - PY data'!$C$2:$C$10000=$F$4)*('FS2 - PY data'!$D$2:$D$10000=$A17)*('FS2 - PY data'!$E$2:$E$10000=G$10)*('FS2 - PY data'!$F$2:$F$10000))</f>
        <v>0</v>
      </c>
      <c r="H17" cm="1">
        <f t="array" ref="H17">SUMPRODUCT(('FS2 - PY data'!$A$2:$A$10000=$D$4)*('FS2 - PY data'!$B$2:$B$10000=$E$4)*('FS2 - PY data'!$C$2:$C$10000=$F$4)*('FS2 - PY data'!$D$2:$D$10000=$A17)*('FS2 - PY data'!$E$2:$E$10000=H$10)*('FS2 - PY data'!$F$2:$F$10000))</f>
        <v>0</v>
      </c>
      <c r="I17" cm="1">
        <f t="array" ref="I17">SUMPRODUCT(('FS2 - PY data'!$A$2:$A$10000=$D$4)*('FS2 - PY data'!$B$2:$B$10000=$E$4)*('FS2 - PY data'!$C$2:$C$10000=$F$4)*('FS2 - PY data'!$D$2:$D$10000=$A17)*('FS2 - PY data'!$E$2:$E$10000=I$10)*('FS2 - PY data'!$F$2:$F$10000))</f>
        <v>0</v>
      </c>
      <c r="J17" cm="1">
        <f t="array" ref="J17">SUMPRODUCT(('FS2 - PY data'!$A$2:$A$10000=$D$4)*('FS2 - PY data'!$B$2:$B$10000=$E$4)*('FS2 - PY data'!$C$2:$C$10000=$F$4)*('FS2 - PY data'!$D$2:$D$10000=$A17)*('FS2 - PY data'!$E$2:$E$10000=J$10)*('FS2 - PY data'!$F$2:$F$10000))</f>
        <v>0</v>
      </c>
      <c r="K17" cm="1">
        <f t="array" ref="K17">SUMPRODUCT(('FS2 - PY data'!$A$2:$A$10000=$D$4)*('FS2 - PY data'!$B$2:$B$10000=$E$4)*('FS2 - PY data'!$C$2:$C$10000=$F$4)*('FS2 - PY data'!$D$2:$D$10000=$A17)*('FS2 - PY data'!$E$2:$E$10000=K$10)*('FS2 - PY data'!$F$2:$F$10000))</f>
        <v>0</v>
      </c>
      <c r="L17" cm="1">
        <f t="array" ref="L17">SUMPRODUCT(('FS2 - PY data'!$A$2:$A$10000=$D$4)*('FS2 - PY data'!$B$2:$B$10000=$E$4)*('FS2 - PY data'!$C$2:$C$10000=$F$4)*('FS2 - PY data'!$D$2:$D$10000=$A17)*('FS2 - PY data'!$E$2:$E$10000=L$10)*('FS2 - PY data'!$F$2:$F$10000))</f>
        <v>0</v>
      </c>
    </row>
    <row r="18" spans="1:12">
      <c r="A18" t="s">
        <v>353</v>
      </c>
      <c r="B18" cm="1">
        <f t="array" ref="B18">SUMPRODUCT(('FS2 - PY data'!$A$2:$A$10000=$D$4)*('FS2 - PY data'!$B$2:$B$10000=$E$4)*('FS2 - PY data'!$C$2:$C$10000=$F$4)*('FS2 - PY data'!$D$2:$D$10000=$A18)*('FS2 - PY data'!$E$2:$E$10000=B$10)*('FS2 - PY data'!$F$2:$F$10000))</f>
        <v>0</v>
      </c>
      <c r="C18" cm="1">
        <f t="array" ref="C18">SUMPRODUCT(('FS2 - PY data'!$A$2:$A$10000=$D$4)*('FS2 - PY data'!$B$2:$B$10000=$E$4)*('FS2 - PY data'!$C$2:$C$10000=$F$4)*('FS2 - PY data'!$D$2:$D$10000=$A18)*('FS2 - PY data'!$E$2:$E$10000=C$10)*('FS2 - PY data'!$F$2:$F$10000))</f>
        <v>0</v>
      </c>
      <c r="D18" cm="1">
        <f t="array" ref="D18">SUMPRODUCT(('FS2 - PY data'!$A$2:$A$10000=$D$4)*('FS2 - PY data'!$B$2:$B$10000=$E$4)*('FS2 - PY data'!$C$2:$C$10000=$F$4)*('FS2 - PY data'!$D$2:$D$10000=$A18)*('FS2 - PY data'!$E$2:$E$10000=D$10)*('FS2 - PY data'!$F$2:$F$10000))</f>
        <v>0</v>
      </c>
      <c r="E18" cm="1">
        <f t="array" ref="E18">SUMPRODUCT(('FS2 - PY data'!$A$2:$A$10000=$D$4)*('FS2 - PY data'!$B$2:$B$10000=$E$4)*('FS2 - PY data'!$C$2:$C$10000=$F$4)*('FS2 - PY data'!$D$2:$D$10000=$A18)*('FS2 - PY data'!$E$2:$E$10000=E$10)*('FS2 - PY data'!$F$2:$F$10000))</f>
        <v>0</v>
      </c>
      <c r="F18" cm="1">
        <f t="array" ref="F18">SUMPRODUCT(('FS2 - PY data'!$A$2:$A$10000=$D$4)*('FS2 - PY data'!$B$2:$B$10000=$E$4)*('FS2 - PY data'!$C$2:$C$10000=$F$4)*('FS2 - PY data'!$D$2:$D$10000=$A18)*('FS2 - PY data'!$E$2:$E$10000=F$10)*('FS2 - PY data'!$F$2:$F$10000))</f>
        <v>0</v>
      </c>
      <c r="G18" cm="1">
        <f t="array" ref="G18">SUMPRODUCT(('FS2 - PY data'!$A$2:$A$10000=$D$4)*('FS2 - PY data'!$B$2:$B$10000=$E$4)*('FS2 - PY data'!$C$2:$C$10000=$F$4)*('FS2 - PY data'!$D$2:$D$10000=$A18)*('FS2 - PY data'!$E$2:$E$10000=G$10)*('FS2 - PY data'!$F$2:$F$10000))</f>
        <v>0</v>
      </c>
      <c r="H18" cm="1">
        <f t="array" ref="H18">SUMPRODUCT(('FS2 - PY data'!$A$2:$A$10000=$D$4)*('FS2 - PY data'!$B$2:$B$10000=$E$4)*('FS2 - PY data'!$C$2:$C$10000=$F$4)*('FS2 - PY data'!$D$2:$D$10000=$A18)*('FS2 - PY data'!$E$2:$E$10000=H$10)*('FS2 - PY data'!$F$2:$F$10000))</f>
        <v>0</v>
      </c>
      <c r="I18" cm="1">
        <f t="array" ref="I18">SUMPRODUCT(('FS2 - PY data'!$A$2:$A$10000=$D$4)*('FS2 - PY data'!$B$2:$B$10000=$E$4)*('FS2 - PY data'!$C$2:$C$10000=$F$4)*('FS2 - PY data'!$D$2:$D$10000=$A18)*('FS2 - PY data'!$E$2:$E$10000=I$10)*('FS2 - PY data'!$F$2:$F$10000))</f>
        <v>0</v>
      </c>
      <c r="J18" cm="1">
        <f t="array" ref="J18">SUMPRODUCT(('FS2 - PY data'!$A$2:$A$10000=$D$4)*('FS2 - PY data'!$B$2:$B$10000=$E$4)*('FS2 - PY data'!$C$2:$C$10000=$F$4)*('FS2 - PY data'!$D$2:$D$10000=$A18)*('FS2 - PY data'!$E$2:$E$10000=J$10)*('FS2 - PY data'!$F$2:$F$10000))</f>
        <v>0</v>
      </c>
      <c r="K18" cm="1">
        <f t="array" ref="K18">SUMPRODUCT(('FS2 - PY data'!$A$2:$A$10000=$D$4)*('FS2 - PY data'!$B$2:$B$10000=$E$4)*('FS2 - PY data'!$C$2:$C$10000=$F$4)*('FS2 - PY data'!$D$2:$D$10000=$A18)*('FS2 - PY data'!$E$2:$E$10000=K$10)*('FS2 - PY data'!$F$2:$F$10000))</f>
        <v>0</v>
      </c>
      <c r="L18" cm="1">
        <f t="array" ref="L18">SUMPRODUCT(('FS2 - PY data'!$A$2:$A$10000=$D$4)*('FS2 - PY data'!$B$2:$B$10000=$E$4)*('FS2 - PY data'!$C$2:$C$10000=$F$4)*('FS2 - PY data'!$D$2:$D$10000=$A18)*('FS2 - PY data'!$E$2:$E$10000=L$10)*('FS2 - PY data'!$F$2:$F$10000))</f>
        <v>0</v>
      </c>
    </row>
    <row r="19" spans="1:12">
      <c r="A19" t="s">
        <v>304</v>
      </c>
      <c r="B19" cm="1">
        <f t="array" ref="B19">SUMPRODUCT(('FS2 - PY data'!$A$2:$A$10000=$D$4)*('FS2 - PY data'!$B$2:$B$10000=$E$4)*('FS2 - PY data'!$C$2:$C$10000=$F$4)*('FS2 - PY data'!$D$2:$D$10000=$A19)*('FS2 - PY data'!$E$2:$E$10000=B$10)*('FS2 - PY data'!$F$2:$F$10000))</f>
        <v>0</v>
      </c>
      <c r="C19" cm="1">
        <f t="array" ref="C19">SUMPRODUCT(('FS2 - PY data'!$A$2:$A$10000=$D$4)*('FS2 - PY data'!$B$2:$B$10000=$E$4)*('FS2 - PY data'!$C$2:$C$10000=$F$4)*('FS2 - PY data'!$D$2:$D$10000=$A19)*('FS2 - PY data'!$E$2:$E$10000=C$10)*('FS2 - PY data'!$F$2:$F$10000))</f>
        <v>0</v>
      </c>
      <c r="D19" cm="1">
        <f t="array" ref="D19">SUMPRODUCT(('FS2 - PY data'!$A$2:$A$10000=$D$4)*('FS2 - PY data'!$B$2:$B$10000=$E$4)*('FS2 - PY data'!$C$2:$C$10000=$F$4)*('FS2 - PY data'!$D$2:$D$10000=$A19)*('FS2 - PY data'!$E$2:$E$10000=D$10)*('FS2 - PY data'!$F$2:$F$10000))</f>
        <v>0</v>
      </c>
      <c r="E19" cm="1">
        <f t="array" ref="E19">SUMPRODUCT(('FS2 - PY data'!$A$2:$A$10000=$D$4)*('FS2 - PY data'!$B$2:$B$10000=$E$4)*('FS2 - PY data'!$C$2:$C$10000=$F$4)*('FS2 - PY data'!$D$2:$D$10000=$A19)*('FS2 - PY data'!$E$2:$E$10000=E$10)*('FS2 - PY data'!$F$2:$F$10000))</f>
        <v>0</v>
      </c>
      <c r="F19" cm="1">
        <f t="array" ref="F19">SUMPRODUCT(('FS2 - PY data'!$A$2:$A$10000=$D$4)*('FS2 - PY data'!$B$2:$B$10000=$E$4)*('FS2 - PY data'!$C$2:$C$10000=$F$4)*('FS2 - PY data'!$D$2:$D$10000=$A19)*('FS2 - PY data'!$E$2:$E$10000=F$10)*('FS2 - PY data'!$F$2:$F$10000))</f>
        <v>0</v>
      </c>
      <c r="G19" cm="1">
        <f t="array" ref="G19">SUMPRODUCT(('FS2 - PY data'!$A$2:$A$10000=$D$4)*('FS2 - PY data'!$B$2:$B$10000=$E$4)*('FS2 - PY data'!$C$2:$C$10000=$F$4)*('FS2 - PY data'!$D$2:$D$10000=$A19)*('FS2 - PY data'!$E$2:$E$10000=G$10)*('FS2 - PY data'!$F$2:$F$10000))</f>
        <v>0</v>
      </c>
      <c r="H19" cm="1">
        <f t="array" ref="H19">SUMPRODUCT(('FS2 - PY data'!$A$2:$A$10000=$D$4)*('FS2 - PY data'!$B$2:$B$10000=$E$4)*('FS2 - PY data'!$C$2:$C$10000=$F$4)*('FS2 - PY data'!$D$2:$D$10000=$A19)*('FS2 - PY data'!$E$2:$E$10000=H$10)*('FS2 - PY data'!$F$2:$F$10000))</f>
        <v>0</v>
      </c>
      <c r="I19" cm="1">
        <f t="array" ref="I19">SUMPRODUCT(('FS2 - PY data'!$A$2:$A$10000=$D$4)*('FS2 - PY data'!$B$2:$B$10000=$E$4)*('FS2 - PY data'!$C$2:$C$10000=$F$4)*('FS2 - PY data'!$D$2:$D$10000=$A19)*('FS2 - PY data'!$E$2:$E$10000=I$10)*('FS2 - PY data'!$F$2:$F$10000))</f>
        <v>0</v>
      </c>
      <c r="J19" cm="1">
        <f t="array" ref="J19">SUMPRODUCT(('FS2 - PY data'!$A$2:$A$10000=$D$4)*('FS2 - PY data'!$B$2:$B$10000=$E$4)*('FS2 - PY data'!$C$2:$C$10000=$F$4)*('FS2 - PY data'!$D$2:$D$10000=$A19)*('FS2 - PY data'!$E$2:$E$10000=J$10)*('FS2 - PY data'!$F$2:$F$10000))</f>
        <v>0</v>
      </c>
      <c r="K19" cm="1">
        <f t="array" ref="K19">SUMPRODUCT(('FS2 - PY data'!$A$2:$A$10000=$D$4)*('FS2 - PY data'!$B$2:$B$10000=$E$4)*('FS2 - PY data'!$C$2:$C$10000=$F$4)*('FS2 - PY data'!$D$2:$D$10000=$A19)*('FS2 - PY data'!$E$2:$E$10000=K$10)*('FS2 - PY data'!$F$2:$F$10000))</f>
        <v>0</v>
      </c>
      <c r="L19" cm="1">
        <f t="array" ref="L19">SUMPRODUCT(('FS2 - PY data'!$A$2:$A$10000=$D$4)*('FS2 - PY data'!$B$2:$B$10000=$E$4)*('FS2 - PY data'!$C$2:$C$10000=$F$4)*('FS2 - PY data'!$D$2:$D$10000=$A19)*('FS2 - PY data'!$E$2:$E$10000=L$10)*('FS2 - PY data'!$F$2:$F$10000))</f>
        <v>0</v>
      </c>
    </row>
    <row r="20" spans="1:12">
      <c r="A20" t="s">
        <v>305</v>
      </c>
      <c r="B20" cm="1">
        <f t="array" ref="B20">SUMPRODUCT(('FS2 - PY data'!$A$2:$A$10000=$D$4)*('FS2 - PY data'!$B$2:$B$10000=$E$4)*('FS2 - PY data'!$C$2:$C$10000=$F$4)*('FS2 - PY data'!$D$2:$D$10000=$A20)*('FS2 - PY data'!$E$2:$E$10000=B$10)*('FS2 - PY data'!$F$2:$F$10000))</f>
        <v>0</v>
      </c>
      <c r="C20" cm="1">
        <f t="array" ref="C20">SUMPRODUCT(('FS2 - PY data'!$A$2:$A$10000=$D$4)*('FS2 - PY data'!$B$2:$B$10000=$E$4)*('FS2 - PY data'!$C$2:$C$10000=$F$4)*('FS2 - PY data'!$D$2:$D$10000=$A20)*('FS2 - PY data'!$E$2:$E$10000=C$10)*('FS2 - PY data'!$F$2:$F$10000))</f>
        <v>0</v>
      </c>
      <c r="D20" cm="1">
        <f t="array" ref="D20">SUMPRODUCT(('FS2 - PY data'!$A$2:$A$10000=$D$4)*('FS2 - PY data'!$B$2:$B$10000=$E$4)*('FS2 - PY data'!$C$2:$C$10000=$F$4)*('FS2 - PY data'!$D$2:$D$10000=$A20)*('FS2 - PY data'!$E$2:$E$10000=D$10)*('FS2 - PY data'!$F$2:$F$10000))</f>
        <v>0</v>
      </c>
      <c r="E20" cm="1">
        <f t="array" ref="E20">SUMPRODUCT(('FS2 - PY data'!$A$2:$A$10000=$D$4)*('FS2 - PY data'!$B$2:$B$10000=$E$4)*('FS2 - PY data'!$C$2:$C$10000=$F$4)*('FS2 - PY data'!$D$2:$D$10000=$A20)*('FS2 - PY data'!$E$2:$E$10000=E$10)*('FS2 - PY data'!$F$2:$F$10000))</f>
        <v>0</v>
      </c>
      <c r="F20" cm="1">
        <f t="array" ref="F20">SUMPRODUCT(('FS2 - PY data'!$A$2:$A$10000=$D$4)*('FS2 - PY data'!$B$2:$B$10000=$E$4)*('FS2 - PY data'!$C$2:$C$10000=$F$4)*('FS2 - PY data'!$D$2:$D$10000=$A20)*('FS2 - PY data'!$E$2:$E$10000=F$10)*('FS2 - PY data'!$F$2:$F$10000))</f>
        <v>0</v>
      </c>
      <c r="G20" cm="1">
        <f t="array" ref="G20">SUMPRODUCT(('FS2 - PY data'!$A$2:$A$10000=$D$4)*('FS2 - PY data'!$B$2:$B$10000=$E$4)*('FS2 - PY data'!$C$2:$C$10000=$F$4)*('FS2 - PY data'!$D$2:$D$10000=$A20)*('FS2 - PY data'!$E$2:$E$10000=G$10)*('FS2 - PY data'!$F$2:$F$10000))</f>
        <v>0</v>
      </c>
      <c r="H20" cm="1">
        <f t="array" ref="H20">SUMPRODUCT(('FS2 - PY data'!$A$2:$A$10000=$D$4)*('FS2 - PY data'!$B$2:$B$10000=$E$4)*('FS2 - PY data'!$C$2:$C$10000=$F$4)*('FS2 - PY data'!$D$2:$D$10000=$A20)*('FS2 - PY data'!$E$2:$E$10000=H$10)*('FS2 - PY data'!$F$2:$F$10000))</f>
        <v>0</v>
      </c>
      <c r="I20" cm="1">
        <f t="array" ref="I20">SUMPRODUCT(('FS2 - PY data'!$A$2:$A$10000=$D$4)*('FS2 - PY data'!$B$2:$B$10000=$E$4)*('FS2 - PY data'!$C$2:$C$10000=$F$4)*('FS2 - PY data'!$D$2:$D$10000=$A20)*('FS2 - PY data'!$E$2:$E$10000=I$10)*('FS2 - PY data'!$F$2:$F$10000))</f>
        <v>0</v>
      </c>
      <c r="J20" cm="1">
        <f t="array" ref="J20">SUMPRODUCT(('FS2 - PY data'!$A$2:$A$10000=$D$4)*('FS2 - PY data'!$B$2:$B$10000=$E$4)*('FS2 - PY data'!$C$2:$C$10000=$F$4)*('FS2 - PY data'!$D$2:$D$10000=$A20)*('FS2 - PY data'!$E$2:$E$10000=J$10)*('FS2 - PY data'!$F$2:$F$10000))</f>
        <v>0</v>
      </c>
      <c r="K20" cm="1">
        <f t="array" ref="K20">SUMPRODUCT(('FS2 - PY data'!$A$2:$A$10000=$D$4)*('FS2 - PY data'!$B$2:$B$10000=$E$4)*('FS2 - PY data'!$C$2:$C$10000=$F$4)*('FS2 - PY data'!$D$2:$D$10000=$A20)*('FS2 - PY data'!$E$2:$E$10000=K$10)*('FS2 - PY data'!$F$2:$F$10000))</f>
        <v>0</v>
      </c>
      <c r="L20" cm="1">
        <f t="array" ref="L20">SUMPRODUCT(('FS2 - PY data'!$A$2:$A$10000=$D$4)*('FS2 - PY data'!$B$2:$B$10000=$E$4)*('FS2 - PY data'!$C$2:$C$10000=$F$4)*('FS2 - PY data'!$D$2:$D$10000=$A20)*('FS2 - PY data'!$E$2:$E$10000=L$10)*('FS2 - PY data'!$F$2:$F$10000))</f>
        <v>0</v>
      </c>
    </row>
    <row r="21" spans="1:12">
      <c r="A21" t="s">
        <v>306</v>
      </c>
      <c r="B21" cm="1">
        <f t="array" ref="B21">SUMPRODUCT(('FS2 - PY data'!$A$2:$A$10000=$D$4)*('FS2 - PY data'!$B$2:$B$10000=$E$4)*('FS2 - PY data'!$C$2:$C$10000=$F$4)*('FS2 - PY data'!$D$2:$D$10000=$A21)*('FS2 - PY data'!$E$2:$E$10000=B$10)*('FS2 - PY data'!$F$2:$F$10000))</f>
        <v>0</v>
      </c>
      <c r="C21" cm="1">
        <f t="array" ref="C21">SUMPRODUCT(('FS2 - PY data'!$A$2:$A$10000=$D$4)*('FS2 - PY data'!$B$2:$B$10000=$E$4)*('FS2 - PY data'!$C$2:$C$10000=$F$4)*('FS2 - PY data'!$D$2:$D$10000=$A21)*('FS2 - PY data'!$E$2:$E$10000=C$10)*('FS2 - PY data'!$F$2:$F$10000))</f>
        <v>0</v>
      </c>
      <c r="D21" cm="1">
        <f t="array" ref="D21">SUMPRODUCT(('FS2 - PY data'!$A$2:$A$10000=$D$4)*('FS2 - PY data'!$B$2:$B$10000=$E$4)*('FS2 - PY data'!$C$2:$C$10000=$F$4)*('FS2 - PY data'!$D$2:$D$10000=$A21)*('FS2 - PY data'!$E$2:$E$10000=D$10)*('FS2 - PY data'!$F$2:$F$10000))</f>
        <v>0</v>
      </c>
      <c r="E21" cm="1">
        <f t="array" ref="E21">SUMPRODUCT(('FS2 - PY data'!$A$2:$A$10000=$D$4)*('FS2 - PY data'!$B$2:$B$10000=$E$4)*('FS2 - PY data'!$C$2:$C$10000=$F$4)*('FS2 - PY data'!$D$2:$D$10000=$A21)*('FS2 - PY data'!$E$2:$E$10000=E$10)*('FS2 - PY data'!$F$2:$F$10000))</f>
        <v>0</v>
      </c>
      <c r="F21" cm="1">
        <f t="array" ref="F21">SUMPRODUCT(('FS2 - PY data'!$A$2:$A$10000=$D$4)*('FS2 - PY data'!$B$2:$B$10000=$E$4)*('FS2 - PY data'!$C$2:$C$10000=$F$4)*('FS2 - PY data'!$D$2:$D$10000=$A21)*('FS2 - PY data'!$E$2:$E$10000=F$10)*('FS2 - PY data'!$F$2:$F$10000))</f>
        <v>0</v>
      </c>
      <c r="G21" cm="1">
        <f t="array" ref="G21">SUMPRODUCT(('FS2 - PY data'!$A$2:$A$10000=$D$4)*('FS2 - PY data'!$B$2:$B$10000=$E$4)*('FS2 - PY data'!$C$2:$C$10000=$F$4)*('FS2 - PY data'!$D$2:$D$10000=$A21)*('FS2 - PY data'!$E$2:$E$10000=G$10)*('FS2 - PY data'!$F$2:$F$10000))</f>
        <v>0</v>
      </c>
      <c r="H21" cm="1">
        <f t="array" ref="H21">SUMPRODUCT(('FS2 - PY data'!$A$2:$A$10000=$D$4)*('FS2 - PY data'!$B$2:$B$10000=$E$4)*('FS2 - PY data'!$C$2:$C$10000=$F$4)*('FS2 - PY data'!$D$2:$D$10000=$A21)*('FS2 - PY data'!$E$2:$E$10000=H$10)*('FS2 - PY data'!$F$2:$F$10000))</f>
        <v>0</v>
      </c>
      <c r="I21" cm="1">
        <f t="array" ref="I21">SUMPRODUCT(('FS2 - PY data'!$A$2:$A$10000=$D$4)*('FS2 - PY data'!$B$2:$B$10000=$E$4)*('FS2 - PY data'!$C$2:$C$10000=$F$4)*('FS2 - PY data'!$D$2:$D$10000=$A21)*('FS2 - PY data'!$E$2:$E$10000=I$10)*('FS2 - PY data'!$F$2:$F$10000))</f>
        <v>0</v>
      </c>
      <c r="J21" cm="1">
        <f t="array" ref="J21">SUMPRODUCT(('FS2 - PY data'!$A$2:$A$10000=$D$4)*('FS2 - PY data'!$B$2:$B$10000=$E$4)*('FS2 - PY data'!$C$2:$C$10000=$F$4)*('FS2 - PY data'!$D$2:$D$10000=$A21)*('FS2 - PY data'!$E$2:$E$10000=J$10)*('FS2 - PY data'!$F$2:$F$10000))</f>
        <v>0</v>
      </c>
      <c r="K21" cm="1">
        <f t="array" ref="K21">SUMPRODUCT(('FS2 - PY data'!$A$2:$A$10000=$D$4)*('FS2 - PY data'!$B$2:$B$10000=$E$4)*('FS2 - PY data'!$C$2:$C$10000=$F$4)*('FS2 - PY data'!$D$2:$D$10000=$A21)*('FS2 - PY data'!$E$2:$E$10000=K$10)*('FS2 - PY data'!$F$2:$F$10000))</f>
        <v>0</v>
      </c>
      <c r="L21" cm="1">
        <f t="array" ref="L21">SUMPRODUCT(('FS2 - PY data'!$A$2:$A$10000=$D$4)*('FS2 - PY data'!$B$2:$B$10000=$E$4)*('FS2 - PY data'!$C$2:$C$10000=$F$4)*('FS2 - PY data'!$D$2:$D$10000=$A21)*('FS2 - PY data'!$E$2:$E$10000=L$10)*('FS2 - PY data'!$F$2:$F$10000))</f>
        <v>0</v>
      </c>
    </row>
    <row r="22" spans="1:12">
      <c r="A22" t="s">
        <v>307</v>
      </c>
      <c r="B22" cm="1">
        <f t="array" ref="B22">SUMPRODUCT(('FS2 - PY data'!$A$2:$A$10000=$D$4)*('FS2 - PY data'!$B$2:$B$10000=$E$4)*('FS2 - PY data'!$C$2:$C$10000=$F$4)*('FS2 - PY data'!$D$2:$D$10000=$A22)*('FS2 - PY data'!$E$2:$E$10000=B$10)*('FS2 - PY data'!$F$2:$F$10000))</f>
        <v>0</v>
      </c>
      <c r="C22" cm="1">
        <f t="array" ref="C22">SUMPRODUCT(('FS2 - PY data'!$A$2:$A$10000=$D$4)*('FS2 - PY data'!$B$2:$B$10000=$E$4)*('FS2 - PY data'!$C$2:$C$10000=$F$4)*('FS2 - PY data'!$D$2:$D$10000=$A22)*('FS2 - PY data'!$E$2:$E$10000=C$10)*('FS2 - PY data'!$F$2:$F$10000))</f>
        <v>0</v>
      </c>
      <c r="D22" cm="1">
        <f t="array" ref="D22">SUMPRODUCT(('FS2 - PY data'!$A$2:$A$10000=$D$4)*('FS2 - PY data'!$B$2:$B$10000=$E$4)*('FS2 - PY data'!$C$2:$C$10000=$F$4)*('FS2 - PY data'!$D$2:$D$10000=$A22)*('FS2 - PY data'!$E$2:$E$10000=D$10)*('FS2 - PY data'!$F$2:$F$10000))</f>
        <v>0</v>
      </c>
      <c r="E22" cm="1">
        <f t="array" ref="E22">SUMPRODUCT(('FS2 - PY data'!$A$2:$A$10000=$D$4)*('FS2 - PY data'!$B$2:$B$10000=$E$4)*('FS2 - PY data'!$C$2:$C$10000=$F$4)*('FS2 - PY data'!$D$2:$D$10000=$A22)*('FS2 - PY data'!$E$2:$E$10000=E$10)*('FS2 - PY data'!$F$2:$F$10000))</f>
        <v>0</v>
      </c>
      <c r="F22" cm="1">
        <f t="array" ref="F22">SUMPRODUCT(('FS2 - PY data'!$A$2:$A$10000=$D$4)*('FS2 - PY data'!$B$2:$B$10000=$E$4)*('FS2 - PY data'!$C$2:$C$10000=$F$4)*('FS2 - PY data'!$D$2:$D$10000=$A22)*('FS2 - PY data'!$E$2:$E$10000=F$10)*('FS2 - PY data'!$F$2:$F$10000))</f>
        <v>0</v>
      </c>
      <c r="G22" cm="1">
        <f t="array" ref="G22">SUMPRODUCT(('FS2 - PY data'!$A$2:$A$10000=$D$4)*('FS2 - PY data'!$B$2:$B$10000=$E$4)*('FS2 - PY data'!$C$2:$C$10000=$F$4)*('FS2 - PY data'!$D$2:$D$10000=$A22)*('FS2 - PY data'!$E$2:$E$10000=G$10)*('FS2 - PY data'!$F$2:$F$10000))</f>
        <v>0</v>
      </c>
      <c r="H22" cm="1">
        <f t="array" ref="H22">SUMPRODUCT(('FS2 - PY data'!$A$2:$A$10000=$D$4)*('FS2 - PY data'!$B$2:$B$10000=$E$4)*('FS2 - PY data'!$C$2:$C$10000=$F$4)*('FS2 - PY data'!$D$2:$D$10000=$A22)*('FS2 - PY data'!$E$2:$E$10000=H$10)*('FS2 - PY data'!$F$2:$F$10000))</f>
        <v>0</v>
      </c>
      <c r="I22" cm="1">
        <f t="array" ref="I22">SUMPRODUCT(('FS2 - PY data'!$A$2:$A$10000=$D$4)*('FS2 - PY data'!$B$2:$B$10000=$E$4)*('FS2 - PY data'!$C$2:$C$10000=$F$4)*('FS2 - PY data'!$D$2:$D$10000=$A22)*('FS2 - PY data'!$E$2:$E$10000=I$10)*('FS2 - PY data'!$F$2:$F$10000))</f>
        <v>0</v>
      </c>
      <c r="J22" cm="1">
        <f t="array" ref="J22">SUMPRODUCT(('FS2 - PY data'!$A$2:$A$10000=$D$4)*('FS2 - PY data'!$B$2:$B$10000=$E$4)*('FS2 - PY data'!$C$2:$C$10000=$F$4)*('FS2 - PY data'!$D$2:$D$10000=$A22)*('FS2 - PY data'!$E$2:$E$10000=J$10)*('FS2 - PY data'!$F$2:$F$10000))</f>
        <v>0</v>
      </c>
      <c r="K22" cm="1">
        <f t="array" ref="K22">SUMPRODUCT(('FS2 - PY data'!$A$2:$A$10000=$D$4)*('FS2 - PY data'!$B$2:$B$10000=$E$4)*('FS2 - PY data'!$C$2:$C$10000=$F$4)*('FS2 - PY data'!$D$2:$D$10000=$A22)*('FS2 - PY data'!$E$2:$E$10000=K$10)*('FS2 - PY data'!$F$2:$F$10000))</f>
        <v>0</v>
      </c>
      <c r="L22" cm="1">
        <f t="array" ref="L22">SUMPRODUCT(('FS2 - PY data'!$A$2:$A$10000=$D$4)*('FS2 - PY data'!$B$2:$B$10000=$E$4)*('FS2 - PY data'!$C$2:$C$10000=$F$4)*('FS2 - PY data'!$D$2:$D$10000=$A22)*('FS2 - PY data'!$E$2:$E$10000=L$10)*('FS2 - PY data'!$F$2:$F$10000))</f>
        <v>0</v>
      </c>
    </row>
    <row r="23" spans="1:12">
      <c r="A23" t="s">
        <v>308</v>
      </c>
      <c r="B23" cm="1">
        <f t="array" ref="B23">SUMPRODUCT(('FS2 - PY data'!$A$2:$A$10000=$D$4)*('FS2 - PY data'!$B$2:$B$10000=$E$4)*('FS2 - PY data'!$C$2:$C$10000=$F$4)*('FS2 - PY data'!$D$2:$D$10000=$A23)*('FS2 - PY data'!$E$2:$E$10000=B$10)*('FS2 - PY data'!$F$2:$F$10000))</f>
        <v>0</v>
      </c>
      <c r="C23" cm="1">
        <f t="array" ref="C23">SUMPRODUCT(('FS2 - PY data'!$A$2:$A$10000=$D$4)*('FS2 - PY data'!$B$2:$B$10000=$E$4)*('FS2 - PY data'!$C$2:$C$10000=$F$4)*('FS2 - PY data'!$D$2:$D$10000=$A23)*('FS2 - PY data'!$E$2:$E$10000=C$10)*('FS2 - PY data'!$F$2:$F$10000))</f>
        <v>0</v>
      </c>
      <c r="D23" cm="1">
        <f t="array" ref="D23">SUMPRODUCT(('FS2 - PY data'!$A$2:$A$10000=$D$4)*('FS2 - PY data'!$B$2:$B$10000=$E$4)*('FS2 - PY data'!$C$2:$C$10000=$F$4)*('FS2 - PY data'!$D$2:$D$10000=$A23)*('FS2 - PY data'!$E$2:$E$10000=D$10)*('FS2 - PY data'!$F$2:$F$10000))</f>
        <v>0</v>
      </c>
      <c r="E23" cm="1">
        <f t="array" ref="E23">SUMPRODUCT(('FS2 - PY data'!$A$2:$A$10000=$D$4)*('FS2 - PY data'!$B$2:$B$10000=$E$4)*('FS2 - PY data'!$C$2:$C$10000=$F$4)*('FS2 - PY data'!$D$2:$D$10000=$A23)*('FS2 - PY data'!$E$2:$E$10000=E$10)*('FS2 - PY data'!$F$2:$F$10000))</f>
        <v>0</v>
      </c>
      <c r="F23" cm="1">
        <f t="array" ref="F23">SUMPRODUCT(('FS2 - PY data'!$A$2:$A$10000=$D$4)*('FS2 - PY data'!$B$2:$B$10000=$E$4)*('FS2 - PY data'!$C$2:$C$10000=$F$4)*('FS2 - PY data'!$D$2:$D$10000=$A23)*('FS2 - PY data'!$E$2:$E$10000=F$10)*('FS2 - PY data'!$F$2:$F$10000))</f>
        <v>0</v>
      </c>
      <c r="G23" cm="1">
        <f t="array" ref="G23">SUMPRODUCT(('FS2 - PY data'!$A$2:$A$10000=$D$4)*('FS2 - PY data'!$B$2:$B$10000=$E$4)*('FS2 - PY data'!$C$2:$C$10000=$F$4)*('FS2 - PY data'!$D$2:$D$10000=$A23)*('FS2 - PY data'!$E$2:$E$10000=G$10)*('FS2 - PY data'!$F$2:$F$10000))</f>
        <v>0</v>
      </c>
      <c r="H23" cm="1">
        <f t="array" ref="H23">SUMPRODUCT(('FS2 - PY data'!$A$2:$A$10000=$D$4)*('FS2 - PY data'!$B$2:$B$10000=$E$4)*('FS2 - PY data'!$C$2:$C$10000=$F$4)*('FS2 - PY data'!$D$2:$D$10000=$A23)*('FS2 - PY data'!$E$2:$E$10000=H$10)*('FS2 - PY data'!$F$2:$F$10000))</f>
        <v>0</v>
      </c>
      <c r="I23" cm="1">
        <f t="array" ref="I23">SUMPRODUCT(('FS2 - PY data'!$A$2:$A$10000=$D$4)*('FS2 - PY data'!$B$2:$B$10000=$E$4)*('FS2 - PY data'!$C$2:$C$10000=$F$4)*('FS2 - PY data'!$D$2:$D$10000=$A23)*('FS2 - PY data'!$E$2:$E$10000=I$10)*('FS2 - PY data'!$F$2:$F$10000))</f>
        <v>0</v>
      </c>
      <c r="J23" cm="1">
        <f t="array" ref="J23">SUMPRODUCT(('FS2 - PY data'!$A$2:$A$10000=$D$4)*('FS2 - PY data'!$B$2:$B$10000=$E$4)*('FS2 - PY data'!$C$2:$C$10000=$F$4)*('FS2 - PY data'!$D$2:$D$10000=$A23)*('FS2 - PY data'!$E$2:$E$10000=J$10)*('FS2 - PY data'!$F$2:$F$10000))</f>
        <v>0</v>
      </c>
      <c r="K23" cm="1">
        <f t="array" ref="K23">SUMPRODUCT(('FS2 - PY data'!$A$2:$A$10000=$D$4)*('FS2 - PY data'!$B$2:$B$10000=$E$4)*('FS2 - PY data'!$C$2:$C$10000=$F$4)*('FS2 - PY data'!$D$2:$D$10000=$A23)*('FS2 - PY data'!$E$2:$E$10000=K$10)*('FS2 - PY data'!$F$2:$F$10000))</f>
        <v>0</v>
      </c>
      <c r="L23" cm="1">
        <f t="array" ref="L23">SUMPRODUCT(('FS2 - PY data'!$A$2:$A$10000=$D$4)*('FS2 - PY data'!$B$2:$B$10000=$E$4)*('FS2 - PY data'!$C$2:$C$10000=$F$4)*('FS2 - PY data'!$D$2:$D$10000=$A23)*('FS2 - PY data'!$E$2:$E$10000=L$10)*('FS2 - PY data'!$F$2:$F$10000))</f>
        <v>0</v>
      </c>
    </row>
    <row r="24" spans="1:12">
      <c r="A24" t="s">
        <v>309</v>
      </c>
      <c r="B24" cm="1">
        <f t="array" ref="B24">SUMPRODUCT(('FS2 - PY data'!$A$2:$A$10000=$D$4)*('FS2 - PY data'!$B$2:$B$10000=$E$4)*('FS2 - PY data'!$C$2:$C$10000=$F$4)*('FS2 - PY data'!$D$2:$D$10000=$A24)*('FS2 - PY data'!$E$2:$E$10000=B$10)*('FS2 - PY data'!$F$2:$F$10000))</f>
        <v>0</v>
      </c>
      <c r="C24" cm="1">
        <f t="array" ref="C24">SUMPRODUCT(('FS2 - PY data'!$A$2:$A$10000=$D$4)*('FS2 - PY data'!$B$2:$B$10000=$E$4)*('FS2 - PY data'!$C$2:$C$10000=$F$4)*('FS2 - PY data'!$D$2:$D$10000=$A24)*('FS2 - PY data'!$E$2:$E$10000=C$10)*('FS2 - PY data'!$F$2:$F$10000))</f>
        <v>0</v>
      </c>
      <c r="D24" cm="1">
        <f t="array" ref="D24">SUMPRODUCT(('FS2 - PY data'!$A$2:$A$10000=$D$4)*('FS2 - PY data'!$B$2:$B$10000=$E$4)*('FS2 - PY data'!$C$2:$C$10000=$F$4)*('FS2 - PY data'!$D$2:$D$10000=$A24)*('FS2 - PY data'!$E$2:$E$10000=D$10)*('FS2 - PY data'!$F$2:$F$10000))</f>
        <v>0</v>
      </c>
      <c r="E24" cm="1">
        <f t="array" ref="E24">SUMPRODUCT(('FS2 - PY data'!$A$2:$A$10000=$D$4)*('FS2 - PY data'!$B$2:$B$10000=$E$4)*('FS2 - PY data'!$C$2:$C$10000=$F$4)*('FS2 - PY data'!$D$2:$D$10000=$A24)*('FS2 - PY data'!$E$2:$E$10000=E$10)*('FS2 - PY data'!$F$2:$F$10000))</f>
        <v>0</v>
      </c>
      <c r="F24" cm="1">
        <f t="array" ref="F24">SUMPRODUCT(('FS2 - PY data'!$A$2:$A$10000=$D$4)*('FS2 - PY data'!$B$2:$B$10000=$E$4)*('FS2 - PY data'!$C$2:$C$10000=$F$4)*('FS2 - PY data'!$D$2:$D$10000=$A24)*('FS2 - PY data'!$E$2:$E$10000=F$10)*('FS2 - PY data'!$F$2:$F$10000))</f>
        <v>0</v>
      </c>
      <c r="G24" cm="1">
        <f t="array" ref="G24">SUMPRODUCT(('FS2 - PY data'!$A$2:$A$10000=$D$4)*('FS2 - PY data'!$B$2:$B$10000=$E$4)*('FS2 - PY data'!$C$2:$C$10000=$F$4)*('FS2 - PY data'!$D$2:$D$10000=$A24)*('FS2 - PY data'!$E$2:$E$10000=G$10)*('FS2 - PY data'!$F$2:$F$10000))</f>
        <v>0</v>
      </c>
      <c r="H24" cm="1">
        <f t="array" ref="H24">SUMPRODUCT(('FS2 - PY data'!$A$2:$A$10000=$D$4)*('FS2 - PY data'!$B$2:$B$10000=$E$4)*('FS2 - PY data'!$C$2:$C$10000=$F$4)*('FS2 - PY data'!$D$2:$D$10000=$A24)*('FS2 - PY data'!$E$2:$E$10000=H$10)*('FS2 - PY data'!$F$2:$F$10000))</f>
        <v>0</v>
      </c>
      <c r="I24" cm="1">
        <f t="array" ref="I24">SUMPRODUCT(('FS2 - PY data'!$A$2:$A$10000=$D$4)*('FS2 - PY data'!$B$2:$B$10000=$E$4)*('FS2 - PY data'!$C$2:$C$10000=$F$4)*('FS2 - PY data'!$D$2:$D$10000=$A24)*('FS2 - PY data'!$E$2:$E$10000=I$10)*('FS2 - PY data'!$F$2:$F$10000))</f>
        <v>0</v>
      </c>
      <c r="J24" cm="1">
        <f t="array" ref="J24">SUMPRODUCT(('FS2 - PY data'!$A$2:$A$10000=$D$4)*('FS2 - PY data'!$B$2:$B$10000=$E$4)*('FS2 - PY data'!$C$2:$C$10000=$F$4)*('FS2 - PY data'!$D$2:$D$10000=$A24)*('FS2 - PY data'!$E$2:$E$10000=J$10)*('FS2 - PY data'!$F$2:$F$10000))</f>
        <v>0</v>
      </c>
      <c r="K24" cm="1">
        <f t="array" ref="K24">SUMPRODUCT(('FS2 - PY data'!$A$2:$A$10000=$D$4)*('FS2 - PY data'!$B$2:$B$10000=$E$4)*('FS2 - PY data'!$C$2:$C$10000=$F$4)*('FS2 - PY data'!$D$2:$D$10000=$A24)*('FS2 - PY data'!$E$2:$E$10000=K$10)*('FS2 - PY data'!$F$2:$F$10000))</f>
        <v>0</v>
      </c>
      <c r="L24" cm="1">
        <f t="array" ref="L24">SUMPRODUCT(('FS2 - PY data'!$A$2:$A$10000=$D$4)*('FS2 - PY data'!$B$2:$B$10000=$E$4)*('FS2 - PY data'!$C$2:$C$10000=$F$4)*('FS2 - PY data'!$D$2:$D$10000=$A24)*('FS2 - PY data'!$E$2:$E$10000=L$10)*('FS2 - PY data'!$F$2:$F$10000))</f>
        <v>0</v>
      </c>
    </row>
    <row r="25" spans="1:12">
      <c r="A25" t="s">
        <v>310</v>
      </c>
      <c r="B25" cm="1">
        <f t="array" ref="B25">SUMPRODUCT(('FS2 - PY data'!$A$2:$A$10000=$D$4)*('FS2 - PY data'!$B$2:$B$10000=$E$4)*('FS2 - PY data'!$C$2:$C$10000=$F$4)*('FS2 - PY data'!$D$2:$D$10000=$A25)*('FS2 - PY data'!$E$2:$E$10000=B$10)*('FS2 - PY data'!$F$2:$F$10000))</f>
        <v>0</v>
      </c>
      <c r="C25" cm="1">
        <f t="array" ref="C25">SUMPRODUCT(('FS2 - PY data'!$A$2:$A$10000=$D$4)*('FS2 - PY data'!$B$2:$B$10000=$E$4)*('FS2 - PY data'!$C$2:$C$10000=$F$4)*('FS2 - PY data'!$D$2:$D$10000=$A25)*('FS2 - PY data'!$E$2:$E$10000=C$10)*('FS2 - PY data'!$F$2:$F$10000))</f>
        <v>0</v>
      </c>
      <c r="D25" cm="1">
        <f t="array" ref="D25">SUMPRODUCT(('FS2 - PY data'!$A$2:$A$10000=$D$4)*('FS2 - PY data'!$B$2:$B$10000=$E$4)*('FS2 - PY data'!$C$2:$C$10000=$F$4)*('FS2 - PY data'!$D$2:$D$10000=$A25)*('FS2 - PY data'!$E$2:$E$10000=D$10)*('FS2 - PY data'!$F$2:$F$10000))</f>
        <v>0</v>
      </c>
      <c r="E25" cm="1">
        <f t="array" ref="E25">SUMPRODUCT(('FS2 - PY data'!$A$2:$A$10000=$D$4)*('FS2 - PY data'!$B$2:$B$10000=$E$4)*('FS2 - PY data'!$C$2:$C$10000=$F$4)*('FS2 - PY data'!$D$2:$D$10000=$A25)*('FS2 - PY data'!$E$2:$E$10000=E$10)*('FS2 - PY data'!$F$2:$F$10000))</f>
        <v>0</v>
      </c>
      <c r="F25" cm="1">
        <f t="array" ref="F25">SUMPRODUCT(('FS2 - PY data'!$A$2:$A$10000=$D$4)*('FS2 - PY data'!$B$2:$B$10000=$E$4)*('FS2 - PY data'!$C$2:$C$10000=$F$4)*('FS2 - PY data'!$D$2:$D$10000=$A25)*('FS2 - PY data'!$E$2:$E$10000=F$10)*('FS2 - PY data'!$F$2:$F$10000))</f>
        <v>0</v>
      </c>
      <c r="G25" cm="1">
        <f t="array" ref="G25">SUMPRODUCT(('FS2 - PY data'!$A$2:$A$10000=$D$4)*('FS2 - PY data'!$B$2:$B$10000=$E$4)*('FS2 - PY data'!$C$2:$C$10000=$F$4)*('FS2 - PY data'!$D$2:$D$10000=$A25)*('FS2 - PY data'!$E$2:$E$10000=G$10)*('FS2 - PY data'!$F$2:$F$10000))</f>
        <v>0</v>
      </c>
      <c r="H25" cm="1">
        <f t="array" ref="H25">SUMPRODUCT(('FS2 - PY data'!$A$2:$A$10000=$D$4)*('FS2 - PY data'!$B$2:$B$10000=$E$4)*('FS2 - PY data'!$C$2:$C$10000=$F$4)*('FS2 - PY data'!$D$2:$D$10000=$A25)*('FS2 - PY data'!$E$2:$E$10000=H$10)*('FS2 - PY data'!$F$2:$F$10000))</f>
        <v>0</v>
      </c>
      <c r="I25" cm="1">
        <f t="array" ref="I25">SUMPRODUCT(('FS2 - PY data'!$A$2:$A$10000=$D$4)*('FS2 - PY data'!$B$2:$B$10000=$E$4)*('FS2 - PY data'!$C$2:$C$10000=$F$4)*('FS2 - PY data'!$D$2:$D$10000=$A25)*('FS2 - PY data'!$E$2:$E$10000=I$10)*('FS2 - PY data'!$F$2:$F$10000))</f>
        <v>0</v>
      </c>
      <c r="J25" cm="1">
        <f t="array" ref="J25">SUMPRODUCT(('FS2 - PY data'!$A$2:$A$10000=$D$4)*('FS2 - PY data'!$B$2:$B$10000=$E$4)*('FS2 - PY data'!$C$2:$C$10000=$F$4)*('FS2 - PY data'!$D$2:$D$10000=$A25)*('FS2 - PY data'!$E$2:$E$10000=J$10)*('FS2 - PY data'!$F$2:$F$10000))</f>
        <v>0</v>
      </c>
      <c r="K25" cm="1">
        <f t="array" ref="K25">SUMPRODUCT(('FS2 - PY data'!$A$2:$A$10000=$D$4)*('FS2 - PY data'!$B$2:$B$10000=$E$4)*('FS2 - PY data'!$C$2:$C$10000=$F$4)*('FS2 - PY data'!$D$2:$D$10000=$A25)*('FS2 - PY data'!$E$2:$E$10000=K$10)*('FS2 - PY data'!$F$2:$F$10000))</f>
        <v>0</v>
      </c>
      <c r="L25" cm="1">
        <f t="array" ref="L25">SUMPRODUCT(('FS2 - PY data'!$A$2:$A$10000=$D$4)*('FS2 - PY data'!$B$2:$B$10000=$E$4)*('FS2 - PY data'!$C$2:$C$10000=$F$4)*('FS2 - PY data'!$D$2:$D$10000=$A25)*('FS2 - PY data'!$E$2:$E$10000=L$10)*('FS2 - PY data'!$F$2:$F$10000))</f>
        <v>0</v>
      </c>
    </row>
    <row r="26" spans="1:12">
      <c r="A26" t="s">
        <v>311</v>
      </c>
      <c r="B26" cm="1">
        <f t="array" ref="B26">SUMPRODUCT(('FS2 - PY data'!$A$2:$A$10000=$D$4)*('FS2 - PY data'!$B$2:$B$10000=$E$4)*('FS2 - PY data'!$C$2:$C$10000=$F$4)*('FS2 - PY data'!$D$2:$D$10000=$A26)*('FS2 - PY data'!$E$2:$E$10000=B$10)*('FS2 - PY data'!$F$2:$F$10000))</f>
        <v>0</v>
      </c>
      <c r="C26" cm="1">
        <f t="array" ref="C26">SUMPRODUCT(('FS2 - PY data'!$A$2:$A$10000=$D$4)*('FS2 - PY data'!$B$2:$B$10000=$E$4)*('FS2 - PY data'!$C$2:$C$10000=$F$4)*('FS2 - PY data'!$D$2:$D$10000=$A26)*('FS2 - PY data'!$E$2:$E$10000=C$10)*('FS2 - PY data'!$F$2:$F$10000))</f>
        <v>0</v>
      </c>
      <c r="D26" cm="1">
        <f t="array" ref="D26">SUMPRODUCT(('FS2 - PY data'!$A$2:$A$10000=$D$4)*('FS2 - PY data'!$B$2:$B$10000=$E$4)*('FS2 - PY data'!$C$2:$C$10000=$F$4)*('FS2 - PY data'!$D$2:$D$10000=$A26)*('FS2 - PY data'!$E$2:$E$10000=D$10)*('FS2 - PY data'!$F$2:$F$10000))</f>
        <v>0</v>
      </c>
      <c r="E26" cm="1">
        <f t="array" ref="E26">SUMPRODUCT(('FS2 - PY data'!$A$2:$A$10000=$D$4)*('FS2 - PY data'!$B$2:$B$10000=$E$4)*('FS2 - PY data'!$C$2:$C$10000=$F$4)*('FS2 - PY data'!$D$2:$D$10000=$A26)*('FS2 - PY data'!$E$2:$E$10000=E$10)*('FS2 - PY data'!$F$2:$F$10000))</f>
        <v>0</v>
      </c>
      <c r="F26" cm="1">
        <f t="array" ref="F26">SUMPRODUCT(('FS2 - PY data'!$A$2:$A$10000=$D$4)*('FS2 - PY data'!$B$2:$B$10000=$E$4)*('FS2 - PY data'!$C$2:$C$10000=$F$4)*('FS2 - PY data'!$D$2:$D$10000=$A26)*('FS2 - PY data'!$E$2:$E$10000=F$10)*('FS2 - PY data'!$F$2:$F$10000))</f>
        <v>0</v>
      </c>
      <c r="G26" cm="1">
        <f t="array" ref="G26">SUMPRODUCT(('FS2 - PY data'!$A$2:$A$10000=$D$4)*('FS2 - PY data'!$B$2:$B$10000=$E$4)*('FS2 - PY data'!$C$2:$C$10000=$F$4)*('FS2 - PY data'!$D$2:$D$10000=$A26)*('FS2 - PY data'!$E$2:$E$10000=G$10)*('FS2 - PY data'!$F$2:$F$10000))</f>
        <v>0</v>
      </c>
      <c r="H26" cm="1">
        <f t="array" ref="H26">SUMPRODUCT(('FS2 - PY data'!$A$2:$A$10000=$D$4)*('FS2 - PY data'!$B$2:$B$10000=$E$4)*('FS2 - PY data'!$C$2:$C$10000=$F$4)*('FS2 - PY data'!$D$2:$D$10000=$A26)*('FS2 - PY data'!$E$2:$E$10000=H$10)*('FS2 - PY data'!$F$2:$F$10000))</f>
        <v>0</v>
      </c>
      <c r="I26" cm="1">
        <f t="array" ref="I26">SUMPRODUCT(('FS2 - PY data'!$A$2:$A$10000=$D$4)*('FS2 - PY data'!$B$2:$B$10000=$E$4)*('FS2 - PY data'!$C$2:$C$10000=$F$4)*('FS2 - PY data'!$D$2:$D$10000=$A26)*('FS2 - PY data'!$E$2:$E$10000=I$10)*('FS2 - PY data'!$F$2:$F$10000))</f>
        <v>0</v>
      </c>
      <c r="J26" cm="1">
        <f t="array" ref="J26">SUMPRODUCT(('FS2 - PY data'!$A$2:$A$10000=$D$4)*('FS2 - PY data'!$B$2:$B$10000=$E$4)*('FS2 - PY data'!$C$2:$C$10000=$F$4)*('FS2 - PY data'!$D$2:$D$10000=$A26)*('FS2 - PY data'!$E$2:$E$10000=J$10)*('FS2 - PY data'!$F$2:$F$10000))</f>
        <v>0</v>
      </c>
      <c r="K26" cm="1">
        <f t="array" ref="K26">SUMPRODUCT(('FS2 - PY data'!$A$2:$A$10000=$D$4)*('FS2 - PY data'!$B$2:$B$10000=$E$4)*('FS2 - PY data'!$C$2:$C$10000=$F$4)*('FS2 - PY data'!$D$2:$D$10000=$A26)*('FS2 - PY data'!$E$2:$E$10000=K$10)*('FS2 - PY data'!$F$2:$F$10000))</f>
        <v>0</v>
      </c>
      <c r="L26" cm="1">
        <f t="array" ref="L26">SUMPRODUCT(('FS2 - PY data'!$A$2:$A$10000=$D$4)*('FS2 - PY data'!$B$2:$B$10000=$E$4)*('FS2 - PY data'!$C$2:$C$10000=$F$4)*('FS2 - PY data'!$D$2:$D$10000=$A26)*('FS2 - PY data'!$E$2:$E$10000=L$10)*('FS2 - PY data'!$F$2:$F$10000))</f>
        <v>0</v>
      </c>
    </row>
    <row r="27" spans="1:12">
      <c r="A27" t="s">
        <v>312</v>
      </c>
      <c r="B27" cm="1">
        <f t="array" ref="B27">SUMPRODUCT(('FS2 - PY data'!$A$2:$A$10000=$D$4)*('FS2 - PY data'!$B$2:$B$10000=$E$4)*('FS2 - PY data'!$C$2:$C$10000=$F$4)*('FS2 - PY data'!$D$2:$D$10000=$A27)*('FS2 - PY data'!$E$2:$E$10000=B$10)*('FS2 - PY data'!$F$2:$F$10000))</f>
        <v>0</v>
      </c>
      <c r="C27" cm="1">
        <f t="array" ref="C27">SUMPRODUCT(('FS2 - PY data'!$A$2:$A$10000=$D$4)*('FS2 - PY data'!$B$2:$B$10000=$E$4)*('FS2 - PY data'!$C$2:$C$10000=$F$4)*('FS2 - PY data'!$D$2:$D$10000=$A27)*('FS2 - PY data'!$E$2:$E$10000=C$10)*('FS2 - PY data'!$F$2:$F$10000))</f>
        <v>0</v>
      </c>
      <c r="D27" cm="1">
        <f t="array" ref="D27">SUMPRODUCT(('FS2 - PY data'!$A$2:$A$10000=$D$4)*('FS2 - PY data'!$B$2:$B$10000=$E$4)*('FS2 - PY data'!$C$2:$C$10000=$F$4)*('FS2 - PY data'!$D$2:$D$10000=$A27)*('FS2 - PY data'!$E$2:$E$10000=D$10)*('FS2 - PY data'!$F$2:$F$10000))</f>
        <v>0</v>
      </c>
      <c r="E27" cm="1">
        <f t="array" ref="E27">SUMPRODUCT(('FS2 - PY data'!$A$2:$A$10000=$D$4)*('FS2 - PY data'!$B$2:$B$10000=$E$4)*('FS2 - PY data'!$C$2:$C$10000=$F$4)*('FS2 - PY data'!$D$2:$D$10000=$A27)*('FS2 - PY data'!$E$2:$E$10000=E$10)*('FS2 - PY data'!$F$2:$F$10000))</f>
        <v>0</v>
      </c>
      <c r="F27" cm="1">
        <f t="array" ref="F27">SUMPRODUCT(('FS2 - PY data'!$A$2:$A$10000=$D$4)*('FS2 - PY data'!$B$2:$B$10000=$E$4)*('FS2 - PY data'!$C$2:$C$10000=$F$4)*('FS2 - PY data'!$D$2:$D$10000=$A27)*('FS2 - PY data'!$E$2:$E$10000=F$10)*('FS2 - PY data'!$F$2:$F$10000))</f>
        <v>0</v>
      </c>
      <c r="G27" cm="1">
        <f t="array" ref="G27">SUMPRODUCT(('FS2 - PY data'!$A$2:$A$10000=$D$4)*('FS2 - PY data'!$B$2:$B$10000=$E$4)*('FS2 - PY data'!$C$2:$C$10000=$F$4)*('FS2 - PY data'!$D$2:$D$10000=$A27)*('FS2 - PY data'!$E$2:$E$10000=G$10)*('FS2 - PY data'!$F$2:$F$10000))</f>
        <v>0</v>
      </c>
      <c r="H27" cm="1">
        <f t="array" ref="H27">SUMPRODUCT(('FS2 - PY data'!$A$2:$A$10000=$D$4)*('FS2 - PY data'!$B$2:$B$10000=$E$4)*('FS2 - PY data'!$C$2:$C$10000=$F$4)*('FS2 - PY data'!$D$2:$D$10000=$A27)*('FS2 - PY data'!$E$2:$E$10000=H$10)*('FS2 - PY data'!$F$2:$F$10000))</f>
        <v>0</v>
      </c>
      <c r="I27" cm="1">
        <f t="array" ref="I27">SUMPRODUCT(('FS2 - PY data'!$A$2:$A$10000=$D$4)*('FS2 - PY data'!$B$2:$B$10000=$E$4)*('FS2 - PY data'!$C$2:$C$10000=$F$4)*('FS2 - PY data'!$D$2:$D$10000=$A27)*('FS2 - PY data'!$E$2:$E$10000=I$10)*('FS2 - PY data'!$F$2:$F$10000))</f>
        <v>0</v>
      </c>
      <c r="J27" cm="1">
        <f t="array" ref="J27">SUMPRODUCT(('FS2 - PY data'!$A$2:$A$10000=$D$4)*('FS2 - PY data'!$B$2:$B$10000=$E$4)*('FS2 - PY data'!$C$2:$C$10000=$F$4)*('FS2 - PY data'!$D$2:$D$10000=$A27)*('FS2 - PY data'!$E$2:$E$10000=J$10)*('FS2 - PY data'!$F$2:$F$10000))</f>
        <v>0</v>
      </c>
      <c r="K27" cm="1">
        <f t="array" ref="K27">SUMPRODUCT(('FS2 - PY data'!$A$2:$A$10000=$D$4)*('FS2 - PY data'!$B$2:$B$10000=$E$4)*('FS2 - PY data'!$C$2:$C$10000=$F$4)*('FS2 - PY data'!$D$2:$D$10000=$A27)*('FS2 - PY data'!$E$2:$E$10000=K$10)*('FS2 - PY data'!$F$2:$F$10000))</f>
        <v>0</v>
      </c>
      <c r="L27" cm="1">
        <f t="array" ref="L27">SUMPRODUCT(('FS2 - PY data'!$A$2:$A$10000=$D$4)*('FS2 - PY data'!$B$2:$B$10000=$E$4)*('FS2 - PY data'!$C$2:$C$10000=$F$4)*('FS2 - PY data'!$D$2:$D$10000=$A27)*('FS2 - PY data'!$E$2:$E$10000=L$10)*('FS2 - PY data'!$F$2:$F$10000))</f>
        <v>0</v>
      </c>
    </row>
    <row r="28" spans="1:12">
      <c r="A28" t="s">
        <v>313</v>
      </c>
      <c r="B28" cm="1">
        <f t="array" ref="B28">SUMPRODUCT(('FS2 - PY data'!$A$2:$A$10000=$D$4)*('FS2 - PY data'!$B$2:$B$10000=$E$4)*('FS2 - PY data'!$C$2:$C$10000=$F$4)*('FS2 - PY data'!$D$2:$D$10000=$A28)*('FS2 - PY data'!$E$2:$E$10000=B$10)*('FS2 - PY data'!$F$2:$F$10000))</f>
        <v>0</v>
      </c>
      <c r="C28" cm="1">
        <f t="array" ref="C28">SUMPRODUCT(('FS2 - PY data'!$A$2:$A$10000=$D$4)*('FS2 - PY data'!$B$2:$B$10000=$E$4)*('FS2 - PY data'!$C$2:$C$10000=$F$4)*('FS2 - PY data'!$D$2:$D$10000=$A28)*('FS2 - PY data'!$E$2:$E$10000=C$10)*('FS2 - PY data'!$F$2:$F$10000))</f>
        <v>0</v>
      </c>
      <c r="D28" cm="1">
        <f t="array" ref="D28">SUMPRODUCT(('FS2 - PY data'!$A$2:$A$10000=$D$4)*('FS2 - PY data'!$B$2:$B$10000=$E$4)*('FS2 - PY data'!$C$2:$C$10000=$F$4)*('FS2 - PY data'!$D$2:$D$10000=$A28)*('FS2 - PY data'!$E$2:$E$10000=D$10)*('FS2 - PY data'!$F$2:$F$10000))</f>
        <v>0</v>
      </c>
      <c r="E28" cm="1">
        <f t="array" ref="E28">SUMPRODUCT(('FS2 - PY data'!$A$2:$A$10000=$D$4)*('FS2 - PY data'!$B$2:$B$10000=$E$4)*('FS2 - PY data'!$C$2:$C$10000=$F$4)*('FS2 - PY data'!$D$2:$D$10000=$A28)*('FS2 - PY data'!$E$2:$E$10000=E$10)*('FS2 - PY data'!$F$2:$F$10000))</f>
        <v>0</v>
      </c>
      <c r="F28" cm="1">
        <f t="array" ref="F28">SUMPRODUCT(('FS2 - PY data'!$A$2:$A$10000=$D$4)*('FS2 - PY data'!$B$2:$B$10000=$E$4)*('FS2 - PY data'!$C$2:$C$10000=$F$4)*('FS2 - PY data'!$D$2:$D$10000=$A28)*('FS2 - PY data'!$E$2:$E$10000=F$10)*('FS2 - PY data'!$F$2:$F$10000))</f>
        <v>0</v>
      </c>
      <c r="G28" cm="1">
        <f t="array" ref="G28">SUMPRODUCT(('FS2 - PY data'!$A$2:$A$10000=$D$4)*('FS2 - PY data'!$B$2:$B$10000=$E$4)*('FS2 - PY data'!$C$2:$C$10000=$F$4)*('FS2 - PY data'!$D$2:$D$10000=$A28)*('FS2 - PY data'!$E$2:$E$10000=G$10)*('FS2 - PY data'!$F$2:$F$10000))</f>
        <v>0</v>
      </c>
      <c r="H28" cm="1">
        <f t="array" ref="H28">SUMPRODUCT(('FS2 - PY data'!$A$2:$A$10000=$D$4)*('FS2 - PY data'!$B$2:$B$10000=$E$4)*('FS2 - PY data'!$C$2:$C$10000=$F$4)*('FS2 - PY data'!$D$2:$D$10000=$A28)*('FS2 - PY data'!$E$2:$E$10000=H$10)*('FS2 - PY data'!$F$2:$F$10000))</f>
        <v>0</v>
      </c>
      <c r="I28" cm="1">
        <f t="array" ref="I28">SUMPRODUCT(('FS2 - PY data'!$A$2:$A$10000=$D$4)*('FS2 - PY data'!$B$2:$B$10000=$E$4)*('FS2 - PY data'!$C$2:$C$10000=$F$4)*('FS2 - PY data'!$D$2:$D$10000=$A28)*('FS2 - PY data'!$E$2:$E$10000=I$10)*('FS2 - PY data'!$F$2:$F$10000))</f>
        <v>0</v>
      </c>
      <c r="J28" cm="1">
        <f t="array" ref="J28">SUMPRODUCT(('FS2 - PY data'!$A$2:$A$10000=$D$4)*('FS2 - PY data'!$B$2:$B$10000=$E$4)*('FS2 - PY data'!$C$2:$C$10000=$F$4)*('FS2 - PY data'!$D$2:$D$10000=$A28)*('FS2 - PY data'!$E$2:$E$10000=J$10)*('FS2 - PY data'!$F$2:$F$10000))</f>
        <v>0</v>
      </c>
      <c r="K28" cm="1">
        <f t="array" ref="K28">SUMPRODUCT(('FS2 - PY data'!$A$2:$A$10000=$D$4)*('FS2 - PY data'!$B$2:$B$10000=$E$4)*('FS2 - PY data'!$C$2:$C$10000=$F$4)*('FS2 - PY data'!$D$2:$D$10000=$A28)*('FS2 - PY data'!$E$2:$E$10000=K$10)*('FS2 - PY data'!$F$2:$F$10000))</f>
        <v>0</v>
      </c>
      <c r="L28" cm="1">
        <f t="array" ref="L28">SUMPRODUCT(('FS2 - PY data'!$A$2:$A$10000=$D$4)*('FS2 - PY data'!$B$2:$B$10000=$E$4)*('FS2 - PY data'!$C$2:$C$10000=$F$4)*('FS2 - PY data'!$D$2:$D$10000=$A28)*('FS2 - PY data'!$E$2:$E$10000=L$10)*('FS2 - PY data'!$F$2:$F$10000))</f>
        <v>0</v>
      </c>
    </row>
    <row r="29" spans="1:12">
      <c r="A29" t="s">
        <v>314</v>
      </c>
      <c r="B29" cm="1">
        <f t="array" ref="B29">SUMPRODUCT(('FS2 - PY data'!$A$2:$A$10000=$D$4)*('FS2 - PY data'!$B$2:$B$10000=$E$4)*('FS2 - PY data'!$C$2:$C$10000=$F$4)*('FS2 - PY data'!$D$2:$D$10000=$A29)*('FS2 - PY data'!$E$2:$E$10000=B$10)*('FS2 - PY data'!$F$2:$F$10000))</f>
        <v>0</v>
      </c>
      <c r="C29" cm="1">
        <f t="array" ref="C29">SUMPRODUCT(('FS2 - PY data'!$A$2:$A$10000=$D$4)*('FS2 - PY data'!$B$2:$B$10000=$E$4)*('FS2 - PY data'!$C$2:$C$10000=$F$4)*('FS2 - PY data'!$D$2:$D$10000=$A29)*('FS2 - PY data'!$E$2:$E$10000=C$10)*('FS2 - PY data'!$F$2:$F$10000))</f>
        <v>0</v>
      </c>
      <c r="D29" cm="1">
        <f t="array" ref="D29">SUMPRODUCT(('FS2 - PY data'!$A$2:$A$10000=$D$4)*('FS2 - PY data'!$B$2:$B$10000=$E$4)*('FS2 - PY data'!$C$2:$C$10000=$F$4)*('FS2 - PY data'!$D$2:$D$10000=$A29)*('FS2 - PY data'!$E$2:$E$10000=D$10)*('FS2 - PY data'!$F$2:$F$10000))</f>
        <v>0</v>
      </c>
      <c r="E29" cm="1">
        <f t="array" ref="E29">SUMPRODUCT(('FS2 - PY data'!$A$2:$A$10000=$D$4)*('FS2 - PY data'!$B$2:$B$10000=$E$4)*('FS2 - PY data'!$C$2:$C$10000=$F$4)*('FS2 - PY data'!$D$2:$D$10000=$A29)*('FS2 - PY data'!$E$2:$E$10000=E$10)*('FS2 - PY data'!$F$2:$F$10000))</f>
        <v>0</v>
      </c>
      <c r="F29" cm="1">
        <f t="array" ref="F29">SUMPRODUCT(('FS2 - PY data'!$A$2:$A$10000=$D$4)*('FS2 - PY data'!$B$2:$B$10000=$E$4)*('FS2 - PY data'!$C$2:$C$10000=$F$4)*('FS2 - PY data'!$D$2:$D$10000=$A29)*('FS2 - PY data'!$E$2:$E$10000=F$10)*('FS2 - PY data'!$F$2:$F$10000))</f>
        <v>0</v>
      </c>
      <c r="G29" cm="1">
        <f t="array" ref="G29">SUMPRODUCT(('FS2 - PY data'!$A$2:$A$10000=$D$4)*('FS2 - PY data'!$B$2:$B$10000=$E$4)*('FS2 - PY data'!$C$2:$C$10000=$F$4)*('FS2 - PY data'!$D$2:$D$10000=$A29)*('FS2 - PY data'!$E$2:$E$10000=G$10)*('FS2 - PY data'!$F$2:$F$10000))</f>
        <v>0</v>
      </c>
      <c r="H29" cm="1">
        <f t="array" ref="H29">SUMPRODUCT(('FS2 - PY data'!$A$2:$A$10000=$D$4)*('FS2 - PY data'!$B$2:$B$10000=$E$4)*('FS2 - PY data'!$C$2:$C$10000=$F$4)*('FS2 - PY data'!$D$2:$D$10000=$A29)*('FS2 - PY data'!$E$2:$E$10000=H$10)*('FS2 - PY data'!$F$2:$F$10000))</f>
        <v>0</v>
      </c>
      <c r="I29" cm="1">
        <f t="array" ref="I29">SUMPRODUCT(('FS2 - PY data'!$A$2:$A$10000=$D$4)*('FS2 - PY data'!$B$2:$B$10000=$E$4)*('FS2 - PY data'!$C$2:$C$10000=$F$4)*('FS2 - PY data'!$D$2:$D$10000=$A29)*('FS2 - PY data'!$E$2:$E$10000=I$10)*('FS2 - PY data'!$F$2:$F$10000))</f>
        <v>0</v>
      </c>
      <c r="J29" cm="1">
        <f t="array" ref="J29">SUMPRODUCT(('FS2 - PY data'!$A$2:$A$10000=$D$4)*('FS2 - PY data'!$B$2:$B$10000=$E$4)*('FS2 - PY data'!$C$2:$C$10000=$F$4)*('FS2 - PY data'!$D$2:$D$10000=$A29)*('FS2 - PY data'!$E$2:$E$10000=J$10)*('FS2 - PY data'!$F$2:$F$10000))</f>
        <v>0</v>
      </c>
      <c r="K29" cm="1">
        <f t="array" ref="K29">SUMPRODUCT(('FS2 - PY data'!$A$2:$A$10000=$D$4)*('FS2 - PY data'!$B$2:$B$10000=$E$4)*('FS2 - PY data'!$C$2:$C$10000=$F$4)*('FS2 - PY data'!$D$2:$D$10000=$A29)*('FS2 - PY data'!$E$2:$E$10000=K$10)*('FS2 - PY data'!$F$2:$F$10000))</f>
        <v>0</v>
      </c>
      <c r="L29" cm="1">
        <f t="array" ref="L29">SUMPRODUCT(('FS2 - PY data'!$A$2:$A$10000=$D$4)*('FS2 - PY data'!$B$2:$B$10000=$E$4)*('FS2 - PY data'!$C$2:$C$10000=$F$4)*('FS2 - PY data'!$D$2:$D$10000=$A29)*('FS2 - PY data'!$E$2:$E$10000=L$10)*('FS2 - PY data'!$F$2:$F$10000))</f>
        <v>0</v>
      </c>
    </row>
    <row r="30" spans="1:12">
      <c r="A30" t="s">
        <v>315</v>
      </c>
      <c r="B30" cm="1">
        <f t="array" ref="B30">SUMPRODUCT(('FS2 - PY data'!$A$2:$A$10000=$D$4)*('FS2 - PY data'!$B$2:$B$10000=$E$4)*('FS2 - PY data'!$C$2:$C$10000=$F$4)*('FS2 - PY data'!$D$2:$D$10000=$A30)*('FS2 - PY data'!$E$2:$E$10000=B$10)*('FS2 - PY data'!$F$2:$F$10000))</f>
        <v>0</v>
      </c>
      <c r="C30" cm="1">
        <f t="array" ref="C30">SUMPRODUCT(('FS2 - PY data'!$A$2:$A$10000=$D$4)*('FS2 - PY data'!$B$2:$B$10000=$E$4)*('FS2 - PY data'!$C$2:$C$10000=$F$4)*('FS2 - PY data'!$D$2:$D$10000=$A30)*('FS2 - PY data'!$E$2:$E$10000=C$10)*('FS2 - PY data'!$F$2:$F$10000))</f>
        <v>0</v>
      </c>
      <c r="D30" cm="1">
        <f t="array" ref="D30">SUMPRODUCT(('FS2 - PY data'!$A$2:$A$10000=$D$4)*('FS2 - PY data'!$B$2:$B$10000=$E$4)*('FS2 - PY data'!$C$2:$C$10000=$F$4)*('FS2 - PY data'!$D$2:$D$10000=$A30)*('FS2 - PY data'!$E$2:$E$10000=D$10)*('FS2 - PY data'!$F$2:$F$10000))</f>
        <v>0</v>
      </c>
      <c r="E30" cm="1">
        <f t="array" ref="E30">SUMPRODUCT(('FS2 - PY data'!$A$2:$A$10000=$D$4)*('FS2 - PY data'!$B$2:$B$10000=$E$4)*('FS2 - PY data'!$C$2:$C$10000=$F$4)*('FS2 - PY data'!$D$2:$D$10000=$A30)*('FS2 - PY data'!$E$2:$E$10000=E$10)*('FS2 - PY data'!$F$2:$F$10000))</f>
        <v>0</v>
      </c>
      <c r="F30" cm="1">
        <f t="array" ref="F30">SUMPRODUCT(('FS2 - PY data'!$A$2:$A$10000=$D$4)*('FS2 - PY data'!$B$2:$B$10000=$E$4)*('FS2 - PY data'!$C$2:$C$10000=$F$4)*('FS2 - PY data'!$D$2:$D$10000=$A30)*('FS2 - PY data'!$E$2:$E$10000=F$10)*('FS2 - PY data'!$F$2:$F$10000))</f>
        <v>0</v>
      </c>
      <c r="G30" cm="1">
        <f t="array" ref="G30">SUMPRODUCT(('FS2 - PY data'!$A$2:$A$10000=$D$4)*('FS2 - PY data'!$B$2:$B$10000=$E$4)*('FS2 - PY data'!$C$2:$C$10000=$F$4)*('FS2 - PY data'!$D$2:$D$10000=$A30)*('FS2 - PY data'!$E$2:$E$10000=G$10)*('FS2 - PY data'!$F$2:$F$10000))</f>
        <v>0</v>
      </c>
      <c r="H30" cm="1">
        <f t="array" ref="H30">SUMPRODUCT(('FS2 - PY data'!$A$2:$A$10000=$D$4)*('FS2 - PY data'!$B$2:$B$10000=$E$4)*('FS2 - PY data'!$C$2:$C$10000=$F$4)*('FS2 - PY data'!$D$2:$D$10000=$A30)*('FS2 - PY data'!$E$2:$E$10000=H$10)*('FS2 - PY data'!$F$2:$F$10000))</f>
        <v>0</v>
      </c>
      <c r="I30" cm="1">
        <f t="array" ref="I30">SUMPRODUCT(('FS2 - PY data'!$A$2:$A$10000=$D$4)*('FS2 - PY data'!$B$2:$B$10000=$E$4)*('FS2 - PY data'!$C$2:$C$10000=$F$4)*('FS2 - PY data'!$D$2:$D$10000=$A30)*('FS2 - PY data'!$E$2:$E$10000=I$10)*('FS2 - PY data'!$F$2:$F$10000))</f>
        <v>0</v>
      </c>
      <c r="J30" cm="1">
        <f t="array" ref="J30">SUMPRODUCT(('FS2 - PY data'!$A$2:$A$10000=$D$4)*('FS2 - PY data'!$B$2:$B$10000=$E$4)*('FS2 - PY data'!$C$2:$C$10000=$F$4)*('FS2 - PY data'!$D$2:$D$10000=$A30)*('FS2 - PY data'!$E$2:$E$10000=J$10)*('FS2 - PY data'!$F$2:$F$10000))</f>
        <v>0</v>
      </c>
      <c r="K30" cm="1">
        <f t="array" ref="K30">SUMPRODUCT(('FS2 - PY data'!$A$2:$A$10000=$D$4)*('FS2 - PY data'!$B$2:$B$10000=$E$4)*('FS2 - PY data'!$C$2:$C$10000=$F$4)*('FS2 - PY data'!$D$2:$D$10000=$A30)*('FS2 - PY data'!$E$2:$E$10000=K$10)*('FS2 - PY data'!$F$2:$F$10000))</f>
        <v>0</v>
      </c>
      <c r="L30" cm="1">
        <f t="array" ref="L30">SUMPRODUCT(('FS2 - PY data'!$A$2:$A$10000=$D$4)*('FS2 - PY data'!$B$2:$B$10000=$E$4)*('FS2 - PY data'!$C$2:$C$10000=$F$4)*('FS2 - PY data'!$D$2:$D$10000=$A30)*('FS2 - PY data'!$E$2:$E$10000=L$10)*('FS2 - PY data'!$F$2:$F$10000))</f>
        <v>0</v>
      </c>
    </row>
    <row r="31" spans="1:12">
      <c r="A31" t="s">
        <v>316</v>
      </c>
      <c r="B31" cm="1">
        <f t="array" ref="B31">SUMPRODUCT(('FS2 - PY data'!$A$2:$A$10000=$D$4)*('FS2 - PY data'!$B$2:$B$10000=$E$4)*('FS2 - PY data'!$C$2:$C$10000=$F$4)*('FS2 - PY data'!$D$2:$D$10000=$A31)*('FS2 - PY data'!$E$2:$E$10000=B$10)*('FS2 - PY data'!$F$2:$F$10000))</f>
        <v>0</v>
      </c>
      <c r="C31" cm="1">
        <f t="array" ref="C31">SUMPRODUCT(('FS2 - PY data'!$A$2:$A$10000=$D$4)*('FS2 - PY data'!$B$2:$B$10000=$E$4)*('FS2 - PY data'!$C$2:$C$10000=$F$4)*('FS2 - PY data'!$D$2:$D$10000=$A31)*('FS2 - PY data'!$E$2:$E$10000=C$10)*('FS2 - PY data'!$F$2:$F$10000))</f>
        <v>0</v>
      </c>
      <c r="D31" cm="1">
        <f t="array" ref="D31">SUMPRODUCT(('FS2 - PY data'!$A$2:$A$10000=$D$4)*('FS2 - PY data'!$B$2:$B$10000=$E$4)*('FS2 - PY data'!$C$2:$C$10000=$F$4)*('FS2 - PY data'!$D$2:$D$10000=$A31)*('FS2 - PY data'!$E$2:$E$10000=D$10)*('FS2 - PY data'!$F$2:$F$10000))</f>
        <v>0</v>
      </c>
      <c r="E31" cm="1">
        <f t="array" ref="E31">SUMPRODUCT(('FS2 - PY data'!$A$2:$A$10000=$D$4)*('FS2 - PY data'!$B$2:$B$10000=$E$4)*('FS2 - PY data'!$C$2:$C$10000=$F$4)*('FS2 - PY data'!$D$2:$D$10000=$A31)*('FS2 - PY data'!$E$2:$E$10000=E$10)*('FS2 - PY data'!$F$2:$F$10000))</f>
        <v>0</v>
      </c>
      <c r="F31" cm="1">
        <f t="array" ref="F31">SUMPRODUCT(('FS2 - PY data'!$A$2:$A$10000=$D$4)*('FS2 - PY data'!$B$2:$B$10000=$E$4)*('FS2 - PY data'!$C$2:$C$10000=$F$4)*('FS2 - PY data'!$D$2:$D$10000=$A31)*('FS2 - PY data'!$E$2:$E$10000=F$10)*('FS2 - PY data'!$F$2:$F$10000))</f>
        <v>0</v>
      </c>
      <c r="G31" cm="1">
        <f t="array" ref="G31">SUMPRODUCT(('FS2 - PY data'!$A$2:$A$10000=$D$4)*('FS2 - PY data'!$B$2:$B$10000=$E$4)*('FS2 - PY data'!$C$2:$C$10000=$F$4)*('FS2 - PY data'!$D$2:$D$10000=$A31)*('FS2 - PY data'!$E$2:$E$10000=G$10)*('FS2 - PY data'!$F$2:$F$10000))</f>
        <v>0</v>
      </c>
      <c r="H31" cm="1">
        <f t="array" ref="H31">SUMPRODUCT(('FS2 - PY data'!$A$2:$A$10000=$D$4)*('FS2 - PY data'!$B$2:$B$10000=$E$4)*('FS2 - PY data'!$C$2:$C$10000=$F$4)*('FS2 - PY data'!$D$2:$D$10000=$A31)*('FS2 - PY data'!$E$2:$E$10000=H$10)*('FS2 - PY data'!$F$2:$F$10000))</f>
        <v>0</v>
      </c>
      <c r="I31" cm="1">
        <f t="array" ref="I31">SUMPRODUCT(('FS2 - PY data'!$A$2:$A$10000=$D$4)*('FS2 - PY data'!$B$2:$B$10000=$E$4)*('FS2 - PY data'!$C$2:$C$10000=$F$4)*('FS2 - PY data'!$D$2:$D$10000=$A31)*('FS2 - PY data'!$E$2:$E$10000=I$10)*('FS2 - PY data'!$F$2:$F$10000))</f>
        <v>0</v>
      </c>
      <c r="J31" cm="1">
        <f t="array" ref="J31">SUMPRODUCT(('FS2 - PY data'!$A$2:$A$10000=$D$4)*('FS2 - PY data'!$B$2:$B$10000=$E$4)*('FS2 - PY data'!$C$2:$C$10000=$F$4)*('FS2 - PY data'!$D$2:$D$10000=$A31)*('FS2 - PY data'!$E$2:$E$10000=J$10)*('FS2 - PY data'!$F$2:$F$10000))</f>
        <v>0</v>
      </c>
      <c r="K31" cm="1">
        <f t="array" ref="K31">SUMPRODUCT(('FS2 - PY data'!$A$2:$A$10000=$D$4)*('FS2 - PY data'!$B$2:$B$10000=$E$4)*('FS2 - PY data'!$C$2:$C$10000=$F$4)*('FS2 - PY data'!$D$2:$D$10000=$A31)*('FS2 - PY data'!$E$2:$E$10000=K$10)*('FS2 - PY data'!$F$2:$F$10000))</f>
        <v>0</v>
      </c>
      <c r="L31" cm="1">
        <f t="array" ref="L31">SUMPRODUCT(('FS2 - PY data'!$A$2:$A$10000=$D$4)*('FS2 - PY data'!$B$2:$B$10000=$E$4)*('FS2 - PY data'!$C$2:$C$10000=$F$4)*('FS2 - PY data'!$D$2:$D$10000=$A31)*('FS2 - PY data'!$E$2:$E$10000=L$10)*('FS2 - PY data'!$F$2:$F$10000))</f>
        <v>0</v>
      </c>
    </row>
    <row r="32" spans="1:12">
      <c r="A32" s="53" t="s">
        <v>317</v>
      </c>
      <c r="B32" s="53" cm="1">
        <f t="array" ref="B32">SUMPRODUCT(('FS2 - PY data'!$A$2:$A$10000=$D$4)*('FS2 - PY data'!$B$2:$B$10000=$E$4)*('FS2 - PY data'!$C$2:$C$10000=$F$4)*('FS2 - PY data'!$D$2:$D$10000=$A32)*('FS2 - PY data'!$E$2:$E$10000=B$10)*('FS2 - PY data'!$F$2:$F$10000))</f>
        <v>0</v>
      </c>
      <c r="C32" s="53" cm="1">
        <f t="array" ref="C32">SUMPRODUCT(('FS2 - PY data'!$A$2:$A$10000=$D$4)*('FS2 - PY data'!$B$2:$B$10000=$E$4)*('FS2 - PY data'!$C$2:$C$10000=$F$4)*('FS2 - PY data'!$D$2:$D$10000=$A32)*('FS2 - PY data'!$E$2:$E$10000=C$10)*('FS2 - PY data'!$F$2:$F$10000))</f>
        <v>0</v>
      </c>
      <c r="D32" s="53" cm="1">
        <f t="array" ref="D32">SUMPRODUCT(('FS2 - PY data'!$A$2:$A$10000=$D$4)*('FS2 - PY data'!$B$2:$B$10000=$E$4)*('FS2 - PY data'!$C$2:$C$10000=$F$4)*('FS2 - PY data'!$D$2:$D$10000=$A32)*('FS2 - PY data'!$E$2:$E$10000=D$10)*('FS2 - PY data'!$F$2:$F$10000))</f>
        <v>0</v>
      </c>
      <c r="E32" s="53" cm="1">
        <f t="array" ref="E32">SUMPRODUCT(('FS2 - PY data'!$A$2:$A$10000=$D$4)*('FS2 - PY data'!$B$2:$B$10000=$E$4)*('FS2 - PY data'!$C$2:$C$10000=$F$4)*('FS2 - PY data'!$D$2:$D$10000=$A32)*('FS2 - PY data'!$E$2:$E$10000=E$10)*('FS2 - PY data'!$F$2:$F$10000))</f>
        <v>0</v>
      </c>
      <c r="F32" s="53" cm="1">
        <f t="array" ref="F32">SUMPRODUCT(('FS2 - PY data'!$A$2:$A$10000=$D$4)*('FS2 - PY data'!$B$2:$B$10000=$E$4)*('FS2 - PY data'!$C$2:$C$10000=$F$4)*('FS2 - PY data'!$D$2:$D$10000=$A32)*('FS2 - PY data'!$E$2:$E$10000=F$10)*('FS2 - PY data'!$F$2:$F$10000))</f>
        <v>0</v>
      </c>
      <c r="G32" s="53" cm="1">
        <f t="array" ref="G32">SUMPRODUCT(('FS2 - PY data'!$A$2:$A$10000=$D$4)*('FS2 - PY data'!$B$2:$B$10000=$E$4)*('FS2 - PY data'!$C$2:$C$10000=$F$4)*('FS2 - PY data'!$D$2:$D$10000=$A32)*('FS2 - PY data'!$E$2:$E$10000=G$10)*('FS2 - PY data'!$F$2:$F$10000))</f>
        <v>0</v>
      </c>
      <c r="H32" s="53" cm="1">
        <f t="array" ref="H32">SUMPRODUCT(('FS2 - PY data'!$A$2:$A$10000=$D$4)*('FS2 - PY data'!$B$2:$B$10000=$E$4)*('FS2 - PY data'!$C$2:$C$10000=$F$4)*('FS2 - PY data'!$D$2:$D$10000=$A32)*('FS2 - PY data'!$E$2:$E$10000=H$10)*('FS2 - PY data'!$F$2:$F$10000))</f>
        <v>0</v>
      </c>
      <c r="I32" s="53" cm="1">
        <f t="array" ref="I32">SUMPRODUCT(('FS2 - PY data'!$A$2:$A$10000=$D$4)*('FS2 - PY data'!$B$2:$B$10000=$E$4)*('FS2 - PY data'!$C$2:$C$10000=$F$4)*('FS2 - PY data'!$D$2:$D$10000=$A32)*('FS2 - PY data'!$E$2:$E$10000=I$10)*('FS2 - PY data'!$F$2:$F$10000))</f>
        <v>0</v>
      </c>
      <c r="J32" s="53" cm="1">
        <f t="array" ref="J32">SUMPRODUCT(('FS2 - PY data'!$A$2:$A$10000=$D$4)*('FS2 - PY data'!$B$2:$B$10000=$E$4)*('FS2 - PY data'!$C$2:$C$10000=$F$4)*('FS2 - PY data'!$D$2:$D$10000=$A32)*('FS2 - PY data'!$E$2:$E$10000=J$10)*('FS2 - PY data'!$F$2:$F$10000))</f>
        <v>0</v>
      </c>
      <c r="K32" s="53" cm="1">
        <f t="array" ref="K32">SUMPRODUCT(('FS2 - PY data'!$A$2:$A$10000=$D$4)*('FS2 - PY data'!$B$2:$B$10000=$E$4)*('FS2 - PY data'!$C$2:$C$10000=$F$4)*('FS2 - PY data'!$D$2:$D$10000=$A32)*('FS2 - PY data'!$E$2:$E$10000=K$10)*('FS2 - PY data'!$F$2:$F$10000))</f>
        <v>0</v>
      </c>
      <c r="L32" s="53" cm="1">
        <f t="array" ref="L32">SUMPRODUCT(('FS2 - PY data'!$A$2:$A$10000=$D$4)*('FS2 - PY data'!$B$2:$B$10000=$E$4)*('FS2 - PY data'!$C$2:$C$10000=$F$4)*('FS2 - PY data'!$D$2:$D$10000=$A32)*('FS2 - PY data'!$E$2:$E$10000=L$10)*('FS2 - PY data'!$F$2:$F$10000))</f>
        <v>0</v>
      </c>
    </row>
    <row r="33" spans="2:12">
      <c r="B33" s="39">
        <f>B32-SUM(B11:B31)</f>
        <v>0</v>
      </c>
      <c r="C33" s="39">
        <f t="shared" ref="C33:L33" si="0">C32-SUM(C11:C31)</f>
        <v>0</v>
      </c>
      <c r="D33" s="39">
        <f t="shared" si="0"/>
        <v>0</v>
      </c>
      <c r="E33" s="39">
        <f t="shared" si="0"/>
        <v>0</v>
      </c>
      <c r="F33" s="39">
        <f t="shared" si="0"/>
        <v>0</v>
      </c>
      <c r="G33" s="39">
        <f t="shared" si="0"/>
        <v>0</v>
      </c>
      <c r="H33" s="39">
        <f t="shared" si="0"/>
        <v>0</v>
      </c>
      <c r="I33" s="39">
        <f t="shared" si="0"/>
        <v>0</v>
      </c>
      <c r="J33" s="39">
        <f t="shared" si="0"/>
        <v>0</v>
      </c>
      <c r="K33" s="39">
        <f t="shared" si="0"/>
        <v>0</v>
      </c>
      <c r="L33" s="39">
        <f t="shared" si="0"/>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E78"/>
  <sheetViews>
    <sheetView zoomScale="80" zoomScaleNormal="80" workbookViewId="0">
      <selection activeCell="AJ11" sqref="AJ11"/>
    </sheetView>
  </sheetViews>
  <sheetFormatPr defaultColWidth="9.140625" defaultRowHeight="12.75"/>
  <cols>
    <col min="1" max="1" width="33.140625" style="7" customWidth="1"/>
    <col min="2" max="2" width="15" style="7" customWidth="1"/>
    <col min="3" max="4" width="13" style="7" customWidth="1"/>
    <col min="5" max="5" width="12.5703125" style="7" customWidth="1"/>
    <col min="6" max="6" width="12.140625" style="7" hidden="1" customWidth="1"/>
    <col min="7" max="10" width="13" style="7" customWidth="1"/>
    <col min="11" max="11" width="12.140625" style="7" hidden="1" customWidth="1"/>
    <col min="12" max="12" width="12.42578125" style="7" customWidth="1"/>
    <col min="13" max="14" width="10" style="7" customWidth="1"/>
    <col min="15" max="15" width="79.42578125" style="7" customWidth="1"/>
    <col min="16" max="29" width="10" style="7" customWidth="1"/>
    <col min="30" max="34" width="9.140625" style="7"/>
    <col min="35" max="35" width="9.140625" customWidth="1"/>
    <col min="36" max="43" width="9.140625" style="7" customWidth="1"/>
    <col min="44" max="16384" width="9.140625" style="7"/>
  </cols>
  <sheetData>
    <row r="1" spans="1:57">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c r="BD1" s="86"/>
      <c r="BE1" s="86"/>
    </row>
    <row r="2" spans="1:5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c r="BD2" s="86"/>
      <c r="BE2" s="86"/>
    </row>
    <row r="3" spans="1:57" ht="29.25" customHeight="1">
      <c r="A3" s="86"/>
      <c r="B3" s="86"/>
      <c r="C3" s="248" t="str">
        <f>Cover!A10</f>
        <v>Shropshire</v>
      </c>
      <c r="D3" s="249"/>
      <c r="E3" s="249"/>
      <c r="F3" s="249"/>
      <c r="G3" s="249"/>
      <c r="H3" s="249"/>
      <c r="I3" s="249"/>
      <c r="J3" s="249"/>
      <c r="K3" s="249"/>
      <c r="L3" s="250"/>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c r="BD3" s="86"/>
      <c r="BE3" s="86"/>
    </row>
    <row r="4" spans="1:57" ht="13.5" thickBot="1">
      <c r="A4" s="86"/>
      <c r="B4" s="86"/>
      <c r="C4" s="251"/>
      <c r="D4" s="252"/>
      <c r="E4" s="252"/>
      <c r="F4" s="252"/>
      <c r="G4" s="252"/>
      <c r="H4" s="252"/>
      <c r="I4" s="252"/>
      <c r="J4" s="252"/>
      <c r="K4" s="252"/>
      <c r="L4" s="253"/>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c r="BD4" s="86"/>
      <c r="BE4" s="86"/>
    </row>
    <row r="5" spans="1:57">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c r="BD5" s="86"/>
      <c r="BE5" s="86"/>
    </row>
    <row r="6" spans="1:57" customFormat="1" ht="13.5" thickBot="1">
      <c r="A6" s="40"/>
      <c r="B6" s="40"/>
      <c r="C6" s="40"/>
      <c r="D6" s="40"/>
      <c r="E6" s="40"/>
      <c r="F6" s="40"/>
      <c r="G6" s="40"/>
      <c r="H6" s="40"/>
      <c r="I6" s="40"/>
      <c r="J6" s="40"/>
      <c r="K6" s="40"/>
      <c r="L6" s="40"/>
      <c r="M6" s="40"/>
      <c r="N6" s="40"/>
      <c r="O6" s="40"/>
      <c r="P6" s="40"/>
      <c r="Q6" s="40"/>
      <c r="R6" s="40"/>
      <c r="S6" s="40"/>
      <c r="T6" s="40"/>
      <c r="U6" s="40"/>
      <c r="V6" s="40"/>
      <c r="W6" s="40"/>
      <c r="X6" s="40"/>
      <c r="Y6" s="40"/>
      <c r="Z6" s="40"/>
    </row>
    <row r="7" spans="1:57" ht="32.25" customHeight="1" thickBot="1">
      <c r="A7" s="254" t="s">
        <v>354</v>
      </c>
      <c r="B7" s="255"/>
      <c r="C7" s="255"/>
      <c r="D7" s="255"/>
      <c r="E7" s="255"/>
      <c r="F7" s="255"/>
      <c r="G7" s="255"/>
      <c r="H7" s="255"/>
      <c r="I7" s="255"/>
      <c r="J7" s="255"/>
      <c r="K7" s="255"/>
      <c r="L7" s="256"/>
      <c r="M7" s="86"/>
      <c r="N7" s="86"/>
      <c r="O7" s="163" t="s">
        <v>324</v>
      </c>
      <c r="P7" s="86"/>
      <c r="Q7" s="86"/>
      <c r="R7" s="86"/>
      <c r="AI7" s="7"/>
    </row>
    <row r="8" spans="1:57" ht="39" customHeight="1" thickBot="1">
      <c r="A8" s="257" t="s">
        <v>325</v>
      </c>
      <c r="B8" s="258"/>
      <c r="C8" s="258"/>
      <c r="D8" s="258"/>
      <c r="E8" s="258"/>
      <c r="F8" s="258"/>
      <c r="G8" s="258"/>
      <c r="H8" s="258"/>
      <c r="I8" s="258"/>
      <c r="J8" s="258"/>
      <c r="K8" s="258"/>
      <c r="L8" s="259"/>
      <c r="M8" s="86"/>
      <c r="N8" s="86"/>
      <c r="O8" s="243" t="s">
        <v>326</v>
      </c>
      <c r="P8" s="86"/>
      <c r="Q8" s="86"/>
      <c r="R8" s="86"/>
      <c r="AI8" s="7"/>
    </row>
    <row r="9" spans="1:57" ht="12.75" customHeight="1" thickBot="1">
      <c r="A9" s="268"/>
      <c r="B9" s="266" t="s">
        <v>355</v>
      </c>
      <c r="C9" s="266"/>
      <c r="D9" s="266"/>
      <c r="E9" s="266"/>
      <c r="F9" s="266"/>
      <c r="G9" s="267"/>
      <c r="H9" s="270" t="s">
        <v>356</v>
      </c>
      <c r="I9" s="266"/>
      <c r="J9" s="266"/>
      <c r="K9" s="266"/>
      <c r="L9" s="271"/>
      <c r="M9" s="86"/>
      <c r="N9" s="86"/>
      <c r="O9" s="244"/>
      <c r="P9" s="86"/>
      <c r="Q9" s="86"/>
      <c r="R9" s="86"/>
      <c r="AI9" s="7"/>
    </row>
    <row r="10" spans="1:57" ht="98.25" customHeight="1" thickBot="1">
      <c r="A10" s="269"/>
      <c r="B10" s="189" t="s">
        <v>357</v>
      </c>
      <c r="C10" s="190" t="s">
        <v>358</v>
      </c>
      <c r="D10" s="191" t="s">
        <v>359</v>
      </c>
      <c r="E10" s="191" t="s">
        <v>360</v>
      </c>
      <c r="F10" s="191" t="s">
        <v>342</v>
      </c>
      <c r="G10" s="192" t="s">
        <v>343</v>
      </c>
      <c r="H10" s="193" t="s">
        <v>358</v>
      </c>
      <c r="I10" s="194" t="s">
        <v>359</v>
      </c>
      <c r="J10" s="194" t="s">
        <v>360</v>
      </c>
      <c r="K10" s="194" t="s">
        <v>342</v>
      </c>
      <c r="L10" s="194" t="s">
        <v>347</v>
      </c>
      <c r="M10" s="86"/>
      <c r="N10" s="86"/>
      <c r="O10" s="164"/>
      <c r="P10" s="86"/>
      <c r="Q10" s="86"/>
      <c r="R10" s="86"/>
      <c r="AI10" s="7"/>
    </row>
    <row r="11" spans="1:57" ht="15" customHeight="1" thickBot="1">
      <c r="A11" s="123" t="s">
        <v>296</v>
      </c>
      <c r="B11" s="72"/>
      <c r="C11" s="69"/>
      <c r="D11" s="69"/>
      <c r="E11" s="73"/>
      <c r="F11" s="74"/>
      <c r="G11" s="52">
        <f t="shared" ref="G11:G19" si="0">SUM(C11:E11)</f>
        <v>0</v>
      </c>
      <c r="H11" s="69"/>
      <c r="I11" s="69"/>
      <c r="J11" s="70"/>
      <c r="K11" s="41"/>
      <c r="L11" s="10">
        <f t="shared" ref="L11:L19" si="1">SUM(H11:J11)</f>
        <v>0</v>
      </c>
      <c r="M11" s="40"/>
      <c r="N11" s="40"/>
      <c r="O11" s="40"/>
      <c r="P11" s="40"/>
      <c r="Q11" s="40"/>
      <c r="R11" s="40"/>
      <c r="S11"/>
      <c r="T11"/>
      <c r="U11"/>
      <c r="V11"/>
      <c r="W11"/>
    </row>
    <row r="12" spans="1:57" ht="15" customHeight="1" thickBot="1">
      <c r="A12" s="124" t="s">
        <v>297</v>
      </c>
      <c r="B12" s="71"/>
      <c r="C12" s="183"/>
      <c r="D12" s="183"/>
      <c r="E12" s="195"/>
      <c r="F12" s="196"/>
      <c r="G12" s="197">
        <f t="shared" si="0"/>
        <v>0</v>
      </c>
      <c r="H12" s="183"/>
      <c r="I12" s="183"/>
      <c r="J12" s="67"/>
      <c r="K12" s="42"/>
      <c r="L12" s="11">
        <f t="shared" si="1"/>
        <v>0</v>
      </c>
      <c r="M12" s="40"/>
      <c r="N12" s="40"/>
      <c r="O12" s="40"/>
      <c r="P12" s="40"/>
      <c r="Q12" s="40"/>
      <c r="R12" s="40"/>
      <c r="S12"/>
      <c r="T12"/>
      <c r="U12"/>
      <c r="V12"/>
      <c r="W12"/>
    </row>
    <row r="13" spans="1:57" ht="15" customHeight="1" thickBot="1">
      <c r="A13" s="124" t="s">
        <v>298</v>
      </c>
      <c r="B13" s="71"/>
      <c r="C13" s="183"/>
      <c r="D13" s="183"/>
      <c r="E13" s="195"/>
      <c r="F13" s="196"/>
      <c r="G13" s="197">
        <f t="shared" si="0"/>
        <v>0</v>
      </c>
      <c r="H13" s="183"/>
      <c r="I13" s="183"/>
      <c r="J13" s="67"/>
      <c r="K13" s="42"/>
      <c r="L13" s="11">
        <f t="shared" si="1"/>
        <v>0</v>
      </c>
      <c r="M13" s="40"/>
      <c r="N13" s="40"/>
      <c r="O13" s="40"/>
      <c r="P13" s="40"/>
      <c r="Q13" s="40"/>
      <c r="R13" s="40"/>
      <c r="S13"/>
      <c r="T13"/>
      <c r="U13"/>
      <c r="V13"/>
      <c r="W13"/>
    </row>
    <row r="14" spans="1:57" customFormat="1" ht="18.75" customHeight="1" thickBot="1">
      <c r="A14" s="13" t="s">
        <v>299</v>
      </c>
      <c r="B14" s="71"/>
      <c r="C14" s="183"/>
      <c r="D14" s="183"/>
      <c r="E14" s="195"/>
      <c r="F14" s="196"/>
      <c r="G14" s="197">
        <f t="shared" si="0"/>
        <v>0</v>
      </c>
      <c r="H14" s="183"/>
      <c r="I14" s="183"/>
      <c r="J14" s="67"/>
      <c r="K14" s="42"/>
      <c r="L14" s="11">
        <f t="shared" si="1"/>
        <v>0</v>
      </c>
      <c r="M14" s="40"/>
      <c r="N14" s="40"/>
      <c r="O14" s="40"/>
      <c r="P14" s="40"/>
      <c r="Q14" s="40"/>
      <c r="R14" s="40"/>
      <c r="AK14" s="7"/>
      <c r="AL14" s="7"/>
      <c r="AM14" s="7"/>
      <c r="AN14" s="7"/>
      <c r="AO14" s="7"/>
      <c r="AP14" s="7"/>
      <c r="AQ14" s="7"/>
    </row>
    <row r="15" spans="1:57" customFormat="1" ht="18.75" hidden="1" customHeight="1" thickBot="1">
      <c r="A15" s="13" t="s">
        <v>300</v>
      </c>
      <c r="B15" s="71"/>
      <c r="C15" s="183"/>
      <c r="D15" s="183"/>
      <c r="E15" s="195"/>
      <c r="F15" s="196"/>
      <c r="G15" s="197">
        <f t="shared" si="0"/>
        <v>0</v>
      </c>
      <c r="H15" s="183"/>
      <c r="I15" s="183"/>
      <c r="J15" s="67"/>
      <c r="K15" s="42"/>
      <c r="L15" s="11">
        <f t="shared" si="1"/>
        <v>0</v>
      </c>
      <c r="M15" s="40"/>
      <c r="N15" s="40"/>
      <c r="O15" s="40"/>
      <c r="P15" s="40"/>
      <c r="Q15" s="40"/>
      <c r="R15" s="40"/>
      <c r="AK15" s="7"/>
      <c r="AL15" s="7"/>
      <c r="AM15" s="7"/>
      <c r="AN15" s="7"/>
      <c r="AO15" s="7"/>
      <c r="AP15" s="7"/>
      <c r="AQ15" s="7"/>
    </row>
    <row r="16" spans="1:57" customFormat="1" ht="18.75" hidden="1" customHeight="1" thickBot="1">
      <c r="A16" s="13" t="s">
        <v>301</v>
      </c>
      <c r="B16" s="71"/>
      <c r="C16" s="183"/>
      <c r="D16" s="183"/>
      <c r="E16" s="195"/>
      <c r="F16" s="196"/>
      <c r="G16" s="197">
        <f t="shared" si="0"/>
        <v>0</v>
      </c>
      <c r="H16" s="183"/>
      <c r="I16" s="183"/>
      <c r="J16" s="67"/>
      <c r="K16" s="42"/>
      <c r="L16" s="11">
        <f t="shared" si="1"/>
        <v>0</v>
      </c>
      <c r="M16" s="40"/>
      <c r="N16" s="40"/>
      <c r="O16" s="40"/>
      <c r="P16" s="40"/>
      <c r="Q16" s="40"/>
      <c r="R16" s="40"/>
      <c r="AK16" s="7"/>
      <c r="AL16" s="7"/>
      <c r="AM16" s="7"/>
      <c r="AN16" s="7"/>
      <c r="AO16" s="7"/>
      <c r="AP16" s="7"/>
      <c r="AQ16" s="7"/>
    </row>
    <row r="17" spans="1:43" customFormat="1" ht="13.5" hidden="1" thickBot="1">
      <c r="A17" s="13" t="s">
        <v>302</v>
      </c>
      <c r="B17" s="71"/>
      <c r="C17" s="183"/>
      <c r="D17" s="183"/>
      <c r="E17" s="195"/>
      <c r="F17" s="196"/>
      <c r="G17" s="197">
        <f t="shared" si="0"/>
        <v>0</v>
      </c>
      <c r="H17" s="183"/>
      <c r="I17" s="183"/>
      <c r="J17" s="67"/>
      <c r="K17" s="42"/>
      <c r="L17" s="11">
        <f t="shared" si="1"/>
        <v>0</v>
      </c>
      <c r="M17" s="40"/>
      <c r="N17" s="40"/>
      <c r="O17" s="40"/>
      <c r="P17" s="40"/>
      <c r="Q17" s="40"/>
      <c r="R17" s="40"/>
      <c r="AK17" s="7"/>
      <c r="AL17" s="7"/>
      <c r="AM17" s="7"/>
      <c r="AN17" s="7"/>
      <c r="AO17" s="7"/>
      <c r="AP17" s="7"/>
      <c r="AQ17" s="7"/>
    </row>
    <row r="18" spans="1:43" ht="13.5" thickBot="1">
      <c r="A18" s="59" t="s">
        <v>303</v>
      </c>
      <c r="B18" s="60"/>
      <c r="C18" s="198"/>
      <c r="D18" s="198"/>
      <c r="E18" s="198"/>
      <c r="F18" s="199"/>
      <c r="G18" s="199">
        <f t="shared" si="0"/>
        <v>0</v>
      </c>
      <c r="H18" s="198"/>
      <c r="I18" s="198"/>
      <c r="J18" s="61"/>
      <c r="K18" s="58"/>
      <c r="L18" s="62">
        <f t="shared" si="1"/>
        <v>0</v>
      </c>
      <c r="M18" s="40"/>
      <c r="N18" s="40"/>
      <c r="O18" s="40"/>
      <c r="P18" s="40"/>
      <c r="Q18" s="40"/>
      <c r="R18" s="40"/>
      <c r="S18"/>
      <c r="T18"/>
      <c r="U18"/>
      <c r="V18"/>
      <c r="W18"/>
    </row>
    <row r="19" spans="1:43" ht="15" customHeight="1" thickBot="1">
      <c r="A19" s="124" t="s">
        <v>304</v>
      </c>
      <c r="B19" s="71"/>
      <c r="C19" s="183"/>
      <c r="D19" s="183"/>
      <c r="E19" s="195"/>
      <c r="F19" s="196"/>
      <c r="G19" s="197">
        <f t="shared" si="0"/>
        <v>0</v>
      </c>
      <c r="H19" s="183"/>
      <c r="I19" s="183"/>
      <c r="J19" s="67"/>
      <c r="K19" s="42"/>
      <c r="L19" s="11">
        <f t="shared" si="1"/>
        <v>0</v>
      </c>
      <c r="M19" s="40"/>
      <c r="N19" s="40"/>
      <c r="O19" s="40"/>
      <c r="P19" s="40"/>
      <c r="Q19" s="40"/>
      <c r="R19" s="40"/>
      <c r="S19"/>
      <c r="T19"/>
      <c r="U19"/>
      <c r="V19"/>
      <c r="W19"/>
    </row>
    <row r="20" spans="1:43" ht="15" customHeight="1" thickBot="1">
      <c r="A20" s="124" t="s">
        <v>305</v>
      </c>
      <c r="B20" s="71"/>
      <c r="C20" s="183"/>
      <c r="D20" s="183"/>
      <c r="E20" s="195"/>
      <c r="F20" s="196"/>
      <c r="G20" s="197">
        <f t="shared" ref="G20:G31" si="2">SUM(C20:E20)</f>
        <v>0</v>
      </c>
      <c r="H20" s="183"/>
      <c r="I20" s="183"/>
      <c r="J20" s="67"/>
      <c r="K20" s="42"/>
      <c r="L20" s="11">
        <f t="shared" ref="L20:L31" si="3">SUM(H20:J20)</f>
        <v>0</v>
      </c>
      <c r="M20" s="40"/>
      <c r="N20" s="40"/>
      <c r="O20" s="40"/>
      <c r="P20" s="40"/>
      <c r="Q20" s="40"/>
      <c r="R20" s="40"/>
      <c r="S20"/>
      <c r="T20"/>
      <c r="U20"/>
      <c r="V20"/>
      <c r="W20"/>
    </row>
    <row r="21" spans="1:43" ht="15" customHeight="1" thickBot="1">
      <c r="A21" s="124" t="s">
        <v>306</v>
      </c>
      <c r="B21" s="71"/>
      <c r="C21" s="183"/>
      <c r="D21" s="183"/>
      <c r="E21" s="195"/>
      <c r="F21" s="196"/>
      <c r="G21" s="197">
        <f t="shared" si="2"/>
        <v>0</v>
      </c>
      <c r="H21" s="183"/>
      <c r="I21" s="183"/>
      <c r="J21" s="67"/>
      <c r="K21" s="42"/>
      <c r="L21" s="11">
        <f t="shared" si="3"/>
        <v>0</v>
      </c>
      <c r="M21" s="40"/>
      <c r="N21" s="40"/>
      <c r="O21" s="40"/>
      <c r="P21" s="40"/>
      <c r="Q21" s="40"/>
      <c r="R21" s="40"/>
      <c r="S21"/>
      <c r="T21"/>
      <c r="U21"/>
      <c r="V21"/>
      <c r="W21"/>
    </row>
    <row r="22" spans="1:43" ht="15" customHeight="1" thickBot="1">
      <c r="A22" s="124" t="s">
        <v>307</v>
      </c>
      <c r="B22" s="71"/>
      <c r="C22" s="183"/>
      <c r="D22" s="183"/>
      <c r="E22" s="195"/>
      <c r="F22" s="196"/>
      <c r="G22" s="197">
        <f t="shared" si="2"/>
        <v>0</v>
      </c>
      <c r="H22" s="183"/>
      <c r="I22" s="183"/>
      <c r="J22" s="67"/>
      <c r="K22" s="42"/>
      <c r="L22" s="11">
        <f t="shared" si="3"/>
        <v>0</v>
      </c>
      <c r="M22" s="40"/>
      <c r="N22" s="40"/>
      <c r="O22" s="40"/>
      <c r="P22" s="40"/>
      <c r="Q22" s="40"/>
      <c r="R22" s="40"/>
      <c r="S22"/>
      <c r="T22"/>
      <c r="U22"/>
      <c r="V22"/>
      <c r="W22"/>
    </row>
    <row r="23" spans="1:43" ht="15" customHeight="1" thickBot="1">
      <c r="A23" s="124" t="s">
        <v>308</v>
      </c>
      <c r="B23" s="71"/>
      <c r="C23" s="183"/>
      <c r="D23" s="183"/>
      <c r="E23" s="195"/>
      <c r="F23" s="196"/>
      <c r="G23" s="197">
        <f t="shared" si="2"/>
        <v>0</v>
      </c>
      <c r="H23" s="183"/>
      <c r="I23" s="183"/>
      <c r="J23" s="67"/>
      <c r="K23" s="42"/>
      <c r="L23" s="11">
        <f t="shared" si="3"/>
        <v>0</v>
      </c>
      <c r="M23" s="40"/>
      <c r="N23" s="40"/>
      <c r="O23" s="40"/>
      <c r="P23" s="40"/>
      <c r="Q23" s="40"/>
      <c r="R23" s="40"/>
      <c r="S23"/>
      <c r="T23"/>
      <c r="U23"/>
      <c r="V23"/>
      <c r="W23"/>
    </row>
    <row r="24" spans="1:43" ht="15" customHeight="1" thickBot="1">
      <c r="A24" s="124" t="s">
        <v>309</v>
      </c>
      <c r="B24" s="71"/>
      <c r="C24" s="183"/>
      <c r="D24" s="183"/>
      <c r="E24" s="195"/>
      <c r="F24" s="196"/>
      <c r="G24" s="197">
        <f t="shared" si="2"/>
        <v>0</v>
      </c>
      <c r="H24" s="183"/>
      <c r="I24" s="183"/>
      <c r="J24" s="67"/>
      <c r="K24" s="42"/>
      <c r="L24" s="11">
        <f t="shared" si="3"/>
        <v>0</v>
      </c>
      <c r="M24" s="40"/>
      <c r="N24" s="40"/>
      <c r="O24" s="40"/>
      <c r="P24" s="40"/>
      <c r="Q24" s="40"/>
      <c r="R24" s="40"/>
      <c r="S24"/>
      <c r="T24"/>
      <c r="U24"/>
      <c r="V24"/>
      <c r="W24"/>
    </row>
    <row r="25" spans="1:43" ht="15" customHeight="1" thickBot="1">
      <c r="A25" s="124" t="s">
        <v>310</v>
      </c>
      <c r="B25" s="71"/>
      <c r="C25" s="183"/>
      <c r="D25" s="183"/>
      <c r="E25" s="195"/>
      <c r="F25" s="196"/>
      <c r="G25" s="197">
        <f t="shared" si="2"/>
        <v>0</v>
      </c>
      <c r="H25" s="183"/>
      <c r="I25" s="183"/>
      <c r="J25" s="67"/>
      <c r="K25" s="42"/>
      <c r="L25" s="11">
        <f t="shared" si="3"/>
        <v>0</v>
      </c>
      <c r="M25" s="40"/>
      <c r="N25" s="40"/>
      <c r="O25" s="40"/>
      <c r="P25" s="40"/>
      <c r="Q25" s="40"/>
      <c r="R25" s="40"/>
      <c r="S25"/>
      <c r="T25"/>
      <c r="U25"/>
      <c r="V25"/>
      <c r="W25"/>
    </row>
    <row r="26" spans="1:43" ht="15" customHeight="1" thickBot="1">
      <c r="A26" s="124" t="s">
        <v>311</v>
      </c>
      <c r="B26" s="71"/>
      <c r="C26" s="183"/>
      <c r="D26" s="183"/>
      <c r="E26" s="195"/>
      <c r="F26" s="196"/>
      <c r="G26" s="197">
        <f t="shared" si="2"/>
        <v>0</v>
      </c>
      <c r="H26" s="183"/>
      <c r="I26" s="183"/>
      <c r="J26" s="67"/>
      <c r="K26" s="42"/>
      <c r="L26" s="11">
        <f t="shared" si="3"/>
        <v>0</v>
      </c>
      <c r="M26" s="40"/>
      <c r="N26" s="40"/>
      <c r="O26" s="40"/>
      <c r="P26" s="40"/>
      <c r="Q26" s="40"/>
      <c r="R26" s="40"/>
      <c r="S26"/>
      <c r="T26"/>
      <c r="U26"/>
      <c r="V26"/>
      <c r="W26"/>
    </row>
    <row r="27" spans="1:43" ht="15" customHeight="1" thickBot="1">
      <c r="A27" s="124" t="s">
        <v>312</v>
      </c>
      <c r="B27" s="71"/>
      <c r="C27" s="183"/>
      <c r="D27" s="183"/>
      <c r="E27" s="195"/>
      <c r="F27" s="196"/>
      <c r="G27" s="197">
        <f t="shared" si="2"/>
        <v>0</v>
      </c>
      <c r="H27" s="183"/>
      <c r="I27" s="183"/>
      <c r="J27" s="67"/>
      <c r="K27" s="42"/>
      <c r="L27" s="11">
        <f t="shared" si="3"/>
        <v>0</v>
      </c>
      <c r="M27" s="40"/>
      <c r="N27" s="40"/>
      <c r="O27" s="40"/>
      <c r="P27" s="40"/>
      <c r="Q27" s="40"/>
      <c r="R27" s="40"/>
      <c r="S27" s="40"/>
      <c r="T27" s="40"/>
      <c r="U27" s="40"/>
      <c r="V27" s="40"/>
      <c r="W27" s="40"/>
      <c r="X27" s="86"/>
      <c r="Y27" s="86"/>
      <c r="Z27" s="86"/>
    </row>
    <row r="28" spans="1:43" ht="15" customHeight="1" thickBot="1">
      <c r="A28" s="124" t="s">
        <v>313</v>
      </c>
      <c r="B28" s="71"/>
      <c r="C28" s="183"/>
      <c r="D28" s="183"/>
      <c r="E28" s="195"/>
      <c r="F28" s="196"/>
      <c r="G28" s="197">
        <f t="shared" si="2"/>
        <v>0</v>
      </c>
      <c r="H28" s="183"/>
      <c r="I28" s="183"/>
      <c r="J28" s="67"/>
      <c r="K28" s="42"/>
      <c r="L28" s="11">
        <f t="shared" si="3"/>
        <v>0</v>
      </c>
      <c r="M28" s="40"/>
      <c r="N28" s="40"/>
      <c r="O28" s="40"/>
      <c r="P28" s="40"/>
      <c r="Q28" s="40"/>
      <c r="R28" s="40"/>
      <c r="S28" s="40"/>
      <c r="T28" s="40"/>
      <c r="U28" s="40"/>
      <c r="V28" s="40"/>
      <c r="W28" s="40"/>
      <c r="X28" s="86"/>
      <c r="Y28" s="86"/>
      <c r="Z28" s="86"/>
    </row>
    <row r="29" spans="1:43" ht="15" customHeight="1" thickBot="1">
      <c r="A29" s="124" t="s">
        <v>314</v>
      </c>
      <c r="B29" s="71"/>
      <c r="C29" s="183"/>
      <c r="D29" s="183"/>
      <c r="E29" s="195"/>
      <c r="F29" s="196"/>
      <c r="G29" s="197">
        <f t="shared" si="2"/>
        <v>0</v>
      </c>
      <c r="H29" s="183"/>
      <c r="I29" s="183"/>
      <c r="J29" s="67"/>
      <c r="K29" s="42"/>
      <c r="L29" s="11">
        <f t="shared" si="3"/>
        <v>0</v>
      </c>
      <c r="M29" s="40"/>
      <c r="N29" s="40"/>
      <c r="O29" s="40"/>
      <c r="P29" s="40"/>
      <c r="Q29" s="40"/>
      <c r="R29" s="40"/>
      <c r="S29" s="40"/>
      <c r="T29" s="40"/>
      <c r="U29" s="40"/>
      <c r="V29" s="40"/>
      <c r="W29" s="40"/>
      <c r="X29" s="86"/>
      <c r="Y29" s="86"/>
      <c r="Z29" s="86"/>
    </row>
    <row r="30" spans="1:43" ht="15" customHeight="1" thickBot="1">
      <c r="A30" s="124" t="s">
        <v>315</v>
      </c>
      <c r="B30" s="71"/>
      <c r="C30" s="183"/>
      <c r="D30" s="183"/>
      <c r="E30" s="195"/>
      <c r="F30" s="196"/>
      <c r="G30" s="197">
        <f t="shared" si="2"/>
        <v>0</v>
      </c>
      <c r="H30" s="183"/>
      <c r="I30" s="183"/>
      <c r="J30" s="67"/>
      <c r="K30" s="42"/>
      <c r="L30" s="11">
        <f t="shared" si="3"/>
        <v>0</v>
      </c>
      <c r="M30" s="40"/>
      <c r="N30" s="40"/>
      <c r="O30" s="40"/>
      <c r="P30" s="40"/>
      <c r="Q30" s="40"/>
      <c r="R30" s="40"/>
      <c r="S30" s="40"/>
      <c r="T30" s="40"/>
      <c r="U30" s="40"/>
      <c r="V30" s="40"/>
      <c r="W30" s="40"/>
      <c r="X30" s="86"/>
      <c r="Y30" s="86"/>
      <c r="Z30" s="86"/>
    </row>
    <row r="31" spans="1:43" ht="15" customHeight="1" thickBot="1">
      <c r="A31" s="200" t="s">
        <v>316</v>
      </c>
      <c r="B31" s="92"/>
      <c r="C31" s="93"/>
      <c r="D31" s="93"/>
      <c r="E31" s="94"/>
      <c r="F31" s="95"/>
      <c r="G31" s="96">
        <f t="shared" si="2"/>
        <v>0</v>
      </c>
      <c r="H31" s="93"/>
      <c r="I31" s="93"/>
      <c r="J31" s="97"/>
      <c r="K31" s="98"/>
      <c r="L31" s="99">
        <f t="shared" si="3"/>
        <v>0</v>
      </c>
      <c r="M31" s="40"/>
      <c r="N31" s="40"/>
      <c r="O31" s="40"/>
      <c r="P31" s="40"/>
      <c r="Q31" s="40"/>
      <c r="R31" s="40"/>
      <c r="S31" s="40"/>
      <c r="T31" s="40"/>
      <c r="U31" s="40"/>
      <c r="V31" s="40"/>
      <c r="W31" s="40"/>
      <c r="X31" s="86"/>
      <c r="Y31" s="86"/>
      <c r="Z31" s="86"/>
    </row>
    <row r="32" spans="1:43" ht="15" customHeight="1" thickBot="1">
      <c r="A32" s="114" t="s">
        <v>317</v>
      </c>
      <c r="B32" s="91">
        <f>SUM(B11:B31)</f>
        <v>0</v>
      </c>
      <c r="C32" s="91">
        <f t="shared" ref="C32:L32" si="4">SUM(C11:C31)</f>
        <v>0</v>
      </c>
      <c r="D32" s="91">
        <f t="shared" si="4"/>
        <v>0</v>
      </c>
      <c r="E32" s="91">
        <f t="shared" si="4"/>
        <v>0</v>
      </c>
      <c r="F32" s="91">
        <f t="shared" si="4"/>
        <v>0</v>
      </c>
      <c r="G32" s="91">
        <f>SUM(G11:G31)</f>
        <v>0</v>
      </c>
      <c r="H32" s="91">
        <f t="shared" si="4"/>
        <v>0</v>
      </c>
      <c r="I32" s="91">
        <f t="shared" si="4"/>
        <v>0</v>
      </c>
      <c r="J32" s="91">
        <f t="shared" si="4"/>
        <v>0</v>
      </c>
      <c r="K32" s="91">
        <f t="shared" si="4"/>
        <v>0</v>
      </c>
      <c r="L32" s="91">
        <f t="shared" si="4"/>
        <v>0</v>
      </c>
      <c r="M32" s="40"/>
      <c r="N32" s="40"/>
      <c r="O32" s="40"/>
      <c r="P32" s="40"/>
      <c r="Q32" s="40"/>
      <c r="R32" s="40"/>
      <c r="S32" s="40"/>
      <c r="T32" s="40"/>
      <c r="U32" s="40"/>
      <c r="V32" s="40"/>
      <c r="W32" s="40"/>
      <c r="X32" s="86"/>
      <c r="Y32" s="86"/>
      <c r="Z32" s="86"/>
    </row>
    <row r="33" spans="1:57">
      <c r="A33" s="40"/>
      <c r="B33" s="40"/>
      <c r="C33" s="40"/>
      <c r="D33" s="40"/>
      <c r="E33" s="40"/>
      <c r="F33" s="40"/>
      <c r="G33" s="40"/>
      <c r="H33" s="40"/>
      <c r="I33" s="40"/>
      <c r="J33" s="40"/>
      <c r="K33" s="40"/>
      <c r="L33" s="40"/>
      <c r="M33" s="40"/>
      <c r="N33" s="40"/>
      <c r="O33" s="40"/>
      <c r="P33" s="40"/>
      <c r="Q33" s="40"/>
      <c r="R33" s="40"/>
      <c r="S33" s="40"/>
      <c r="T33" s="40"/>
      <c r="U33" s="40"/>
      <c r="V33" s="40"/>
      <c r="W33" s="40"/>
      <c r="X33" s="86"/>
      <c r="Y33" s="86"/>
      <c r="Z33" s="86"/>
    </row>
    <row r="34" spans="1:57">
      <c r="A34" s="40"/>
      <c r="B34" s="40"/>
      <c r="C34" s="40"/>
      <c r="D34" s="40"/>
      <c r="E34" s="40"/>
      <c r="F34" s="40"/>
      <c r="G34" s="40"/>
      <c r="H34" s="40"/>
      <c r="I34" s="40"/>
      <c r="J34" s="40"/>
      <c r="K34" s="40"/>
      <c r="L34" s="40"/>
      <c r="M34" s="40"/>
      <c r="N34" s="40"/>
      <c r="O34" s="40"/>
      <c r="P34" s="40"/>
      <c r="Q34" s="40"/>
      <c r="R34" s="40"/>
      <c r="S34" s="40"/>
      <c r="T34" s="40"/>
      <c r="U34" s="40"/>
      <c r="V34" s="40"/>
      <c r="W34" s="40"/>
      <c r="X34" s="86"/>
      <c r="Y34" s="86"/>
      <c r="Z34" s="86"/>
    </row>
    <row r="35" spans="1:57" ht="15.7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86"/>
      <c r="Y35" s="86"/>
      <c r="Z35" s="86"/>
    </row>
    <row r="36" spans="1:57" ht="45" customHeight="1" thickBot="1">
      <c r="A36" s="20" t="s">
        <v>336</v>
      </c>
      <c r="B36" s="245"/>
      <c r="C36" s="246"/>
      <c r="D36" s="246"/>
      <c r="E36" s="246"/>
      <c r="F36" s="246"/>
      <c r="G36" s="246"/>
      <c r="H36" s="246"/>
      <c r="I36" s="246"/>
      <c r="J36" s="246"/>
      <c r="K36" s="246"/>
      <c r="L36" s="247"/>
      <c r="M36" s="40"/>
      <c r="N36" s="40"/>
      <c r="O36" s="40"/>
      <c r="P36" s="40"/>
      <c r="Q36" s="40"/>
      <c r="R36" s="40"/>
      <c r="S36" s="40"/>
      <c r="T36" s="40"/>
      <c r="U36" s="40"/>
      <c r="V36" s="40"/>
      <c r="W36" s="40"/>
      <c r="X36" s="86"/>
      <c r="Y36" s="86"/>
      <c r="Z36" s="86"/>
    </row>
    <row r="37" spans="1:57" ht="39.6" customHeight="1" thickBot="1">
      <c r="A37" s="90" t="s">
        <v>361</v>
      </c>
      <c r="B37" s="263"/>
      <c r="C37" s="264"/>
      <c r="D37" s="264"/>
      <c r="E37" s="264"/>
      <c r="F37" s="264"/>
      <c r="G37" s="264"/>
      <c r="H37" s="264"/>
      <c r="I37" s="264"/>
      <c r="J37" s="264"/>
      <c r="K37" s="264"/>
      <c r="L37" s="265"/>
      <c r="M37" s="40"/>
      <c r="N37" s="40"/>
      <c r="O37" s="40"/>
      <c r="P37" s="40"/>
      <c r="Q37" s="40"/>
      <c r="R37" s="40"/>
      <c r="S37" s="40"/>
      <c r="T37" s="40"/>
      <c r="U37" s="40"/>
      <c r="V37" s="40"/>
      <c r="W37" s="40"/>
      <c r="X37" s="86"/>
      <c r="Y37" s="86"/>
      <c r="Z37" s="86"/>
      <c r="AA37" s="86"/>
      <c r="AB37" s="86"/>
      <c r="AC37" s="86"/>
      <c r="AD37" s="86"/>
      <c r="AE37" s="86"/>
      <c r="AF37" s="86"/>
      <c r="AG37" s="86"/>
      <c r="AH37" s="86"/>
      <c r="AI37" s="40"/>
      <c r="AJ37" s="86"/>
      <c r="AK37" s="86"/>
      <c r="AL37" s="86"/>
      <c r="AM37" s="86"/>
      <c r="AN37" s="86"/>
      <c r="AO37" s="86"/>
      <c r="AP37" s="86"/>
      <c r="AQ37" s="86"/>
      <c r="AR37" s="86"/>
      <c r="AS37" s="86"/>
      <c r="AT37" s="86"/>
      <c r="AU37" s="86"/>
      <c r="AV37" s="86"/>
      <c r="AW37" s="86"/>
      <c r="AX37" s="86"/>
      <c r="AY37" s="86"/>
      <c r="AZ37" s="86"/>
      <c r="BA37" s="86"/>
      <c r="BB37" s="86"/>
      <c r="BC37" s="86"/>
      <c r="BD37" s="86"/>
      <c r="BE37" s="86"/>
    </row>
    <row r="38" spans="1:57" ht="14.25" customHeight="1">
      <c r="A38" s="86"/>
      <c r="B38" s="86"/>
      <c r="C38" s="86"/>
      <c r="D38" s="86"/>
      <c r="E38" s="86"/>
      <c r="F38" s="86"/>
      <c r="G38" s="86"/>
      <c r="H38" s="86"/>
      <c r="I38" s="86"/>
      <c r="J38" s="86"/>
      <c r="K38" s="86"/>
      <c r="L38" s="86"/>
      <c r="M38" s="40"/>
      <c r="N38" s="40"/>
      <c r="O38" s="40"/>
      <c r="P38" s="40"/>
      <c r="Q38" s="40"/>
      <c r="R38" s="40"/>
      <c r="S38" s="40"/>
      <c r="T38" s="40"/>
      <c r="U38" s="40"/>
      <c r="V38" s="40"/>
      <c r="W38" s="40"/>
      <c r="X38" s="86"/>
      <c r="Y38" s="86"/>
      <c r="Z38" s="86"/>
      <c r="AA38" s="86"/>
      <c r="AB38" s="86"/>
      <c r="AC38" s="86"/>
      <c r="AD38" s="86"/>
      <c r="AE38" s="86"/>
      <c r="AF38" s="86"/>
      <c r="AG38" s="86"/>
      <c r="AH38" s="86"/>
      <c r="AI38" s="40"/>
      <c r="AJ38" s="86"/>
      <c r="AK38" s="86"/>
      <c r="AL38" s="86"/>
      <c r="AM38" s="86"/>
      <c r="AN38" s="86"/>
      <c r="AO38" s="86"/>
      <c r="AP38" s="86"/>
      <c r="AQ38" s="86"/>
      <c r="AR38" s="86"/>
      <c r="AS38" s="86"/>
      <c r="AT38" s="86"/>
      <c r="AU38" s="86"/>
      <c r="AV38" s="86"/>
      <c r="AW38" s="86"/>
      <c r="AX38" s="86"/>
      <c r="AY38" s="86"/>
      <c r="AZ38" s="86"/>
      <c r="BA38" s="86"/>
      <c r="BB38" s="86"/>
      <c r="BC38" s="86"/>
      <c r="BD38" s="86"/>
      <c r="BE38" s="86"/>
    </row>
    <row r="39" spans="1:57" ht="51" customHeight="1">
      <c r="A39" s="86"/>
      <c r="B39" s="86"/>
      <c r="C39" s="86"/>
      <c r="D39" s="86"/>
      <c r="E39" s="86"/>
      <c r="F39" s="86"/>
      <c r="G39" s="86"/>
      <c r="H39" s="86"/>
      <c r="I39" s="86"/>
      <c r="J39" s="86"/>
      <c r="K39" s="86"/>
      <c r="L39" s="86"/>
      <c r="M39" s="40"/>
      <c r="N39" s="40"/>
      <c r="O39" s="40"/>
      <c r="P39" s="40"/>
      <c r="Q39" s="40"/>
      <c r="R39" s="40"/>
      <c r="S39" s="40"/>
      <c r="T39" s="40"/>
      <c r="U39" s="40"/>
      <c r="V39" s="40"/>
      <c r="W39" s="40"/>
      <c r="X39" s="86"/>
      <c r="Y39" s="86"/>
      <c r="Z39" s="86"/>
      <c r="AA39" s="86"/>
      <c r="AB39" s="86"/>
      <c r="AC39" s="86"/>
      <c r="AD39" s="86"/>
      <c r="AE39" s="86"/>
      <c r="AF39" s="86"/>
      <c r="AG39" s="86"/>
      <c r="AH39" s="86"/>
      <c r="AI39" s="40"/>
      <c r="AJ39" s="86"/>
      <c r="AK39" s="86"/>
      <c r="AL39" s="86"/>
      <c r="AM39" s="86"/>
      <c r="AN39" s="86"/>
      <c r="AO39" s="86"/>
      <c r="AP39" s="86"/>
      <c r="AQ39" s="86"/>
      <c r="AR39" s="86"/>
      <c r="AS39" s="86"/>
      <c r="AT39" s="86"/>
      <c r="AU39" s="86"/>
      <c r="AV39" s="86"/>
      <c r="AW39" s="86"/>
      <c r="AX39" s="86"/>
      <c r="AY39" s="86"/>
      <c r="AZ39" s="86"/>
      <c r="BA39" s="86"/>
      <c r="BB39" s="86"/>
      <c r="BC39" s="86"/>
      <c r="BD39" s="86"/>
      <c r="BE39" s="86"/>
    </row>
    <row r="40" spans="1:57" ht="22.5" customHeight="1">
      <c r="A40" s="86"/>
      <c r="B40" s="86"/>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40"/>
      <c r="AJ40" s="86"/>
      <c r="AK40" s="86"/>
      <c r="AL40" s="86"/>
      <c r="AM40" s="86"/>
      <c r="AN40" s="86"/>
      <c r="AO40" s="86"/>
      <c r="AP40" s="86"/>
      <c r="AQ40" s="86"/>
      <c r="AR40" s="86"/>
      <c r="AS40" s="86"/>
      <c r="AT40" s="86"/>
      <c r="AU40" s="86"/>
      <c r="AV40" s="86"/>
      <c r="AW40" s="86"/>
      <c r="AX40" s="86"/>
      <c r="AY40" s="86"/>
      <c r="AZ40" s="86"/>
      <c r="BA40" s="86"/>
      <c r="BB40" s="86"/>
      <c r="BC40" s="86"/>
      <c r="BD40" s="86"/>
      <c r="BE40" s="86"/>
    </row>
    <row r="41" spans="1:57">
      <c r="A41" s="86"/>
      <c r="B41" s="86"/>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40"/>
      <c r="AJ41" s="86"/>
      <c r="AK41" s="86"/>
      <c r="AL41" s="86"/>
      <c r="AM41" s="86"/>
      <c r="AN41" s="86"/>
      <c r="AO41" s="86"/>
      <c r="AP41" s="86"/>
      <c r="AQ41" s="86"/>
      <c r="AR41" s="86"/>
      <c r="AS41" s="86"/>
      <c r="AT41" s="86"/>
      <c r="AU41" s="86"/>
      <c r="AV41" s="86"/>
      <c r="AW41" s="86"/>
      <c r="AX41" s="86"/>
      <c r="AY41" s="86"/>
      <c r="AZ41" s="86"/>
      <c r="BA41" s="86"/>
      <c r="BB41" s="86"/>
      <c r="BC41" s="86"/>
      <c r="BD41" s="86"/>
      <c r="BE41" s="86"/>
    </row>
    <row r="42" spans="1:57">
      <c r="A42" s="188"/>
      <c r="B42" s="86"/>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40"/>
      <c r="AJ42" s="86"/>
      <c r="AK42" s="86"/>
      <c r="AL42" s="86"/>
      <c r="AM42" s="86"/>
      <c r="AN42" s="86"/>
      <c r="AO42" s="86"/>
      <c r="AP42" s="86"/>
      <c r="AQ42" s="86"/>
      <c r="AR42" s="86"/>
      <c r="AS42" s="86"/>
      <c r="AT42" s="86"/>
      <c r="AU42" s="86"/>
      <c r="AV42" s="86"/>
      <c r="AW42" s="86"/>
      <c r="AX42" s="86"/>
      <c r="AY42" s="86"/>
      <c r="AZ42" s="86"/>
      <c r="BA42" s="86"/>
      <c r="BB42" s="86"/>
      <c r="BC42" s="86"/>
      <c r="BD42" s="86"/>
      <c r="BE42" s="86"/>
    </row>
    <row r="43" spans="1:57">
      <c r="A43" s="86"/>
      <c r="B43" s="86"/>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40"/>
      <c r="AJ43" s="86"/>
      <c r="AK43" s="86"/>
      <c r="AL43" s="86"/>
      <c r="AM43" s="86"/>
      <c r="AN43" s="86"/>
      <c r="AO43" s="86"/>
      <c r="AP43" s="86"/>
      <c r="AQ43" s="86"/>
      <c r="AR43" s="86"/>
      <c r="AS43" s="86"/>
      <c r="AT43" s="86"/>
      <c r="AU43" s="86"/>
      <c r="AV43" s="86"/>
      <c r="AW43" s="86"/>
      <c r="AX43" s="86"/>
      <c r="AY43" s="86"/>
      <c r="AZ43" s="86"/>
      <c r="BA43" s="86"/>
      <c r="BB43" s="86"/>
      <c r="BC43" s="86"/>
      <c r="BD43" s="86"/>
      <c r="BE43" s="86"/>
    </row>
    <row r="44" spans="1:57">
      <c r="A44" s="86"/>
      <c r="B44" s="86"/>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40"/>
      <c r="AJ44" s="86"/>
      <c r="AK44" s="86"/>
      <c r="AL44" s="86"/>
      <c r="AM44" s="86"/>
      <c r="AN44" s="86"/>
      <c r="AO44" s="86"/>
      <c r="AP44" s="86"/>
      <c r="AQ44" s="86"/>
      <c r="AR44" s="86"/>
      <c r="AS44" s="86"/>
      <c r="AT44" s="86"/>
      <c r="AU44" s="86"/>
      <c r="AV44" s="86"/>
      <c r="AW44" s="86"/>
      <c r="AX44" s="86"/>
      <c r="AY44" s="86"/>
      <c r="AZ44" s="86"/>
      <c r="BA44" s="86"/>
      <c r="BB44" s="86"/>
      <c r="BC44" s="86"/>
      <c r="BD44" s="86"/>
      <c r="BE44" s="86"/>
    </row>
    <row r="45" spans="1:57">
      <c r="A45" s="86"/>
      <c r="B45" s="86"/>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40"/>
      <c r="AJ45" s="86"/>
      <c r="AK45" s="86"/>
      <c r="AL45" s="86"/>
      <c r="AM45" s="86"/>
      <c r="AN45" s="86"/>
      <c r="AO45" s="86"/>
      <c r="AP45" s="86"/>
      <c r="AQ45" s="86"/>
      <c r="AR45" s="86"/>
      <c r="AS45" s="86"/>
      <c r="AT45" s="86"/>
      <c r="AU45" s="86"/>
      <c r="AV45" s="86"/>
      <c r="AW45" s="86"/>
      <c r="AX45" s="86"/>
      <c r="AY45" s="86"/>
      <c r="AZ45" s="86"/>
      <c r="BA45" s="86"/>
      <c r="BB45" s="86"/>
      <c r="BC45" s="86"/>
      <c r="BD45" s="86"/>
      <c r="BE45" s="86"/>
    </row>
    <row r="46" spans="1:57">
      <c r="A46" s="86"/>
      <c r="B46" s="86"/>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40"/>
      <c r="AJ46" s="86"/>
      <c r="AK46" s="86"/>
      <c r="AL46" s="86"/>
      <c r="AM46" s="86"/>
      <c r="AN46" s="86"/>
      <c r="AO46" s="86"/>
      <c r="AP46" s="86"/>
      <c r="AQ46" s="86"/>
      <c r="AR46" s="86"/>
      <c r="AS46" s="86"/>
      <c r="AT46" s="86"/>
      <c r="AU46" s="86"/>
      <c r="AV46" s="86"/>
      <c r="AW46" s="86"/>
      <c r="AX46" s="86"/>
      <c r="AY46" s="86"/>
      <c r="AZ46" s="86"/>
      <c r="BA46" s="86"/>
      <c r="BB46" s="86"/>
      <c r="BC46" s="86"/>
      <c r="BD46" s="86"/>
      <c r="BE46" s="86"/>
    </row>
    <row r="47" spans="1:57">
      <c r="A47" s="86"/>
      <c r="B47" s="86"/>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40"/>
      <c r="AJ47" s="86"/>
      <c r="AK47" s="86"/>
      <c r="AL47" s="86"/>
      <c r="AM47" s="86"/>
      <c r="AN47" s="86"/>
      <c r="AO47" s="86"/>
      <c r="AP47" s="86"/>
      <c r="AQ47" s="86"/>
      <c r="AR47" s="86"/>
      <c r="AS47" s="86"/>
      <c r="AT47" s="86"/>
      <c r="AU47" s="86"/>
      <c r="AV47" s="86"/>
      <c r="AW47" s="86"/>
      <c r="AX47" s="86"/>
      <c r="AY47" s="86"/>
      <c r="AZ47" s="86"/>
      <c r="BA47" s="86"/>
      <c r="BB47" s="86"/>
      <c r="BC47" s="86"/>
      <c r="BD47" s="86"/>
      <c r="BE47" s="86"/>
    </row>
    <row r="48" spans="1:57">
      <c r="A48" s="86"/>
      <c r="B48" s="86"/>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40"/>
      <c r="AJ48" s="86"/>
      <c r="AK48" s="86"/>
      <c r="AL48" s="86"/>
      <c r="AM48" s="86"/>
      <c r="AN48" s="86"/>
      <c r="AO48" s="86"/>
      <c r="AP48" s="86"/>
      <c r="AQ48" s="86"/>
      <c r="AR48" s="86"/>
      <c r="AS48" s="86"/>
      <c r="AT48" s="86"/>
      <c r="AU48" s="86"/>
      <c r="AV48" s="86"/>
      <c r="AW48" s="86"/>
      <c r="AX48" s="86"/>
      <c r="AY48" s="86"/>
      <c r="AZ48" s="86"/>
      <c r="BA48" s="86"/>
      <c r="BB48" s="86"/>
      <c r="BC48" s="86"/>
      <c r="BD48" s="86"/>
      <c r="BE48" s="86"/>
    </row>
    <row r="49" spans="1:57">
      <c r="A49" s="86"/>
      <c r="B49" s="86"/>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40"/>
      <c r="AJ49" s="86"/>
      <c r="AK49" s="86"/>
      <c r="AL49" s="86"/>
      <c r="AM49" s="86"/>
      <c r="AN49" s="86"/>
      <c r="AO49" s="86"/>
      <c r="AP49" s="86"/>
      <c r="AQ49" s="86"/>
      <c r="AR49" s="86"/>
      <c r="AS49" s="86"/>
      <c r="AT49" s="86"/>
      <c r="AU49" s="86"/>
      <c r="AV49" s="86"/>
      <c r="AW49" s="86"/>
      <c r="AX49" s="86"/>
      <c r="AY49" s="86"/>
      <c r="AZ49" s="86"/>
      <c r="BA49" s="86"/>
      <c r="BB49" s="86"/>
      <c r="BC49" s="86"/>
      <c r="BD49" s="86"/>
      <c r="BE49" s="86"/>
    </row>
    <row r="50" spans="1:57">
      <c r="A50" s="86"/>
      <c r="B50" s="86"/>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40"/>
      <c r="AJ50" s="86"/>
      <c r="AK50" s="86"/>
      <c r="AL50" s="86"/>
      <c r="AM50" s="86"/>
      <c r="AN50" s="86"/>
      <c r="AO50" s="86"/>
      <c r="AP50" s="86"/>
      <c r="AQ50" s="86"/>
      <c r="AR50" s="86"/>
      <c r="AS50" s="86"/>
      <c r="AT50" s="86"/>
      <c r="AU50" s="86"/>
      <c r="AV50" s="86"/>
      <c r="AW50" s="86"/>
      <c r="AX50" s="86"/>
      <c r="AY50" s="86"/>
      <c r="AZ50" s="86"/>
      <c r="BA50" s="86"/>
      <c r="BB50" s="86"/>
      <c r="BC50" s="86"/>
      <c r="BD50" s="86"/>
      <c r="BE50" s="86"/>
    </row>
    <row r="51" spans="1:57">
      <c r="A51" s="86"/>
      <c r="B51" s="86"/>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40"/>
      <c r="AJ51" s="86"/>
      <c r="AK51" s="86"/>
      <c r="AL51" s="86"/>
      <c r="AM51" s="86"/>
      <c r="AN51" s="86"/>
      <c r="AO51" s="86"/>
      <c r="AP51" s="86"/>
      <c r="AQ51" s="86"/>
      <c r="AR51" s="86"/>
      <c r="AS51" s="86"/>
      <c r="AT51" s="86"/>
      <c r="AU51" s="86"/>
      <c r="AV51" s="86"/>
      <c r="AW51" s="86"/>
      <c r="AX51" s="86"/>
      <c r="AY51" s="86"/>
      <c r="AZ51" s="86"/>
      <c r="BA51" s="86"/>
      <c r="BB51" s="86"/>
      <c r="BC51" s="86"/>
      <c r="BD51" s="86"/>
      <c r="BE51" s="86"/>
    </row>
    <row r="52" spans="1:57">
      <c r="A52" s="86"/>
      <c r="B52" s="86"/>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40"/>
      <c r="AJ52" s="86"/>
      <c r="AK52" s="86"/>
      <c r="AL52" s="86"/>
      <c r="AM52" s="86"/>
      <c r="AN52" s="86"/>
      <c r="AO52" s="86"/>
      <c r="AP52" s="86"/>
      <c r="AQ52" s="86"/>
      <c r="AR52" s="86"/>
      <c r="AS52" s="86"/>
      <c r="AT52" s="86"/>
      <c r="AU52" s="86"/>
      <c r="AV52" s="86"/>
      <c r="AW52" s="86"/>
      <c r="AX52" s="86"/>
      <c r="AY52" s="86"/>
      <c r="AZ52" s="86"/>
      <c r="BA52" s="86"/>
      <c r="BB52" s="86"/>
      <c r="BC52" s="86"/>
      <c r="BD52" s="86"/>
      <c r="BE52" s="86"/>
    </row>
    <row r="53" spans="1:57">
      <c r="A53" s="86"/>
      <c r="B53" s="86"/>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40"/>
      <c r="AJ53" s="86"/>
      <c r="AK53" s="86"/>
      <c r="AL53" s="86"/>
      <c r="AM53" s="86"/>
      <c r="AN53" s="86"/>
      <c r="AO53" s="86"/>
      <c r="AP53" s="86"/>
      <c r="AQ53" s="86"/>
      <c r="AR53" s="86"/>
      <c r="AS53" s="86"/>
      <c r="AT53" s="86"/>
      <c r="AU53" s="86"/>
      <c r="AV53" s="86"/>
      <c r="AW53" s="86"/>
      <c r="AX53" s="86"/>
      <c r="AY53" s="86"/>
      <c r="AZ53" s="86"/>
      <c r="BA53" s="86"/>
      <c r="BB53" s="86"/>
      <c r="BC53" s="86"/>
      <c r="BD53" s="86"/>
      <c r="BE53" s="86"/>
    </row>
    <row r="54" spans="1:57">
      <c r="A54" s="86"/>
      <c r="B54" s="86"/>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40"/>
      <c r="AJ54" s="86"/>
      <c r="AK54" s="86"/>
      <c r="AL54" s="86"/>
      <c r="AM54" s="86"/>
      <c r="AN54" s="86"/>
      <c r="AO54" s="86"/>
      <c r="AP54" s="86"/>
      <c r="AQ54" s="86"/>
      <c r="AR54" s="86"/>
      <c r="AS54" s="86"/>
      <c r="AT54" s="86"/>
      <c r="AU54" s="86"/>
      <c r="AV54" s="86"/>
      <c r="AW54" s="86"/>
      <c r="AX54" s="86"/>
      <c r="AY54" s="86"/>
      <c r="AZ54" s="86"/>
      <c r="BA54" s="86"/>
      <c r="BB54" s="86"/>
      <c r="BC54" s="86"/>
      <c r="BD54" s="86"/>
      <c r="BE54" s="86"/>
    </row>
    <row r="55" spans="1:57">
      <c r="A55" s="86"/>
      <c r="B55" s="86"/>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40"/>
      <c r="AJ55" s="86"/>
      <c r="AK55" s="86"/>
      <c r="AL55" s="86"/>
      <c r="AM55" s="86"/>
      <c r="AN55" s="86"/>
      <c r="AO55" s="86"/>
      <c r="AP55" s="86"/>
      <c r="AQ55" s="86"/>
      <c r="AR55" s="86"/>
      <c r="AS55" s="86"/>
      <c r="AT55" s="86"/>
      <c r="AU55" s="86"/>
      <c r="AV55" s="86"/>
      <c r="AW55" s="86"/>
      <c r="AX55" s="86"/>
      <c r="AY55" s="86"/>
      <c r="AZ55" s="86"/>
      <c r="BA55" s="86"/>
      <c r="BB55" s="86"/>
      <c r="BC55" s="86"/>
      <c r="BD55" s="86"/>
      <c r="BE55" s="86"/>
    </row>
    <row r="56" spans="1:57">
      <c r="A56" s="86"/>
      <c r="B56" s="86"/>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40"/>
      <c r="AJ56" s="86"/>
      <c r="AK56" s="86"/>
      <c r="AL56" s="86"/>
      <c r="AM56" s="86"/>
      <c r="AN56" s="86"/>
      <c r="AO56" s="86"/>
      <c r="AP56" s="86"/>
      <c r="AQ56" s="86"/>
      <c r="AR56" s="86"/>
      <c r="AS56" s="86"/>
      <c r="AT56" s="86"/>
      <c r="AU56" s="86"/>
      <c r="AV56" s="86"/>
      <c r="AW56" s="86"/>
      <c r="AX56" s="86"/>
      <c r="AY56" s="86"/>
      <c r="AZ56" s="86"/>
      <c r="BA56" s="86"/>
      <c r="BB56" s="86"/>
      <c r="BC56" s="86"/>
      <c r="BD56" s="86"/>
      <c r="BE56" s="86"/>
    </row>
    <row r="57" spans="1:57">
      <c r="A57" s="86"/>
      <c r="B57" s="86"/>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40"/>
      <c r="AJ57" s="86"/>
      <c r="AK57" s="86"/>
      <c r="AL57" s="86"/>
      <c r="AM57" s="86"/>
      <c r="AN57" s="86"/>
      <c r="AO57" s="86"/>
      <c r="AP57" s="86"/>
      <c r="AQ57" s="86"/>
      <c r="AR57" s="86"/>
      <c r="AS57" s="86"/>
      <c r="AT57" s="86"/>
      <c r="AU57" s="86"/>
      <c r="AV57" s="86"/>
      <c r="AW57" s="86"/>
      <c r="AX57" s="86"/>
      <c r="AY57" s="86"/>
      <c r="AZ57" s="86"/>
      <c r="BA57" s="86"/>
      <c r="BB57" s="86"/>
      <c r="BC57" s="86"/>
      <c r="BD57" s="86"/>
      <c r="BE57" s="86"/>
    </row>
    <row r="58" spans="1:57">
      <c r="A58" s="86"/>
      <c r="B58" s="86"/>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40"/>
      <c r="AJ58" s="86"/>
      <c r="AK58" s="86"/>
      <c r="AL58" s="86"/>
      <c r="AM58" s="86"/>
      <c r="AN58" s="86"/>
      <c r="AO58" s="86"/>
      <c r="AP58" s="86"/>
      <c r="AQ58" s="86"/>
      <c r="AR58" s="86"/>
      <c r="AS58" s="86"/>
      <c r="AT58" s="86"/>
      <c r="AU58" s="86"/>
      <c r="AV58" s="86"/>
      <c r="AW58" s="86"/>
      <c r="AX58" s="86"/>
      <c r="AY58" s="86"/>
      <c r="AZ58" s="86"/>
      <c r="BA58" s="86"/>
      <c r="BB58" s="86"/>
      <c r="BC58" s="86"/>
      <c r="BD58" s="86"/>
      <c r="BE58" s="86"/>
    </row>
    <row r="59" spans="1:57">
      <c r="A59" s="86"/>
      <c r="B59" s="86"/>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40"/>
      <c r="AJ59" s="86"/>
      <c r="AK59" s="86"/>
      <c r="AL59" s="86"/>
      <c r="AM59" s="86"/>
      <c r="AN59" s="86"/>
      <c r="AO59" s="86"/>
      <c r="AP59" s="86"/>
      <c r="AQ59" s="86"/>
      <c r="AR59" s="86"/>
      <c r="AS59" s="86"/>
      <c r="AT59" s="86"/>
      <c r="AU59" s="86"/>
      <c r="AV59" s="86"/>
      <c r="AW59" s="86"/>
      <c r="AX59" s="86"/>
      <c r="AY59" s="86"/>
      <c r="AZ59" s="86"/>
      <c r="BA59" s="86"/>
      <c r="BB59" s="86"/>
      <c r="BC59" s="86"/>
      <c r="BD59" s="86"/>
      <c r="BE59" s="86"/>
    </row>
    <row r="60" spans="1:57">
      <c r="A60" s="86"/>
      <c r="B60" s="86"/>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40"/>
      <c r="AJ60" s="86"/>
      <c r="AK60" s="86"/>
      <c r="AL60" s="86"/>
      <c r="AM60" s="86"/>
      <c r="AN60" s="86"/>
      <c r="AO60" s="86"/>
      <c r="AP60" s="86"/>
      <c r="AQ60" s="86"/>
      <c r="AR60" s="86"/>
      <c r="AS60" s="86"/>
      <c r="AT60" s="86"/>
      <c r="AU60" s="86"/>
      <c r="AV60" s="86"/>
      <c r="AW60" s="86"/>
      <c r="AX60" s="86"/>
      <c r="AY60" s="86"/>
      <c r="AZ60" s="86"/>
      <c r="BA60" s="86"/>
      <c r="BB60" s="86"/>
      <c r="BC60" s="86"/>
      <c r="BD60" s="86"/>
      <c r="BE60" s="86"/>
    </row>
    <row r="61" spans="1:57">
      <c r="A61" s="86"/>
      <c r="B61" s="86"/>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40"/>
      <c r="AJ61" s="86"/>
      <c r="AK61" s="86"/>
      <c r="AL61" s="86"/>
      <c r="AM61" s="86"/>
      <c r="AN61" s="86"/>
      <c r="AO61" s="86"/>
      <c r="AP61" s="86"/>
      <c r="AQ61" s="86"/>
      <c r="AR61" s="86"/>
      <c r="AS61" s="86"/>
      <c r="AT61" s="86"/>
      <c r="AU61" s="86"/>
      <c r="AV61" s="86"/>
      <c r="AW61" s="86"/>
      <c r="AX61" s="86"/>
      <c r="AY61" s="86"/>
      <c r="AZ61" s="86"/>
      <c r="BA61" s="86"/>
      <c r="BB61" s="86"/>
      <c r="BC61" s="86"/>
      <c r="BD61" s="86"/>
      <c r="BE61" s="86"/>
    </row>
    <row r="62" spans="1:57">
      <c r="A62" s="86"/>
      <c r="B62" s="86"/>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40"/>
      <c r="AJ62" s="86"/>
      <c r="AK62" s="86"/>
      <c r="AL62" s="86"/>
      <c r="AM62" s="86"/>
      <c r="AN62" s="86"/>
      <c r="AO62" s="86"/>
      <c r="AP62" s="86"/>
      <c r="AQ62" s="86"/>
      <c r="AR62" s="86"/>
      <c r="AS62" s="86"/>
      <c r="AT62" s="86"/>
      <c r="AU62" s="86"/>
      <c r="AV62" s="86"/>
      <c r="AW62" s="86"/>
      <c r="AX62" s="86"/>
      <c r="AY62" s="86"/>
      <c r="AZ62" s="86"/>
      <c r="BA62" s="86"/>
      <c r="BB62" s="86"/>
      <c r="BC62" s="86"/>
      <c r="BD62" s="86"/>
      <c r="BE62" s="86"/>
    </row>
    <row r="63" spans="1:57">
      <c r="A63" s="86"/>
      <c r="B63" s="86"/>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40"/>
      <c r="AJ63" s="86"/>
      <c r="AK63" s="86"/>
      <c r="AL63" s="86"/>
      <c r="AM63" s="86"/>
      <c r="AN63" s="86"/>
      <c r="AO63" s="86"/>
      <c r="AP63" s="86"/>
      <c r="AQ63" s="86"/>
      <c r="AR63" s="86"/>
      <c r="AS63" s="86"/>
      <c r="AT63" s="86"/>
      <c r="AU63" s="86"/>
      <c r="AV63" s="86"/>
      <c r="AW63" s="86"/>
      <c r="AX63" s="86"/>
      <c r="AY63" s="86"/>
      <c r="AZ63" s="86"/>
      <c r="BA63" s="86"/>
      <c r="BB63" s="86"/>
      <c r="BC63" s="86"/>
      <c r="BD63" s="86"/>
      <c r="BE63" s="86"/>
    </row>
    <row r="64" spans="1:57">
      <c r="A64" s="86"/>
      <c r="B64" s="86"/>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40"/>
      <c r="AJ64" s="86"/>
      <c r="AK64" s="86"/>
      <c r="AL64" s="86"/>
      <c r="AM64" s="86"/>
      <c r="AN64" s="86"/>
      <c r="AO64" s="86"/>
      <c r="AP64" s="86"/>
      <c r="AQ64" s="86"/>
      <c r="AR64" s="86"/>
      <c r="AS64" s="86"/>
      <c r="AT64" s="86"/>
      <c r="AU64" s="86"/>
      <c r="AV64" s="86"/>
      <c r="AW64" s="86"/>
      <c r="AX64" s="86"/>
      <c r="AY64" s="86"/>
      <c r="AZ64" s="86"/>
      <c r="BA64" s="86"/>
      <c r="BB64" s="86"/>
      <c r="BC64" s="86"/>
      <c r="BD64" s="86"/>
      <c r="BE64" s="86"/>
    </row>
    <row r="65" spans="1:57">
      <c r="A65" s="86"/>
      <c r="B65" s="86"/>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40"/>
      <c r="AJ65" s="86"/>
      <c r="AK65" s="86"/>
      <c r="AL65" s="86"/>
      <c r="AM65" s="86"/>
      <c r="AN65" s="86"/>
      <c r="AO65" s="86"/>
      <c r="AP65" s="86"/>
      <c r="AQ65" s="86"/>
      <c r="AR65" s="86"/>
      <c r="AS65" s="86"/>
      <c r="AT65" s="86"/>
      <c r="AU65" s="86"/>
      <c r="AV65" s="86"/>
      <c r="AW65" s="86"/>
      <c r="AX65" s="86"/>
      <c r="AY65" s="86"/>
      <c r="AZ65" s="86"/>
      <c r="BA65" s="86"/>
      <c r="BB65" s="86"/>
      <c r="BC65" s="86"/>
      <c r="BD65" s="86"/>
      <c r="BE65" s="86"/>
    </row>
    <row r="66" spans="1:57">
      <c r="A66" s="86"/>
      <c r="B66" s="86"/>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40"/>
      <c r="AJ66" s="86"/>
      <c r="AK66" s="86"/>
      <c r="AL66" s="86"/>
      <c r="AM66" s="86"/>
      <c r="AN66" s="86"/>
      <c r="AO66" s="86"/>
      <c r="AP66" s="86"/>
      <c r="AQ66" s="86"/>
      <c r="AR66" s="86"/>
      <c r="AS66" s="86"/>
      <c r="AT66" s="86"/>
      <c r="AU66" s="86"/>
      <c r="AV66" s="86"/>
      <c r="AW66" s="86"/>
      <c r="AX66" s="86"/>
      <c r="AY66" s="86"/>
      <c r="AZ66" s="86"/>
      <c r="BA66" s="86"/>
      <c r="BB66" s="86"/>
      <c r="BC66" s="86"/>
      <c r="BD66" s="86"/>
      <c r="BE66" s="86"/>
    </row>
    <row r="67" spans="1:57">
      <c r="A67" s="86"/>
      <c r="B67" s="86"/>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40"/>
      <c r="AJ67" s="86"/>
      <c r="AK67" s="86"/>
      <c r="AL67" s="86"/>
      <c r="AM67" s="86"/>
      <c r="AN67" s="86"/>
      <c r="AO67" s="86"/>
      <c r="AP67" s="86"/>
      <c r="AQ67" s="86"/>
      <c r="AR67" s="86"/>
      <c r="AS67" s="86"/>
      <c r="AT67" s="86"/>
      <c r="AU67" s="86"/>
      <c r="AV67" s="86"/>
      <c r="AW67" s="86"/>
      <c r="AX67" s="86"/>
      <c r="AY67" s="86"/>
      <c r="AZ67" s="86"/>
      <c r="BA67" s="86"/>
      <c r="BB67" s="86"/>
      <c r="BC67" s="86"/>
      <c r="BD67" s="86"/>
      <c r="BE67" s="86"/>
    </row>
    <row r="68" spans="1:57">
      <c r="A68" s="86"/>
      <c r="B68" s="86"/>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40"/>
      <c r="AJ68" s="86"/>
      <c r="AK68" s="86"/>
      <c r="AL68" s="86"/>
      <c r="AM68" s="86"/>
      <c r="AN68" s="86"/>
      <c r="AO68" s="86"/>
      <c r="AP68" s="86"/>
      <c r="AQ68" s="86"/>
      <c r="AR68" s="86"/>
      <c r="AS68" s="86"/>
      <c r="AT68" s="86"/>
      <c r="AU68" s="86"/>
      <c r="AV68" s="86"/>
      <c r="AW68" s="86"/>
      <c r="AX68" s="86"/>
      <c r="AY68" s="86"/>
      <c r="AZ68" s="86"/>
      <c r="BA68" s="86"/>
      <c r="BB68" s="86"/>
      <c r="BC68" s="86"/>
      <c r="BD68" s="86"/>
      <c r="BE68" s="86"/>
    </row>
    <row r="69" spans="1:57">
      <c r="A69" s="86"/>
      <c r="B69" s="86"/>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40"/>
      <c r="AJ69" s="86"/>
      <c r="AK69" s="86"/>
      <c r="AL69" s="86"/>
      <c r="AM69" s="86"/>
      <c r="AN69" s="86"/>
      <c r="AO69" s="86"/>
      <c r="AP69" s="86"/>
      <c r="AQ69" s="86"/>
      <c r="AR69" s="86"/>
      <c r="AS69" s="86"/>
      <c r="AT69" s="86"/>
      <c r="AU69" s="86"/>
      <c r="AV69" s="86"/>
      <c r="AW69" s="86"/>
      <c r="AX69" s="86"/>
      <c r="AY69" s="86"/>
      <c r="AZ69" s="86"/>
      <c r="BA69" s="86"/>
      <c r="BB69" s="86"/>
      <c r="BC69" s="86"/>
      <c r="BD69" s="86"/>
      <c r="BE69" s="86"/>
    </row>
    <row r="70" spans="1:57">
      <c r="A70" s="86"/>
      <c r="B70" s="86"/>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40"/>
      <c r="AJ70" s="86"/>
      <c r="AK70" s="86"/>
      <c r="AL70" s="86"/>
      <c r="AM70" s="86"/>
      <c r="AN70" s="86"/>
      <c r="AO70" s="86"/>
      <c r="AP70" s="86"/>
      <c r="AQ70" s="86"/>
      <c r="AR70" s="86"/>
      <c r="AS70" s="86"/>
      <c r="AT70" s="86"/>
      <c r="AU70" s="86"/>
      <c r="AV70" s="86"/>
      <c r="AW70" s="86"/>
      <c r="AX70" s="86"/>
      <c r="AY70" s="86"/>
      <c r="AZ70" s="86"/>
      <c r="BA70" s="86"/>
      <c r="BB70" s="86"/>
      <c r="BC70" s="86"/>
      <c r="BD70" s="86"/>
      <c r="BE70" s="86"/>
    </row>
    <row r="71" spans="1:57">
      <c r="A71" s="86"/>
      <c r="B71" s="86"/>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40"/>
      <c r="AJ71" s="86"/>
      <c r="AK71" s="86"/>
      <c r="AL71" s="86"/>
      <c r="AM71" s="86"/>
      <c r="AN71" s="86"/>
      <c r="AO71" s="86"/>
      <c r="AP71" s="86"/>
      <c r="AQ71" s="86"/>
      <c r="AR71" s="86"/>
      <c r="AS71" s="86"/>
      <c r="AT71" s="86"/>
      <c r="AU71" s="86"/>
      <c r="AV71" s="86"/>
      <c r="AW71" s="86"/>
      <c r="AX71" s="86"/>
      <c r="AY71" s="86"/>
      <c r="AZ71" s="86"/>
      <c r="BA71" s="86"/>
      <c r="BB71" s="86"/>
      <c r="BC71" s="86"/>
      <c r="BD71" s="86"/>
      <c r="BE71" s="86"/>
    </row>
    <row r="72" spans="1:57">
      <c r="A72" s="86"/>
      <c r="B72" s="86"/>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40"/>
      <c r="AJ72" s="86"/>
      <c r="AK72" s="86"/>
      <c r="AL72" s="86"/>
      <c r="AM72" s="86"/>
      <c r="AN72" s="86"/>
      <c r="AO72" s="86"/>
      <c r="AP72" s="86"/>
      <c r="AQ72" s="86"/>
      <c r="AR72" s="86"/>
      <c r="AS72" s="86"/>
      <c r="AT72" s="86"/>
      <c r="AU72" s="86"/>
      <c r="AV72" s="86"/>
      <c r="AW72" s="86"/>
      <c r="AX72" s="86"/>
      <c r="AY72" s="86"/>
      <c r="AZ72" s="86"/>
      <c r="BA72" s="86"/>
      <c r="BB72" s="86"/>
      <c r="BC72" s="86"/>
      <c r="BD72" s="86"/>
      <c r="BE72" s="86"/>
    </row>
    <row r="73" spans="1:57">
      <c r="A73" s="86"/>
      <c r="B73" s="86"/>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40"/>
      <c r="AJ73" s="86"/>
      <c r="AK73" s="86"/>
      <c r="AL73" s="86"/>
      <c r="AM73" s="86"/>
      <c r="AN73" s="86"/>
      <c r="AO73" s="86"/>
      <c r="AP73" s="86"/>
      <c r="AQ73" s="86"/>
      <c r="AR73" s="86"/>
      <c r="AS73" s="86"/>
      <c r="AT73" s="86"/>
      <c r="AU73" s="86"/>
      <c r="AV73" s="86"/>
      <c r="AW73" s="86"/>
      <c r="AX73" s="86"/>
      <c r="AY73" s="86"/>
      <c r="AZ73" s="86"/>
      <c r="BA73" s="86"/>
      <c r="BB73" s="86"/>
      <c r="BC73" s="86"/>
      <c r="BD73" s="86"/>
      <c r="BE73" s="86"/>
    </row>
    <row r="74" spans="1:57">
      <c r="A74" s="86"/>
      <c r="B74" s="86"/>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40"/>
      <c r="AJ74" s="86"/>
      <c r="AK74" s="86"/>
      <c r="AL74" s="86"/>
      <c r="AM74" s="86"/>
      <c r="AN74" s="86"/>
      <c r="AO74" s="86"/>
      <c r="AP74" s="86"/>
      <c r="AQ74" s="86"/>
      <c r="AR74" s="86"/>
      <c r="AS74" s="86"/>
      <c r="AT74" s="86"/>
      <c r="AU74" s="86"/>
      <c r="AV74" s="86"/>
      <c r="AW74" s="86"/>
      <c r="AX74" s="86"/>
      <c r="AY74" s="86"/>
      <c r="AZ74" s="86"/>
      <c r="BA74" s="86"/>
      <c r="BB74" s="86"/>
      <c r="BC74" s="86"/>
      <c r="BD74" s="86"/>
      <c r="BE74" s="86"/>
    </row>
    <row r="75" spans="1:57">
      <c r="A75" s="86"/>
      <c r="B75" s="86"/>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40"/>
      <c r="AJ75" s="86"/>
      <c r="AK75" s="86"/>
      <c r="AL75" s="86"/>
      <c r="AM75" s="86"/>
      <c r="AN75" s="86"/>
      <c r="AO75" s="86"/>
      <c r="AP75" s="86"/>
      <c r="AQ75" s="86"/>
      <c r="AR75" s="86"/>
      <c r="AS75" s="86"/>
      <c r="AT75" s="86"/>
      <c r="AU75" s="86"/>
      <c r="AV75" s="86"/>
      <c r="AW75" s="86"/>
      <c r="AX75" s="86"/>
      <c r="AY75" s="86"/>
      <c r="AZ75" s="86"/>
      <c r="BA75" s="86"/>
      <c r="BB75" s="86"/>
      <c r="BC75" s="86"/>
      <c r="BD75" s="86"/>
      <c r="BE75" s="86"/>
    </row>
    <row r="76" spans="1:57">
      <c r="A76" s="86"/>
      <c r="B76" s="86"/>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40"/>
      <c r="AJ76" s="86"/>
      <c r="AK76" s="86"/>
      <c r="AL76" s="86"/>
      <c r="AM76" s="86"/>
      <c r="AN76" s="86"/>
      <c r="AO76" s="86"/>
      <c r="AP76" s="86"/>
      <c r="AQ76" s="86"/>
      <c r="AR76" s="86"/>
      <c r="AS76" s="86"/>
      <c r="AT76" s="86"/>
      <c r="AU76" s="86"/>
      <c r="AV76" s="86"/>
      <c r="AW76" s="86"/>
      <c r="AX76" s="86"/>
      <c r="AY76" s="86"/>
      <c r="AZ76" s="86"/>
      <c r="BA76" s="86"/>
      <c r="BB76" s="86"/>
      <c r="BC76" s="86"/>
      <c r="BD76" s="86"/>
      <c r="BE76" s="86"/>
    </row>
    <row r="77" spans="1:57">
      <c r="A77" s="86"/>
      <c r="B77" s="86"/>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40"/>
      <c r="AJ77" s="86"/>
      <c r="AK77" s="86"/>
      <c r="AL77" s="86"/>
      <c r="AM77" s="86"/>
      <c r="AN77" s="86"/>
      <c r="AO77" s="86"/>
      <c r="AP77" s="86"/>
      <c r="AQ77" s="86"/>
      <c r="AR77" s="86"/>
      <c r="AS77" s="86"/>
      <c r="AT77" s="86"/>
      <c r="AU77" s="86"/>
      <c r="AV77" s="86"/>
      <c r="AW77" s="86"/>
      <c r="AX77" s="86"/>
      <c r="AY77" s="86"/>
      <c r="AZ77" s="86"/>
      <c r="BA77" s="86"/>
      <c r="BB77" s="86"/>
      <c r="BC77" s="86"/>
      <c r="BD77" s="86"/>
      <c r="BE77" s="86"/>
    </row>
    <row r="78" spans="1:57">
      <c r="A78" s="86"/>
      <c r="B78" s="86"/>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40"/>
      <c r="AJ78" s="86"/>
      <c r="AK78" s="86"/>
      <c r="AL78" s="86"/>
      <c r="AM78" s="86"/>
      <c r="AN78" s="86"/>
      <c r="AO78" s="86"/>
      <c r="AP78" s="86"/>
      <c r="AQ78" s="86"/>
      <c r="AR78" s="86"/>
      <c r="AS78" s="86"/>
      <c r="AT78" s="86"/>
      <c r="AU78" s="86"/>
      <c r="AV78" s="86"/>
      <c r="AW78" s="86"/>
      <c r="AX78" s="86"/>
      <c r="AY78" s="86"/>
      <c r="AZ78" s="86"/>
      <c r="BA78" s="86"/>
      <c r="BB78" s="86"/>
      <c r="BC78" s="86"/>
      <c r="BD78" s="86"/>
      <c r="BE78" s="86"/>
    </row>
  </sheetData>
  <customSheetViews>
    <customSheetView guid="{C0288C5C-A803-495F-B0CA-42FBBD5677AA}" scale="85" showPageBreaks="1" showGridLines="0" printArea="1" showRuler="0">
      <pane xSplit="1" ySplit="1" topLeftCell="B2" activePane="bottomRight" state="frozen"/>
      <selection pane="bottomRight" activeCell="A2" sqref="A2"/>
      <rowBreaks count="1" manualBreakCount="1">
        <brk id="23" max="6" man="1"/>
      </rowBreaks>
      <pageMargins left="0" right="0" top="0" bottom="0" header="0" footer="0"/>
      <pageSetup paperSize="9" scale="99" fitToHeight="2" orientation="landscape" r:id="rId1"/>
      <headerFooter alignWithMargins="0">
        <oddHeader>&amp;LAnnual Returns 2010-11&amp;RFS2 - Enforcement Activity</oddHeader>
      </headerFooter>
    </customSheetView>
  </customSheetViews>
  <mergeCells count="9">
    <mergeCell ref="O8:O9"/>
    <mergeCell ref="A8:L8"/>
    <mergeCell ref="C3:L4"/>
    <mergeCell ref="A7:L7"/>
    <mergeCell ref="B37:L37"/>
    <mergeCell ref="B9:G9"/>
    <mergeCell ref="A9:A10"/>
    <mergeCell ref="H9:L9"/>
    <mergeCell ref="B36:L36"/>
  </mergeCells>
  <phoneticPr fontId="0" type="noConversion"/>
  <dataValidations count="3">
    <dataValidation type="decimal" errorStyle="warning" operator="lessThan" allowBlank="1" showInputMessage="1" showErrorMessage="1" errorTitle="Large or non-numeric value" error="The value is either very large compared to last year or non numeric, is this correct?" sqref="F11:F31 K11:K31" xr:uid="{00000000-0002-0000-0200-000000000000}">
      <formula1>500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E18 H18:J18" xr:uid="{FEEE7DE2-E30D-4B31-B051-9A9E00010DD6}">
      <formula1>0</formula1>
      <formula2>40000</formula2>
    </dataValidation>
    <dataValidation type="whole" errorStyle="warning" allowBlank="1" showInputMessage="1" showErrorMessage="1" error="The figure inputted is either unexpectedly large or not a positive whole number." sqref="B11:E17 B19:E31 H11:J17 H19:J31" xr:uid="{8F850577-A166-4347-9CFD-71151CEDD248}">
      <formula1>0</formula1>
      <formula2>100000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2"/>
  <headerFooter alignWithMargins="0">
    <oddHeader>&amp;LAnnual Returns 2016-17&amp;C&amp;"Aptos"&amp;10&amp;K000000 OFFICIAL&amp;1#_x000D_&amp;RFS2 - Enforcement Activity&amp;LAnnual Returns 2016-17</oddHeader>
    <oddFooter>&amp;C_x000D_&amp;1#&amp;"Aptos"&amp;10&amp;K000000 OFFICIAL</oddFooter>
  </headerFooter>
  <drawing r:id="rId3"/>
  <extLst>
    <ext xmlns:x14="http://schemas.microsoft.com/office/spreadsheetml/2009/9/main" uri="{78C0D931-6437-407d-A8EE-F0AAD7539E65}">
      <x14:conditionalFormattings>
        <x14:conditionalFormatting xmlns:xm="http://schemas.microsoft.com/office/excel/2006/main">
          <x14:cfRule type="expression" priority="1" id="{797D3F1A-91E3-4F59-B739-B9D4D7159057}">
            <xm:f>IF(AND(B32&lt;'FS2 PY'!B32-'QA check thresholds'!$A$6,B32&lt;'FS2 PY'!B32*'QA check thresholds'!$C$2),TRUE,FALSE)</xm:f>
            <x14:dxf>
              <font>
                <b/>
                <i val="0"/>
                <color rgb="FFFF0000"/>
              </font>
              <fill>
                <patternFill>
                  <bgColor rgb="FFFFC000"/>
                </patternFill>
              </fill>
            </x14:dxf>
          </x14:cfRule>
          <x14:cfRule type="expression" priority="2" id="{5E57091E-CC15-4D69-A0B6-8C29AAEE2EC7}">
            <xm:f>IF(AND(B32&gt;'FS2 PY'!B32+'QA check thresholds'!$A$6,B32&gt;'FS2 PY'!B32*'QA check thresholds'!$C$3),TRUE,FALSE)</xm:f>
            <x14:dxf>
              <font>
                <b/>
                <i val="0"/>
                <color rgb="FFFF0000"/>
              </font>
              <fill>
                <patternFill>
                  <bgColor rgb="FFFFC000"/>
                </patternFill>
              </fill>
            </x14:dxf>
          </x14:cfRule>
          <xm:sqref>B32:E32</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BJ75"/>
  <sheetViews>
    <sheetView zoomScale="70" zoomScaleNormal="70" workbookViewId="0">
      <selection activeCell="AE20" sqref="AE20"/>
    </sheetView>
  </sheetViews>
  <sheetFormatPr defaultColWidth="26.5703125" defaultRowHeight="24" customHeight="1"/>
  <cols>
    <col min="1" max="1" width="36.5703125" style="3" customWidth="1"/>
    <col min="2" max="2" width="32.5703125" style="3" hidden="1" customWidth="1"/>
    <col min="3" max="14" width="14" style="7" customWidth="1"/>
    <col min="15" max="34" width="26.5703125" style="7" customWidth="1"/>
    <col min="35" max="47" width="26.5703125" customWidth="1"/>
    <col min="48" max="48" width="4.5703125" style="7" customWidth="1"/>
    <col min="49" max="54" width="26.5703125" style="7" customWidth="1"/>
    <col min="55" max="56" width="9.5703125" style="7" customWidth="1"/>
    <col min="57" max="59" width="9" style="7" customWidth="1"/>
    <col min="60" max="60" width="9.5703125" style="7" customWidth="1"/>
    <col min="61" max="84" width="26.5703125" style="7" customWidth="1"/>
    <col min="85" max="16384" width="26.5703125" style="7"/>
  </cols>
  <sheetData>
    <row r="1" spans="1:62"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7"/>
      <c r="AJ1" s="86"/>
      <c r="AK1" s="86"/>
      <c r="AL1" s="86"/>
      <c r="AM1" s="86"/>
      <c r="AN1" s="86"/>
      <c r="AO1" s="86"/>
      <c r="AP1" s="86"/>
      <c r="AQ1" s="86"/>
      <c r="AR1" s="86"/>
      <c r="AS1" s="86"/>
      <c r="AT1" s="86"/>
      <c r="AU1" s="86"/>
      <c r="AV1" s="86"/>
      <c r="AW1" s="86"/>
      <c r="AX1" s="86"/>
    </row>
    <row r="2" spans="1:62" ht="11.25" customHeight="1" thickBot="1">
      <c r="A2" s="86"/>
      <c r="B2" s="86"/>
      <c r="C2" s="86"/>
      <c r="D2" s="86"/>
      <c r="E2" s="86"/>
      <c r="F2" s="86"/>
      <c r="G2" s="86"/>
      <c r="H2" s="86"/>
      <c r="I2" s="86"/>
      <c r="J2" s="86"/>
      <c r="K2" s="86"/>
      <c r="L2" s="86"/>
      <c r="M2" s="86"/>
      <c r="N2" s="86"/>
      <c r="O2" s="40"/>
      <c r="P2" s="86"/>
      <c r="Q2" s="86"/>
      <c r="R2" s="86"/>
      <c r="S2" s="86"/>
      <c r="T2" s="86"/>
      <c r="U2" s="86"/>
      <c r="V2" s="86"/>
      <c r="W2" s="86"/>
      <c r="X2" s="86"/>
      <c r="Y2" s="86"/>
      <c r="Z2" s="86"/>
      <c r="AA2" s="86"/>
      <c r="AB2" s="86"/>
      <c r="AC2" s="86"/>
      <c r="AD2" s="86"/>
      <c r="AE2" s="86"/>
      <c r="AF2" s="86"/>
      <c r="AG2" s="86"/>
      <c r="AH2" s="86"/>
      <c r="AI2" s="7"/>
      <c r="AJ2" s="86"/>
      <c r="AK2" s="86"/>
      <c r="AL2" s="86"/>
      <c r="AM2" s="86"/>
      <c r="AN2" s="86"/>
      <c r="AO2" s="86"/>
      <c r="AP2" s="86"/>
      <c r="AQ2" s="86"/>
      <c r="AR2" s="86"/>
      <c r="AS2" s="86"/>
      <c r="AT2" s="86"/>
      <c r="AU2" s="86"/>
      <c r="AV2" s="86"/>
      <c r="AW2" s="86"/>
      <c r="AX2" s="86"/>
    </row>
    <row r="3" spans="1:62" ht="29.25" customHeight="1">
      <c r="A3" s="86"/>
      <c r="B3" s="86"/>
      <c r="C3" s="86"/>
      <c r="D3" s="248" t="str">
        <f>Cover!A10</f>
        <v>Shropshire</v>
      </c>
      <c r="E3" s="249"/>
      <c r="F3" s="249"/>
      <c r="G3" s="249"/>
      <c r="H3" s="249"/>
      <c r="I3" s="249"/>
      <c r="J3" s="249"/>
      <c r="K3" s="249"/>
      <c r="L3" s="249"/>
      <c r="M3" s="249"/>
      <c r="N3" s="250"/>
      <c r="O3" s="40"/>
      <c r="P3" s="86"/>
      <c r="Q3" s="86"/>
      <c r="R3" s="86"/>
      <c r="S3" s="86"/>
      <c r="T3" s="86"/>
      <c r="U3" s="86"/>
      <c r="V3" s="86"/>
      <c r="W3" s="86"/>
      <c r="X3" s="86"/>
      <c r="Y3" s="86"/>
      <c r="Z3" s="86"/>
      <c r="AA3" s="86"/>
      <c r="AB3" s="86"/>
      <c r="AC3" s="86"/>
      <c r="AD3" s="86"/>
      <c r="AE3" s="86"/>
      <c r="AF3" s="86"/>
      <c r="AG3" s="86"/>
      <c r="AH3" s="86"/>
      <c r="AI3" s="7"/>
      <c r="AJ3" s="86"/>
      <c r="AK3" s="86"/>
      <c r="AL3" s="86"/>
      <c r="AM3" s="86"/>
      <c r="AN3" s="86"/>
      <c r="AO3" s="86"/>
      <c r="AP3" s="86"/>
      <c r="AQ3" s="86"/>
      <c r="AR3" s="86"/>
      <c r="AS3" s="86"/>
      <c r="AT3" s="86"/>
      <c r="AU3" s="86"/>
      <c r="AV3" s="86"/>
      <c r="AW3" s="86"/>
      <c r="AX3" s="86"/>
    </row>
    <row r="4" spans="1:62" ht="13.5" thickBot="1">
      <c r="A4" s="86"/>
      <c r="B4" s="86"/>
      <c r="C4" s="86"/>
      <c r="D4" s="251"/>
      <c r="E4" s="252"/>
      <c r="F4" s="252"/>
      <c r="G4" s="252"/>
      <c r="H4" s="252"/>
      <c r="I4" s="252"/>
      <c r="J4" s="252"/>
      <c r="K4" s="252"/>
      <c r="L4" s="252"/>
      <c r="M4" s="252"/>
      <c r="N4" s="253"/>
      <c r="O4" s="40"/>
      <c r="P4" s="86"/>
      <c r="Q4" s="86"/>
      <c r="R4" s="86"/>
      <c r="S4" s="86"/>
      <c r="T4" s="86"/>
      <c r="U4" s="86"/>
      <c r="V4" s="86"/>
      <c r="W4" s="86"/>
      <c r="X4" s="86"/>
      <c r="Y4" s="86"/>
      <c r="Z4" s="86"/>
      <c r="AA4" s="86"/>
      <c r="AB4" s="86"/>
      <c r="AC4" s="86"/>
      <c r="AD4" s="86"/>
      <c r="AE4" s="86"/>
      <c r="AF4" s="86"/>
      <c r="AG4" s="86"/>
      <c r="AH4" s="86"/>
      <c r="AI4" s="7"/>
      <c r="AJ4" s="86"/>
      <c r="AK4" s="86"/>
      <c r="AL4" s="86"/>
      <c r="AM4" s="86"/>
      <c r="AN4" s="86"/>
      <c r="AO4" s="86"/>
      <c r="AP4" s="86"/>
      <c r="AQ4" s="86"/>
      <c r="AR4" s="86"/>
      <c r="AS4" s="86"/>
      <c r="AT4" s="86"/>
      <c r="AU4" s="86"/>
      <c r="AV4" s="86"/>
      <c r="AW4" s="86"/>
      <c r="AX4" s="86"/>
    </row>
    <row r="5" spans="1:62" ht="43.5" customHeight="1" thickBot="1">
      <c r="A5" s="86"/>
      <c r="B5" s="86"/>
      <c r="C5" s="86"/>
      <c r="D5" s="86"/>
      <c r="E5" s="86"/>
      <c r="F5" s="86"/>
      <c r="G5" s="86"/>
      <c r="H5" s="86"/>
      <c r="I5" s="86"/>
      <c r="J5" s="86"/>
      <c r="K5" s="86"/>
      <c r="L5" s="86"/>
      <c r="M5" s="86"/>
      <c r="N5" s="86"/>
      <c r="O5" s="40"/>
      <c r="P5" s="86"/>
      <c r="Q5" s="86"/>
      <c r="R5" s="86"/>
      <c r="S5" s="86"/>
      <c r="T5" s="86"/>
      <c r="U5" s="86"/>
      <c r="V5" s="86"/>
      <c r="W5" s="86"/>
      <c r="X5" s="86"/>
      <c r="Y5" s="86"/>
      <c r="Z5" s="86"/>
      <c r="AA5" s="86"/>
      <c r="AB5" s="86"/>
      <c r="AC5" s="86"/>
      <c r="AD5" s="86"/>
      <c r="AE5" s="86"/>
      <c r="AF5" s="86"/>
      <c r="AG5" s="86"/>
      <c r="AH5" s="86"/>
      <c r="AI5" s="7"/>
      <c r="AJ5" s="86"/>
      <c r="AK5" s="86"/>
      <c r="AL5" s="86"/>
      <c r="AM5" s="86"/>
      <c r="AN5" s="86"/>
      <c r="AO5" s="86"/>
      <c r="AP5" s="86"/>
      <c r="AQ5" s="86"/>
      <c r="AR5" s="86"/>
      <c r="AS5" s="86"/>
      <c r="AT5" s="86"/>
      <c r="AU5" s="86"/>
      <c r="AV5" s="86"/>
      <c r="AW5" s="86"/>
      <c r="AX5" s="86"/>
    </row>
    <row r="6" spans="1:62" ht="24" customHeight="1" thickBot="1">
      <c r="A6" s="254" t="s">
        <v>362</v>
      </c>
      <c r="B6" s="255"/>
      <c r="C6" s="255"/>
      <c r="D6" s="255"/>
      <c r="E6" s="255"/>
      <c r="F6" s="255"/>
      <c r="G6" s="255"/>
      <c r="H6" s="255"/>
      <c r="I6" s="255"/>
      <c r="J6" s="255"/>
      <c r="K6" s="255"/>
      <c r="L6" s="255"/>
      <c r="M6" s="255"/>
      <c r="N6" s="256"/>
      <c r="O6" s="40"/>
      <c r="P6" s="86"/>
      <c r="Q6" s="86"/>
      <c r="R6" s="86"/>
      <c r="S6" s="86"/>
      <c r="T6" s="86"/>
      <c r="U6" s="86"/>
      <c r="V6" s="86"/>
      <c r="W6" s="86"/>
      <c r="X6" s="86"/>
      <c r="Y6" s="86"/>
      <c r="Z6" s="86"/>
      <c r="AA6" s="86"/>
      <c r="AB6" s="86"/>
      <c r="AC6" s="86"/>
      <c r="AD6" s="86"/>
      <c r="AE6" s="86"/>
      <c r="AF6" s="86"/>
      <c r="AG6" s="86"/>
      <c r="AH6" s="86"/>
      <c r="AJ6" s="40"/>
      <c r="AK6" s="40"/>
      <c r="AL6" s="40"/>
      <c r="AM6" s="40"/>
      <c r="AN6" s="40"/>
      <c r="AO6" s="40"/>
      <c r="AP6" s="40"/>
      <c r="AQ6" s="40"/>
      <c r="AR6" s="40"/>
      <c r="AS6" s="40"/>
      <c r="AT6" s="40"/>
      <c r="AU6" s="40"/>
      <c r="AV6" s="86"/>
      <c r="AW6" s="40"/>
      <c r="AX6" s="40"/>
      <c r="AY6"/>
      <c r="AZ6"/>
      <c r="BA6"/>
      <c r="BB6"/>
    </row>
    <row r="7" spans="1:62" s="4" customFormat="1" ht="38.1" customHeight="1" thickBot="1">
      <c r="A7" s="273" t="s">
        <v>325</v>
      </c>
      <c r="B7" s="274"/>
      <c r="C7" s="274"/>
      <c r="D7" s="274"/>
      <c r="E7" s="274"/>
      <c r="F7" s="274"/>
      <c r="G7" s="274"/>
      <c r="H7" s="274"/>
      <c r="I7" s="274"/>
      <c r="J7" s="274"/>
      <c r="K7" s="274"/>
      <c r="L7" s="274"/>
      <c r="M7" s="274"/>
      <c r="N7" s="275"/>
      <c r="O7" s="40"/>
      <c r="P7" s="101"/>
      <c r="Q7" s="101"/>
      <c r="R7" s="101"/>
      <c r="S7" s="101"/>
      <c r="T7" s="101"/>
      <c r="U7" s="101"/>
      <c r="V7" s="101"/>
      <c r="W7" s="101"/>
      <c r="X7" s="101"/>
      <c r="Y7" s="101"/>
      <c r="Z7" s="101"/>
      <c r="AA7" s="101"/>
      <c r="AB7" s="101"/>
      <c r="AC7" s="101"/>
      <c r="AD7" s="101"/>
      <c r="AE7" s="101"/>
      <c r="AF7" s="101"/>
      <c r="AW7" s="7"/>
      <c r="AX7" s="7"/>
      <c r="AY7" s="7"/>
      <c r="AZ7" s="7"/>
      <c r="BA7" s="7"/>
      <c r="BB7" s="7"/>
    </row>
    <row r="8" spans="1:62" ht="24" customHeight="1" thickBot="1">
      <c r="A8" s="260" t="s">
        <v>363</v>
      </c>
      <c r="B8" s="261"/>
      <c r="C8" s="261"/>
      <c r="D8" s="261"/>
      <c r="E8" s="261"/>
      <c r="F8" s="261"/>
      <c r="G8" s="261"/>
      <c r="H8" s="261"/>
      <c r="I8" s="261"/>
      <c r="J8" s="261"/>
      <c r="K8" s="261"/>
      <c r="L8" s="261"/>
      <c r="M8" s="261"/>
      <c r="N8" s="262"/>
      <c r="O8" s="40"/>
      <c r="P8" s="86"/>
      <c r="Q8" s="86"/>
      <c r="R8" s="86"/>
      <c r="S8" s="86"/>
      <c r="T8" s="86"/>
      <c r="U8" s="86"/>
      <c r="V8" s="86"/>
      <c r="W8" s="86"/>
      <c r="X8" s="86"/>
      <c r="Y8" s="86"/>
      <c r="Z8" s="86"/>
      <c r="AA8" s="86"/>
      <c r="AB8" s="86"/>
      <c r="AC8" s="86"/>
      <c r="AD8" s="86"/>
      <c r="AE8" s="86"/>
      <c r="AF8" s="86"/>
      <c r="AI8" s="7"/>
      <c r="AJ8" s="7"/>
      <c r="AK8" s="7"/>
      <c r="AL8" s="7"/>
      <c r="AM8" s="7"/>
      <c r="AN8" s="7"/>
      <c r="AO8" s="7"/>
      <c r="AP8" s="7"/>
      <c r="AQ8" s="7"/>
      <c r="AR8" s="7"/>
      <c r="AS8" s="7"/>
      <c r="AT8" s="7"/>
      <c r="AU8" s="7"/>
    </row>
    <row r="9" spans="1:62" s="6" customFormat="1" ht="101.85" customHeight="1" thickBot="1">
      <c r="A9" s="21"/>
      <c r="B9" s="22"/>
      <c r="C9" s="14" t="s">
        <v>364</v>
      </c>
      <c r="D9" s="23" t="s">
        <v>365</v>
      </c>
      <c r="E9" s="23" t="s">
        <v>366</v>
      </c>
      <c r="F9" s="23" t="s">
        <v>367</v>
      </c>
      <c r="G9" s="23" t="s">
        <v>368</v>
      </c>
      <c r="H9" s="23" t="s">
        <v>369</v>
      </c>
      <c r="I9" s="23" t="s">
        <v>370</v>
      </c>
      <c r="J9" s="23" t="s">
        <v>371</v>
      </c>
      <c r="K9" s="23" t="s">
        <v>372</v>
      </c>
      <c r="L9" s="23" t="s">
        <v>373</v>
      </c>
      <c r="M9" s="23" t="s">
        <v>374</v>
      </c>
      <c r="N9" s="23" t="s">
        <v>375</v>
      </c>
      <c r="O9" s="40"/>
      <c r="P9" s="102"/>
      <c r="Q9" s="102"/>
      <c r="R9" s="102"/>
      <c r="S9" s="102"/>
      <c r="T9" s="102"/>
      <c r="U9" s="102"/>
      <c r="V9" s="102"/>
      <c r="W9" s="102"/>
      <c r="X9" s="102"/>
      <c r="Y9" s="102"/>
      <c r="Z9" s="102"/>
      <c r="AA9" s="102"/>
      <c r="AB9" s="102"/>
      <c r="AC9" s="102"/>
      <c r="AD9" s="102"/>
      <c r="AE9" s="102"/>
      <c r="AF9" s="102"/>
      <c r="AI9" s="7"/>
      <c r="AJ9" s="7"/>
      <c r="AK9" s="7"/>
      <c r="AL9" s="7"/>
      <c r="AM9" s="7"/>
      <c r="AN9" s="7"/>
      <c r="AO9" s="7"/>
      <c r="AP9" s="7"/>
      <c r="AQ9" s="7"/>
      <c r="AR9" s="7"/>
      <c r="AS9" s="7"/>
      <c r="AT9" s="7"/>
      <c r="AU9" s="7"/>
      <c r="AW9" s="7"/>
      <c r="AX9" s="7"/>
      <c r="AY9" s="7"/>
      <c r="AZ9" s="7"/>
      <c r="BA9" s="7"/>
      <c r="BB9" s="7"/>
    </row>
    <row r="10" spans="1:62" s="6" customFormat="1" ht="24.75" hidden="1" customHeight="1">
      <c r="A10" s="22"/>
      <c r="B10" s="22"/>
      <c r="C10" s="29" t="s">
        <v>376</v>
      </c>
      <c r="D10" s="29" t="s">
        <v>377</v>
      </c>
      <c r="E10" s="29" t="s">
        <v>378</v>
      </c>
      <c r="F10" s="29" t="s">
        <v>379</v>
      </c>
      <c r="G10" s="29" t="s">
        <v>380</v>
      </c>
      <c r="H10" s="29" t="s">
        <v>381</v>
      </c>
      <c r="I10" s="29" t="s">
        <v>382</v>
      </c>
      <c r="J10" s="29" t="s">
        <v>383</v>
      </c>
      <c r="K10" s="29" t="s">
        <v>384</v>
      </c>
      <c r="L10" s="29" t="s">
        <v>385</v>
      </c>
      <c r="M10" s="29" t="s">
        <v>386</v>
      </c>
      <c r="N10" s="29" t="s">
        <v>387</v>
      </c>
      <c r="O10" s="40"/>
      <c r="P10" s="102"/>
      <c r="Q10" s="102"/>
      <c r="R10" s="102"/>
      <c r="S10" s="102"/>
      <c r="T10" s="102"/>
      <c r="U10" s="102"/>
      <c r="V10" s="102"/>
      <c r="W10" s="102"/>
      <c r="X10" s="102"/>
      <c r="Y10" s="102"/>
      <c r="Z10" s="102"/>
      <c r="AA10" s="102"/>
      <c r="AB10" s="102"/>
      <c r="AC10" s="102"/>
      <c r="AD10" s="102"/>
      <c r="AE10" s="102"/>
      <c r="AF10" s="102"/>
      <c r="AI10" s="7"/>
      <c r="AJ10" s="7"/>
      <c r="AK10" s="7"/>
      <c r="AL10" s="7"/>
      <c r="AM10" s="7"/>
      <c r="AN10" s="7"/>
      <c r="AO10" s="7"/>
      <c r="AP10" s="7"/>
      <c r="AQ10" s="7"/>
      <c r="AR10" s="7"/>
      <c r="AS10" s="7"/>
      <c r="AT10" s="7"/>
      <c r="AU10" s="7"/>
      <c r="AW10" s="7"/>
      <c r="AX10" s="7"/>
      <c r="AY10" s="7"/>
      <c r="AZ10" s="7"/>
      <c r="BA10" s="7"/>
      <c r="BB10" s="7"/>
    </row>
    <row r="11" spans="1:62" ht="18" customHeight="1" thickBot="1">
      <c r="A11" s="201" t="s">
        <v>296</v>
      </c>
      <c r="B11" s="202" t="s">
        <v>388</v>
      </c>
      <c r="C11" s="183"/>
      <c r="D11" s="183"/>
      <c r="E11" s="183"/>
      <c r="F11" s="183"/>
      <c r="G11" s="183"/>
      <c r="H11" s="183"/>
      <c r="I11" s="183"/>
      <c r="J11" s="183"/>
      <c r="K11" s="183"/>
      <c r="L11" s="183"/>
      <c r="M11" s="183"/>
      <c r="N11" s="183"/>
      <c r="O11" s="40"/>
      <c r="P11" s="86"/>
      <c r="Q11" s="86"/>
      <c r="R11" s="86"/>
      <c r="S11" s="86"/>
      <c r="T11" s="86"/>
      <c r="U11" s="86"/>
      <c r="V11" s="86"/>
      <c r="W11" s="86"/>
      <c r="X11" s="86"/>
      <c r="Y11" s="86"/>
      <c r="Z11" s="86"/>
      <c r="AA11" s="86"/>
      <c r="AB11" s="86"/>
      <c r="AC11" s="86"/>
      <c r="AD11" s="86"/>
      <c r="AE11" s="86"/>
      <c r="AF11" s="86"/>
      <c r="AW11"/>
      <c r="AX11"/>
      <c r="AY11"/>
      <c r="AZ11"/>
      <c r="BA11"/>
      <c r="BB11"/>
      <c r="BC11"/>
      <c r="BD11"/>
      <c r="BE11"/>
      <c r="BF11"/>
      <c r="BG11"/>
      <c r="BH11"/>
      <c r="BI11"/>
      <c r="BJ11"/>
    </row>
    <row r="12" spans="1:62" ht="18" customHeight="1" thickBot="1">
      <c r="A12" s="13" t="s">
        <v>297</v>
      </c>
      <c r="B12" s="202" t="s">
        <v>389</v>
      </c>
      <c r="C12" s="183"/>
      <c r="D12" s="183"/>
      <c r="E12" s="183"/>
      <c r="F12" s="183"/>
      <c r="G12" s="183"/>
      <c r="H12" s="183"/>
      <c r="I12" s="183"/>
      <c r="J12" s="183"/>
      <c r="K12" s="183"/>
      <c r="L12" s="183"/>
      <c r="M12" s="183"/>
      <c r="N12" s="183"/>
      <c r="O12" s="40"/>
      <c r="P12" s="86"/>
      <c r="Q12" s="86"/>
      <c r="R12" s="86"/>
      <c r="S12" s="86"/>
      <c r="T12" s="86"/>
      <c r="U12" s="86"/>
      <c r="V12" s="86"/>
      <c r="W12" s="86"/>
      <c r="X12" s="86"/>
      <c r="Y12" s="86"/>
      <c r="Z12" s="86"/>
      <c r="AA12" s="86"/>
      <c r="AB12" s="86"/>
      <c r="AC12" s="86"/>
      <c r="AD12" s="86"/>
      <c r="AE12" s="86"/>
      <c r="AF12" s="86"/>
      <c r="AW12"/>
      <c r="AX12"/>
      <c r="AY12"/>
      <c r="AZ12"/>
      <c r="BA12"/>
      <c r="BB12"/>
      <c r="BC12"/>
      <c r="BD12"/>
      <c r="BE12"/>
      <c r="BF12"/>
      <c r="BG12"/>
      <c r="BH12"/>
      <c r="BI12"/>
      <c r="BJ12"/>
    </row>
    <row r="13" spans="1:62" ht="18" customHeight="1" thickBot="1">
      <c r="A13" s="13" t="s">
        <v>298</v>
      </c>
      <c r="B13" s="202" t="s">
        <v>390</v>
      </c>
      <c r="C13" s="183"/>
      <c r="D13" s="183"/>
      <c r="E13" s="183"/>
      <c r="F13" s="183"/>
      <c r="G13" s="183"/>
      <c r="H13" s="183"/>
      <c r="I13" s="183"/>
      <c r="J13" s="183"/>
      <c r="K13" s="183"/>
      <c r="L13" s="183"/>
      <c r="M13" s="183"/>
      <c r="N13" s="183"/>
      <c r="O13" s="40"/>
      <c r="P13" s="86"/>
      <c r="Q13" s="86"/>
      <c r="R13" s="86"/>
      <c r="S13" s="86"/>
      <c r="T13" s="86"/>
      <c r="U13" s="86"/>
      <c r="V13" s="86"/>
      <c r="W13" s="86"/>
      <c r="X13" s="86"/>
      <c r="Y13" s="86"/>
      <c r="Z13" s="86"/>
      <c r="AA13" s="86"/>
      <c r="AB13" s="86"/>
      <c r="AC13" s="86"/>
      <c r="AD13" s="86"/>
      <c r="AE13" s="86"/>
      <c r="AF13" s="86"/>
      <c r="AW13"/>
      <c r="AX13"/>
      <c r="AY13"/>
      <c r="AZ13"/>
      <c r="BA13"/>
      <c r="BB13"/>
      <c r="BC13"/>
      <c r="BD13"/>
      <c r="BE13"/>
      <c r="BF13"/>
      <c r="BG13"/>
      <c r="BH13"/>
      <c r="BI13"/>
      <c r="BJ13"/>
    </row>
    <row r="14" spans="1:62" customFormat="1" ht="18.75" customHeight="1" thickBot="1">
      <c r="A14" s="13" t="s">
        <v>299</v>
      </c>
      <c r="B14" s="202"/>
      <c r="C14" s="183"/>
      <c r="D14" s="183"/>
      <c r="E14" s="183"/>
      <c r="F14" s="183"/>
      <c r="G14" s="183"/>
      <c r="H14" s="183"/>
      <c r="I14" s="183"/>
      <c r="J14" s="183"/>
      <c r="K14" s="183"/>
      <c r="L14" s="183"/>
      <c r="M14" s="183"/>
      <c r="N14" s="183"/>
      <c r="O14" s="40"/>
      <c r="P14" s="121"/>
      <c r="Q14" s="86"/>
      <c r="R14" s="40"/>
      <c r="S14" s="40"/>
      <c r="T14" s="40"/>
      <c r="U14" s="40"/>
      <c r="V14" s="40"/>
      <c r="W14" s="40"/>
      <c r="X14" s="40"/>
      <c r="Y14" s="40"/>
      <c r="Z14" s="40"/>
      <c r="AA14" s="40"/>
      <c r="AB14" s="40"/>
      <c r="AC14" s="40"/>
      <c r="AD14" s="40"/>
      <c r="AE14" s="40"/>
      <c r="AF14" s="40"/>
    </row>
    <row r="15" spans="1:62" customFormat="1" ht="13.5" hidden="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c r="AF15" s="40"/>
    </row>
    <row r="16" spans="1:62" customFormat="1"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c r="AF16" s="40"/>
    </row>
    <row r="17" spans="1:62" customFormat="1"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c r="AF17" s="40"/>
    </row>
    <row r="18" spans="1:62" ht="13.5" thickBot="1">
      <c r="A18" s="56" t="s">
        <v>303</v>
      </c>
      <c r="B18" s="203" t="s">
        <v>391</v>
      </c>
      <c r="C18" s="204"/>
      <c r="D18" s="204"/>
      <c r="E18" s="204"/>
      <c r="F18" s="204"/>
      <c r="G18" s="204"/>
      <c r="H18" s="204"/>
      <c r="I18" s="204"/>
      <c r="J18" s="204"/>
      <c r="K18" s="204"/>
      <c r="L18" s="204"/>
      <c r="M18" s="204"/>
      <c r="N18" s="204"/>
      <c r="O18" s="40"/>
      <c r="P18" s="86"/>
      <c r="Q18" s="86"/>
      <c r="R18" s="86"/>
      <c r="S18" s="86"/>
      <c r="T18" s="86"/>
      <c r="U18" s="86"/>
      <c r="V18" s="86"/>
      <c r="W18" s="86"/>
      <c r="X18" s="86"/>
      <c r="Y18" s="86"/>
      <c r="Z18" s="86"/>
      <c r="AA18" s="86"/>
      <c r="AB18" s="86"/>
      <c r="AC18" s="86"/>
      <c r="AD18" s="86"/>
      <c r="AE18" s="86"/>
      <c r="AF18" s="86"/>
      <c r="AW18"/>
      <c r="AX18"/>
      <c r="AY18"/>
      <c r="AZ18"/>
      <c r="BA18"/>
      <c r="BB18"/>
      <c r="BC18"/>
      <c r="BD18"/>
      <c r="BE18"/>
      <c r="BF18"/>
      <c r="BG18"/>
      <c r="BH18"/>
      <c r="BI18"/>
      <c r="BJ18"/>
    </row>
    <row r="19" spans="1:62" ht="13.5" thickBot="1">
      <c r="A19" s="13" t="s">
        <v>304</v>
      </c>
      <c r="B19" s="202" t="s">
        <v>392</v>
      </c>
      <c r="C19" s="183"/>
      <c r="D19" s="183"/>
      <c r="E19" s="183"/>
      <c r="F19" s="183"/>
      <c r="G19" s="183"/>
      <c r="H19" s="183"/>
      <c r="I19" s="183"/>
      <c r="J19" s="183"/>
      <c r="K19" s="183"/>
      <c r="L19" s="183"/>
      <c r="M19" s="183"/>
      <c r="N19" s="183"/>
      <c r="O19" s="86"/>
      <c r="P19" s="86"/>
      <c r="Q19" s="86"/>
      <c r="R19" s="86"/>
      <c r="S19" s="86"/>
      <c r="T19" s="86"/>
      <c r="U19" s="86"/>
      <c r="V19" s="86"/>
      <c r="W19" s="86"/>
      <c r="X19" s="86"/>
      <c r="Y19" s="86"/>
      <c r="Z19" s="86"/>
      <c r="AA19" s="86"/>
      <c r="AB19" s="86"/>
      <c r="AC19" s="86"/>
      <c r="AD19" s="86"/>
      <c r="AE19" s="86"/>
      <c r="AF19" s="86"/>
      <c r="AW19"/>
      <c r="AX19"/>
      <c r="AY19"/>
      <c r="AZ19"/>
      <c r="BA19"/>
      <c r="BB19"/>
      <c r="BC19"/>
      <c r="BD19"/>
      <c r="BE19"/>
      <c r="BF19"/>
      <c r="BG19"/>
      <c r="BH19"/>
      <c r="BI19"/>
      <c r="BJ19"/>
    </row>
    <row r="20" spans="1:62" ht="18" customHeight="1" thickBot="1">
      <c r="A20" s="13" t="s">
        <v>305</v>
      </c>
      <c r="B20" s="202" t="s">
        <v>393</v>
      </c>
      <c r="C20" s="183"/>
      <c r="D20" s="183"/>
      <c r="E20" s="183"/>
      <c r="F20" s="183"/>
      <c r="G20" s="183"/>
      <c r="H20" s="183"/>
      <c r="I20" s="183"/>
      <c r="J20" s="183"/>
      <c r="K20" s="183"/>
      <c r="L20" s="183"/>
      <c r="M20" s="183"/>
      <c r="N20" s="183"/>
      <c r="O20" s="86"/>
      <c r="P20" s="86"/>
      <c r="Q20" s="86"/>
      <c r="R20" s="86"/>
      <c r="S20" s="86"/>
      <c r="T20" s="86"/>
      <c r="U20" s="86"/>
      <c r="V20" s="86"/>
      <c r="W20" s="86"/>
      <c r="X20" s="86"/>
      <c r="Y20" s="86"/>
      <c r="Z20" s="86"/>
      <c r="AA20" s="86"/>
      <c r="AB20" s="86"/>
      <c r="AC20" s="86"/>
      <c r="AD20" s="86"/>
      <c r="AE20" s="86"/>
      <c r="AF20" s="86"/>
      <c r="AW20"/>
      <c r="AX20"/>
      <c r="AY20"/>
      <c r="AZ20"/>
      <c r="BA20"/>
      <c r="BB20"/>
      <c r="BC20"/>
      <c r="BD20"/>
      <c r="BE20"/>
      <c r="BF20"/>
      <c r="BG20"/>
      <c r="BH20"/>
      <c r="BI20"/>
      <c r="BJ20"/>
    </row>
    <row r="21" spans="1:62" ht="18" customHeight="1" thickBot="1">
      <c r="A21" s="13" t="s">
        <v>306</v>
      </c>
      <c r="B21" s="202" t="s">
        <v>394</v>
      </c>
      <c r="C21" s="183"/>
      <c r="D21" s="183"/>
      <c r="E21" s="183"/>
      <c r="F21" s="183"/>
      <c r="G21" s="183"/>
      <c r="H21" s="183"/>
      <c r="I21" s="183"/>
      <c r="J21" s="183"/>
      <c r="K21" s="183"/>
      <c r="L21" s="183"/>
      <c r="M21" s="183"/>
      <c r="N21" s="183"/>
      <c r="O21" s="86"/>
      <c r="P21" s="86"/>
      <c r="Q21" s="86"/>
      <c r="R21" s="86"/>
      <c r="S21" s="86"/>
      <c r="T21" s="86"/>
      <c r="U21" s="86"/>
      <c r="V21" s="86"/>
      <c r="W21" s="86"/>
      <c r="X21" s="86"/>
      <c r="Y21" s="86"/>
      <c r="Z21" s="86"/>
      <c r="AA21" s="86"/>
      <c r="AB21" s="86"/>
      <c r="AC21" s="86"/>
      <c r="AD21" s="86"/>
      <c r="AE21" s="86"/>
      <c r="AF21" s="86"/>
      <c r="AW21"/>
      <c r="AX21"/>
      <c r="AY21"/>
      <c r="AZ21"/>
      <c r="BA21"/>
      <c r="BB21"/>
      <c r="BC21"/>
      <c r="BD21"/>
      <c r="BE21"/>
      <c r="BF21"/>
      <c r="BG21"/>
      <c r="BH21"/>
      <c r="BI21"/>
      <c r="BJ21"/>
    </row>
    <row r="22" spans="1:62" ht="18"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F22" s="86"/>
      <c r="AW22"/>
      <c r="AX22"/>
      <c r="AY22"/>
      <c r="AZ22"/>
      <c r="BA22"/>
      <c r="BB22"/>
      <c r="BC22"/>
      <c r="BD22"/>
      <c r="BE22"/>
      <c r="BF22"/>
      <c r="BG22"/>
      <c r="BH22"/>
      <c r="BI22"/>
      <c r="BJ22"/>
    </row>
    <row r="23" spans="1:62" ht="18"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F23" s="86"/>
      <c r="AW23"/>
      <c r="AX23"/>
      <c r="AY23"/>
      <c r="AZ23"/>
      <c r="BA23"/>
      <c r="BB23"/>
      <c r="BC23"/>
      <c r="BD23"/>
      <c r="BE23"/>
      <c r="BF23"/>
      <c r="BG23"/>
      <c r="BH23"/>
      <c r="BI23"/>
      <c r="BJ23"/>
    </row>
    <row r="24" spans="1:62" ht="18"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F24" s="86"/>
      <c r="AW24"/>
      <c r="AX24"/>
      <c r="AY24"/>
      <c r="AZ24"/>
      <c r="BA24"/>
      <c r="BB24"/>
      <c r="BC24"/>
      <c r="BD24"/>
      <c r="BE24"/>
      <c r="BF24"/>
      <c r="BG24"/>
      <c r="BH24"/>
      <c r="BI24"/>
      <c r="BJ24"/>
    </row>
    <row r="25" spans="1:62" ht="18"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F25" s="86"/>
      <c r="AW25"/>
      <c r="AX25"/>
      <c r="AY25"/>
      <c r="AZ25"/>
      <c r="BA25"/>
      <c r="BB25"/>
      <c r="BC25"/>
      <c r="BD25"/>
      <c r="BE25"/>
      <c r="BF25"/>
      <c r="BG25"/>
      <c r="BH25"/>
      <c r="BI25"/>
      <c r="BJ25"/>
    </row>
    <row r="26" spans="1:62" ht="18"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F26" s="86"/>
      <c r="AW26"/>
      <c r="AX26"/>
      <c r="AY26"/>
      <c r="AZ26"/>
      <c r="BA26"/>
      <c r="BB26"/>
      <c r="BC26"/>
      <c r="BD26"/>
      <c r="BE26"/>
      <c r="BF26"/>
      <c r="BG26"/>
      <c r="BH26"/>
      <c r="BI26"/>
      <c r="BJ26"/>
    </row>
    <row r="27" spans="1:62" ht="18"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F27" s="86"/>
      <c r="AW27"/>
      <c r="AX27"/>
      <c r="AY27"/>
      <c r="AZ27"/>
      <c r="BA27"/>
      <c r="BB27"/>
      <c r="BC27"/>
      <c r="BD27"/>
      <c r="BE27"/>
      <c r="BF27"/>
      <c r="BG27"/>
      <c r="BH27"/>
      <c r="BI27"/>
      <c r="BJ27"/>
    </row>
    <row r="28" spans="1:62" ht="18"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F28" s="86"/>
      <c r="AW28"/>
      <c r="AX28"/>
      <c r="AY28"/>
      <c r="AZ28"/>
      <c r="BA28"/>
      <c r="BB28"/>
      <c r="BC28"/>
      <c r="BD28"/>
      <c r="BE28"/>
      <c r="BF28"/>
      <c r="BG28"/>
      <c r="BH28"/>
      <c r="BI28"/>
      <c r="BJ28"/>
    </row>
    <row r="29" spans="1:62" ht="18" customHeight="1" thickBot="1">
      <c r="A29" s="13" t="s">
        <v>314</v>
      </c>
      <c r="B29" s="202" t="s">
        <v>402</v>
      </c>
      <c r="C29" s="183"/>
      <c r="D29" s="183"/>
      <c r="E29" s="183"/>
      <c r="F29" s="183"/>
      <c r="G29" s="183"/>
      <c r="H29" s="183"/>
      <c r="I29" s="183"/>
      <c r="J29" s="183"/>
      <c r="K29" s="183"/>
      <c r="L29" s="183"/>
      <c r="M29" s="183"/>
      <c r="N29" s="183"/>
      <c r="O29" s="86"/>
      <c r="P29" s="86"/>
      <c r="Q29" s="86"/>
      <c r="R29" s="86"/>
      <c r="S29" s="86"/>
      <c r="T29" s="86"/>
      <c r="U29" s="86"/>
      <c r="V29" s="86"/>
      <c r="W29" s="86"/>
      <c r="X29" s="86"/>
      <c r="Y29" s="86"/>
      <c r="Z29" s="86"/>
      <c r="AA29" s="86"/>
      <c r="AB29" s="86"/>
      <c r="AC29" s="86"/>
      <c r="AD29" s="86"/>
      <c r="AE29" s="86"/>
      <c r="AF29" s="86"/>
      <c r="AW29"/>
      <c r="AX29"/>
      <c r="AY29"/>
      <c r="AZ29"/>
      <c r="BA29"/>
      <c r="BB29"/>
      <c r="BC29"/>
      <c r="BD29"/>
      <c r="BE29"/>
      <c r="BF29"/>
      <c r="BG29"/>
      <c r="BH29"/>
      <c r="BI29"/>
      <c r="BJ29"/>
    </row>
    <row r="30" spans="1:62" ht="18" customHeight="1" thickBot="1">
      <c r="A30" s="13" t="s">
        <v>315</v>
      </c>
      <c r="B30" s="202" t="s">
        <v>403</v>
      </c>
      <c r="C30" s="183"/>
      <c r="D30" s="183"/>
      <c r="E30" s="183"/>
      <c r="F30" s="183"/>
      <c r="G30" s="183"/>
      <c r="H30" s="183"/>
      <c r="I30" s="183"/>
      <c r="J30" s="183"/>
      <c r="K30" s="183"/>
      <c r="L30" s="183"/>
      <c r="M30" s="183"/>
      <c r="N30" s="183"/>
      <c r="O30" s="86"/>
      <c r="P30" s="86"/>
      <c r="Q30" s="86"/>
      <c r="R30" s="86"/>
      <c r="S30" s="86"/>
      <c r="T30" s="86"/>
      <c r="U30" s="86"/>
      <c r="V30" s="86"/>
      <c r="W30" s="86"/>
      <c r="X30" s="86"/>
      <c r="Y30" s="86"/>
      <c r="Z30" s="86"/>
      <c r="AA30" s="86"/>
      <c r="AB30" s="86"/>
      <c r="AC30" s="86"/>
      <c r="AD30" s="86"/>
      <c r="AE30" s="86"/>
      <c r="AF30" s="86"/>
      <c r="AW30"/>
      <c r="AX30"/>
      <c r="AY30"/>
      <c r="AZ30"/>
      <c r="BA30"/>
      <c r="BB30"/>
      <c r="BC30"/>
      <c r="BD30"/>
      <c r="BE30"/>
      <c r="BF30"/>
      <c r="BG30"/>
      <c r="BH30"/>
      <c r="BI30"/>
      <c r="BJ30"/>
    </row>
    <row r="31" spans="1:62" ht="18" customHeight="1" thickBot="1">
      <c r="A31" s="13" t="s">
        <v>316</v>
      </c>
      <c r="B31" s="202" t="s">
        <v>404</v>
      </c>
      <c r="C31" s="183"/>
      <c r="D31" s="183"/>
      <c r="E31" s="183"/>
      <c r="F31" s="183"/>
      <c r="G31" s="183"/>
      <c r="H31" s="183"/>
      <c r="I31" s="183"/>
      <c r="J31" s="183"/>
      <c r="K31" s="183"/>
      <c r="L31" s="183"/>
      <c r="M31" s="183"/>
      <c r="N31" s="183"/>
      <c r="O31" s="86"/>
      <c r="P31" s="86"/>
      <c r="Q31" s="86"/>
      <c r="R31" s="86"/>
      <c r="S31" s="86"/>
      <c r="T31" s="86"/>
      <c r="U31" s="86"/>
      <c r="V31" s="86"/>
      <c r="W31" s="86"/>
      <c r="X31" s="86"/>
      <c r="Y31" s="86"/>
      <c r="Z31" s="86"/>
      <c r="AA31" s="86"/>
      <c r="AB31" s="86"/>
      <c r="AC31" s="86"/>
      <c r="AD31" s="86"/>
      <c r="AE31" s="86"/>
      <c r="AF31" s="86"/>
      <c r="AW31"/>
      <c r="AX31"/>
      <c r="AY31"/>
      <c r="AZ31"/>
      <c r="BA31"/>
      <c r="BB31"/>
      <c r="BC31"/>
      <c r="BD31"/>
      <c r="BE31"/>
      <c r="BF31"/>
      <c r="BG31"/>
      <c r="BH31"/>
      <c r="BI31"/>
      <c r="BJ31"/>
    </row>
    <row r="32" spans="1:62" ht="18" customHeight="1" thickBot="1">
      <c r="A32" s="9" t="s">
        <v>317</v>
      </c>
      <c r="B32" s="28"/>
      <c r="C32" s="91">
        <f t="shared" ref="C32:N32" si="0">SUM(C11:C31)</f>
        <v>0</v>
      </c>
      <c r="D32" s="91">
        <f t="shared" si="0"/>
        <v>0</v>
      </c>
      <c r="E32" s="91">
        <f t="shared" si="0"/>
        <v>0</v>
      </c>
      <c r="F32" s="91">
        <f t="shared" si="0"/>
        <v>0</v>
      </c>
      <c r="G32" s="91">
        <f>SUM(G11:G31)</f>
        <v>0</v>
      </c>
      <c r="H32" s="91">
        <f t="shared" si="0"/>
        <v>0</v>
      </c>
      <c r="I32" s="91">
        <f t="shared" si="0"/>
        <v>0</v>
      </c>
      <c r="J32" s="91">
        <f t="shared" si="0"/>
        <v>0</v>
      </c>
      <c r="K32" s="91">
        <f t="shared" si="0"/>
        <v>0</v>
      </c>
      <c r="L32" s="91">
        <f t="shared" si="0"/>
        <v>0</v>
      </c>
      <c r="M32" s="91">
        <f t="shared" si="0"/>
        <v>0</v>
      </c>
      <c r="N32" s="91">
        <f t="shared" si="0"/>
        <v>0</v>
      </c>
      <c r="O32" s="86"/>
      <c r="P32" s="86"/>
      <c r="Q32" s="86"/>
      <c r="R32" s="86"/>
      <c r="S32" s="86"/>
      <c r="T32" s="86"/>
      <c r="U32" s="86"/>
      <c r="V32" s="86"/>
      <c r="W32" s="86"/>
      <c r="X32" s="86"/>
      <c r="Y32" s="86"/>
      <c r="Z32" s="86"/>
      <c r="AA32" s="86"/>
      <c r="AB32" s="86"/>
      <c r="AC32" s="86"/>
      <c r="AD32" s="86"/>
      <c r="AE32" s="86"/>
      <c r="AF32" s="86"/>
      <c r="AW32"/>
      <c r="AX32"/>
      <c r="AY32"/>
      <c r="AZ32"/>
      <c r="BA32"/>
      <c r="BB32"/>
      <c r="BC32"/>
      <c r="BD32"/>
      <c r="BE32"/>
      <c r="BF32"/>
      <c r="BG32"/>
      <c r="BH32"/>
    </row>
    <row r="33" spans="1:54" ht="6.75" customHeight="1">
      <c r="A33" s="100"/>
      <c r="B33" s="10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J33" s="40"/>
      <c r="AK33" s="40"/>
      <c r="AL33" s="40"/>
      <c r="AM33" s="40"/>
      <c r="AN33" s="40"/>
      <c r="AO33" s="40"/>
      <c r="AP33" s="40"/>
      <c r="AQ33" s="40"/>
      <c r="AR33" s="40"/>
      <c r="AS33" s="40"/>
      <c r="AT33" s="40"/>
      <c r="AU33" s="40"/>
      <c r="AV33" s="86"/>
      <c r="AW33" s="40"/>
      <c r="AX33" s="40"/>
      <c r="AY33"/>
      <c r="AZ33"/>
      <c r="BA33"/>
      <c r="BB33"/>
    </row>
    <row r="34" spans="1:54" ht="15" customHeight="1">
      <c r="A34" s="100"/>
      <c r="B34" s="100"/>
      <c r="C34" s="272"/>
      <c r="D34" s="272"/>
      <c r="E34" s="272"/>
      <c r="F34" s="272"/>
      <c r="G34" s="272"/>
      <c r="H34" s="272"/>
      <c r="I34" s="272"/>
      <c r="J34" s="272"/>
      <c r="K34" s="272"/>
      <c r="L34" s="272"/>
      <c r="M34" s="272"/>
      <c r="N34" s="272"/>
      <c r="O34" s="86"/>
      <c r="P34" s="86"/>
      <c r="Q34" s="86"/>
      <c r="R34" s="86"/>
      <c r="S34" s="86"/>
      <c r="T34" s="86"/>
      <c r="U34" s="86"/>
      <c r="V34" s="86"/>
      <c r="W34" s="86"/>
      <c r="X34" s="86"/>
      <c r="Y34" s="86"/>
      <c r="Z34" s="86"/>
      <c r="AA34" s="86"/>
      <c r="AB34" s="86"/>
      <c r="AC34" s="86"/>
      <c r="AD34" s="86"/>
      <c r="AE34" s="86"/>
      <c r="AF34" s="86"/>
      <c r="AG34" s="86"/>
      <c r="AH34" s="86"/>
      <c r="AJ34" s="40"/>
      <c r="AK34" s="40"/>
      <c r="AL34" s="40"/>
      <c r="AM34" s="40"/>
      <c r="AN34" s="40"/>
      <c r="AO34" s="40"/>
      <c r="AP34" s="40"/>
      <c r="AQ34" s="40"/>
      <c r="AR34" s="40"/>
      <c r="AS34" s="40"/>
      <c r="AT34" s="40"/>
      <c r="AU34" s="40"/>
      <c r="AV34" s="86"/>
      <c r="AW34" s="40"/>
      <c r="AX34" s="40"/>
      <c r="AY34"/>
      <c r="AZ34"/>
      <c r="BA34"/>
      <c r="BB34"/>
    </row>
    <row r="35" spans="1:54" ht="15" customHeight="1" thickBot="1">
      <c r="A35" s="100"/>
      <c r="B35" s="100"/>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J35" s="40"/>
      <c r="AK35" s="40"/>
      <c r="AL35" s="40"/>
      <c r="AM35" s="40"/>
      <c r="AN35" s="40"/>
      <c r="AO35" s="40"/>
      <c r="AP35" s="40"/>
      <c r="AQ35" s="40"/>
      <c r="AR35" s="40"/>
      <c r="AS35" s="40"/>
      <c r="AT35" s="40"/>
      <c r="AU35" s="40"/>
      <c r="AV35" s="86"/>
      <c r="AW35" s="40"/>
      <c r="AX35" s="40"/>
      <c r="AY35"/>
      <c r="AZ35"/>
      <c r="BA35"/>
      <c r="BB35"/>
    </row>
    <row r="36" spans="1:54" ht="15" customHeight="1" thickBot="1">
      <c r="A36" s="100"/>
      <c r="B36" s="85"/>
      <c r="C36" s="15" t="s">
        <v>336</v>
      </c>
      <c r="D36" s="85"/>
      <c r="E36" s="85"/>
      <c r="F36" s="85"/>
      <c r="G36" s="85"/>
      <c r="H36" s="85"/>
      <c r="I36" s="85"/>
      <c r="J36" s="85"/>
      <c r="K36" s="85"/>
      <c r="L36" s="85"/>
      <c r="M36" s="85"/>
      <c r="N36" s="16"/>
      <c r="O36" s="86"/>
      <c r="P36" s="86"/>
      <c r="Q36" s="86"/>
      <c r="R36" s="86"/>
      <c r="S36" s="86"/>
      <c r="T36" s="86"/>
      <c r="U36" s="86"/>
      <c r="V36" s="86"/>
      <c r="W36" s="86"/>
      <c r="X36" s="86"/>
      <c r="Y36" s="86"/>
      <c r="Z36" s="86"/>
      <c r="AA36" s="86"/>
      <c r="AB36" s="86"/>
      <c r="AC36" s="86"/>
      <c r="AD36" s="86"/>
      <c r="AE36" s="86"/>
      <c r="AF36" s="86"/>
      <c r="AG36" s="86"/>
      <c r="AH36" s="86"/>
      <c r="AJ36" s="40"/>
      <c r="AK36" s="40"/>
      <c r="AL36" s="40"/>
      <c r="AM36" s="40"/>
      <c r="AN36" s="40"/>
      <c r="AO36" s="40"/>
      <c r="AP36" s="40"/>
      <c r="AQ36" s="40"/>
      <c r="AR36" s="40"/>
      <c r="AS36" s="40"/>
      <c r="AT36" s="40"/>
      <c r="AU36" s="40"/>
      <c r="AV36" s="86"/>
      <c r="AW36" s="40"/>
      <c r="AX36" s="40"/>
      <c r="AY36"/>
      <c r="AZ36"/>
      <c r="BA36"/>
      <c r="BB36"/>
    </row>
    <row r="37" spans="1:54" ht="57" customHeight="1" thickBot="1">
      <c r="A37" s="100"/>
      <c r="B37" s="202"/>
      <c r="C37" s="245" t="s">
        <v>405</v>
      </c>
      <c r="D37" s="246"/>
      <c r="E37" s="246"/>
      <c r="F37" s="246"/>
      <c r="G37" s="246"/>
      <c r="H37" s="246"/>
      <c r="I37" s="246"/>
      <c r="J37" s="246"/>
      <c r="K37" s="246"/>
      <c r="L37" s="246"/>
      <c r="M37" s="246"/>
      <c r="N37" s="247"/>
      <c r="O37" s="86"/>
      <c r="P37" s="86"/>
      <c r="Q37" s="86"/>
      <c r="R37" s="86"/>
      <c r="S37" s="86"/>
      <c r="T37" s="86"/>
      <c r="U37" s="86"/>
      <c r="V37" s="86"/>
      <c r="W37" s="86"/>
      <c r="X37" s="86"/>
      <c r="Y37" s="86"/>
      <c r="Z37" s="86"/>
      <c r="AA37" s="86"/>
      <c r="AB37" s="86"/>
      <c r="AC37" s="86"/>
      <c r="AD37" s="86"/>
      <c r="AE37" s="86"/>
      <c r="AF37" s="86"/>
      <c r="AG37" s="86"/>
      <c r="AH37" s="86"/>
      <c r="AJ37" s="40"/>
      <c r="AK37" s="40"/>
      <c r="AL37" s="40"/>
      <c r="AM37" s="40"/>
      <c r="AN37" s="40"/>
      <c r="AO37" s="40"/>
      <c r="AP37" s="40"/>
      <c r="AQ37" s="40"/>
      <c r="AR37" s="40"/>
      <c r="AS37" s="40"/>
      <c r="AT37" s="40"/>
      <c r="AU37" s="40"/>
      <c r="AV37" s="86"/>
      <c r="AW37" s="40"/>
      <c r="AX37" s="40"/>
      <c r="AY37"/>
      <c r="AZ37"/>
      <c r="BA37"/>
      <c r="BB37"/>
    </row>
    <row r="38" spans="1:54" ht="24" customHeight="1">
      <c r="A38" s="100"/>
      <c r="B38" s="100"/>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J38" s="40"/>
      <c r="AK38" s="40"/>
      <c r="AL38" s="40"/>
      <c r="AM38" s="40"/>
      <c r="AN38" s="40"/>
      <c r="AO38" s="40"/>
      <c r="AP38" s="40"/>
      <c r="AQ38" s="40"/>
      <c r="AR38" s="40"/>
      <c r="AS38" s="40"/>
      <c r="AT38" s="40"/>
      <c r="AU38" s="40"/>
      <c r="AV38" s="86"/>
      <c r="AW38" s="40"/>
      <c r="AX38" s="40"/>
      <c r="AY38"/>
      <c r="AZ38"/>
      <c r="BA38"/>
      <c r="BB38"/>
    </row>
    <row r="39" spans="1:54" ht="28.5" customHeight="1">
      <c r="A39" s="188"/>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J39" s="40"/>
      <c r="AK39" s="40"/>
      <c r="AL39" s="40"/>
      <c r="AM39" s="40"/>
      <c r="AN39" s="40"/>
      <c r="AO39" s="40"/>
      <c r="AP39" s="40"/>
      <c r="AQ39" s="40"/>
      <c r="AR39" s="40"/>
      <c r="AS39" s="40"/>
      <c r="AT39" s="40"/>
      <c r="AU39" s="40"/>
      <c r="AV39" s="86"/>
      <c r="AW39" s="40"/>
      <c r="AX39" s="40"/>
      <c r="AY39"/>
      <c r="AZ39"/>
      <c r="BA39"/>
      <c r="BB39"/>
    </row>
    <row r="40" spans="1:54" ht="27" customHeight="1">
      <c r="A40" s="100"/>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J40" s="40"/>
      <c r="AK40" s="40"/>
      <c r="AL40" s="40"/>
      <c r="AM40" s="40"/>
      <c r="AN40" s="40"/>
      <c r="AO40" s="40"/>
      <c r="AP40" s="40"/>
      <c r="AQ40" s="40"/>
      <c r="AR40" s="40"/>
      <c r="AS40" s="40"/>
      <c r="AT40" s="40"/>
      <c r="AU40" s="40"/>
      <c r="AV40" s="86"/>
      <c r="AW40" s="86"/>
      <c r="AX40" s="86"/>
    </row>
    <row r="41" spans="1:54" ht="24"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J41" s="40"/>
      <c r="AK41" s="40"/>
      <c r="AL41" s="40"/>
      <c r="AM41" s="40"/>
      <c r="AN41" s="40"/>
      <c r="AO41" s="40"/>
      <c r="AP41" s="40"/>
      <c r="AQ41" s="40"/>
      <c r="AR41" s="40"/>
      <c r="AS41" s="40"/>
      <c r="AT41" s="40"/>
      <c r="AU41" s="40"/>
      <c r="AV41" s="86"/>
      <c r="AW41" s="86"/>
      <c r="AX41" s="86"/>
    </row>
    <row r="42" spans="1:54" ht="24"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J42" s="40"/>
      <c r="AK42" s="40"/>
      <c r="AL42" s="40"/>
      <c r="AM42" s="40"/>
      <c r="AN42" s="40"/>
      <c r="AO42" s="40"/>
      <c r="AP42" s="40"/>
      <c r="AQ42" s="40"/>
      <c r="AR42" s="40"/>
      <c r="AS42" s="40"/>
      <c r="AT42" s="40"/>
      <c r="AU42" s="40"/>
      <c r="AV42" s="86"/>
      <c r="AW42" s="86"/>
      <c r="AX42" s="86"/>
    </row>
    <row r="43" spans="1:54" ht="24"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J43" s="40"/>
      <c r="AK43" s="40"/>
      <c r="AL43" s="40"/>
      <c r="AM43" s="40"/>
      <c r="AN43" s="40"/>
      <c r="AO43" s="40"/>
      <c r="AP43" s="40"/>
      <c r="AQ43" s="40"/>
      <c r="AR43" s="40"/>
      <c r="AS43" s="40"/>
      <c r="AT43" s="40"/>
      <c r="AU43" s="40"/>
      <c r="AV43" s="86"/>
      <c r="AW43" s="86"/>
      <c r="AX43" s="86"/>
    </row>
    <row r="44" spans="1:54" ht="28.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J44" s="40"/>
      <c r="AK44" s="40"/>
      <c r="AL44" s="40"/>
      <c r="AM44" s="40"/>
      <c r="AN44" s="40"/>
      <c r="AO44" s="40"/>
      <c r="AP44" s="40"/>
      <c r="AQ44" s="40"/>
      <c r="AR44" s="40"/>
      <c r="AS44" s="40"/>
      <c r="AT44" s="40"/>
      <c r="AU44" s="40"/>
      <c r="AV44" s="86"/>
      <c r="AW44" s="86"/>
      <c r="AX44" s="86"/>
    </row>
    <row r="45" spans="1:54" ht="24"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J45" s="40"/>
      <c r="AK45" s="40"/>
      <c r="AL45" s="40"/>
      <c r="AM45" s="40"/>
      <c r="AN45" s="40"/>
      <c r="AO45" s="40"/>
      <c r="AP45" s="40"/>
      <c r="AQ45" s="40"/>
      <c r="AR45" s="40"/>
      <c r="AS45" s="40"/>
      <c r="AT45" s="40"/>
      <c r="AU45" s="40"/>
      <c r="AV45" s="86"/>
      <c r="AW45" s="86"/>
      <c r="AX45" s="86"/>
    </row>
    <row r="46" spans="1:54" ht="24"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J46" s="40"/>
      <c r="AK46" s="40"/>
      <c r="AL46" s="40"/>
      <c r="AM46" s="40"/>
      <c r="AN46" s="40"/>
      <c r="AO46" s="40"/>
      <c r="AP46" s="40"/>
      <c r="AQ46" s="40"/>
      <c r="AR46" s="40"/>
      <c r="AS46" s="40"/>
      <c r="AT46" s="40"/>
      <c r="AU46" s="40"/>
      <c r="AV46" s="86"/>
      <c r="AW46" s="86"/>
      <c r="AX46" s="86"/>
    </row>
    <row r="47" spans="1:54" ht="24"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J47" s="40"/>
      <c r="AK47" s="40"/>
      <c r="AL47" s="40"/>
      <c r="AM47" s="40"/>
      <c r="AN47" s="40"/>
      <c r="AO47" s="40"/>
      <c r="AP47" s="40"/>
      <c r="AQ47" s="40"/>
      <c r="AR47" s="40"/>
      <c r="AS47" s="40"/>
      <c r="AT47" s="40"/>
      <c r="AU47" s="40"/>
      <c r="AV47" s="86"/>
      <c r="AW47" s="86"/>
      <c r="AX47" s="86"/>
    </row>
    <row r="48" spans="1:54" ht="24"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J48" s="40"/>
      <c r="AK48" s="40"/>
      <c r="AL48" s="40"/>
      <c r="AM48" s="40"/>
      <c r="AN48" s="40"/>
      <c r="AO48" s="40"/>
      <c r="AP48" s="40"/>
      <c r="AQ48" s="40"/>
      <c r="AR48" s="40"/>
      <c r="AS48" s="40"/>
      <c r="AT48" s="40"/>
      <c r="AU48" s="40"/>
      <c r="AV48" s="86"/>
      <c r="AW48" s="86"/>
      <c r="AX48" s="86"/>
    </row>
    <row r="49" spans="1:50" ht="24"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J49" s="40"/>
      <c r="AK49" s="40"/>
      <c r="AL49" s="40"/>
      <c r="AM49" s="40"/>
      <c r="AN49" s="40"/>
      <c r="AO49" s="40"/>
      <c r="AP49" s="40"/>
      <c r="AQ49" s="40"/>
      <c r="AR49" s="40"/>
      <c r="AS49" s="40"/>
      <c r="AT49" s="40"/>
      <c r="AU49" s="40"/>
      <c r="AV49" s="86"/>
      <c r="AW49" s="86"/>
      <c r="AX49" s="86"/>
    </row>
    <row r="50" spans="1:50" ht="27"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J50" s="40"/>
      <c r="AK50" s="40"/>
      <c r="AL50" s="40"/>
      <c r="AM50" s="40"/>
      <c r="AN50" s="40"/>
      <c r="AO50" s="40"/>
      <c r="AP50" s="40"/>
      <c r="AQ50" s="40"/>
      <c r="AR50" s="40"/>
      <c r="AS50" s="40"/>
      <c r="AT50" s="40"/>
      <c r="AU50" s="40"/>
      <c r="AV50" s="86"/>
      <c r="AW50" s="86"/>
      <c r="AX50" s="86"/>
    </row>
    <row r="51" spans="1:50" ht="24"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J51" s="40"/>
      <c r="AK51" s="40"/>
      <c r="AL51" s="40"/>
      <c r="AM51" s="40"/>
      <c r="AN51" s="40"/>
      <c r="AO51" s="40"/>
      <c r="AP51" s="40"/>
      <c r="AQ51" s="40"/>
      <c r="AR51" s="40"/>
      <c r="AS51" s="40"/>
      <c r="AT51" s="40"/>
      <c r="AU51" s="40"/>
      <c r="AV51" s="86"/>
      <c r="AW51" s="86"/>
      <c r="AX51" s="86"/>
    </row>
    <row r="52" spans="1:50" ht="24"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J52" s="40"/>
      <c r="AK52" s="40"/>
      <c r="AL52" s="40"/>
      <c r="AM52" s="40"/>
      <c r="AN52" s="40"/>
      <c r="AO52" s="40"/>
      <c r="AP52" s="40"/>
      <c r="AQ52" s="40"/>
      <c r="AR52" s="40"/>
      <c r="AS52" s="40"/>
      <c r="AT52" s="40"/>
      <c r="AU52" s="40"/>
      <c r="AV52" s="86"/>
      <c r="AW52" s="86"/>
      <c r="AX52" s="86"/>
    </row>
    <row r="53" spans="1:50" ht="24"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J53" s="40"/>
      <c r="AK53" s="40"/>
      <c r="AL53" s="40"/>
      <c r="AM53" s="40"/>
      <c r="AN53" s="40"/>
      <c r="AO53" s="40"/>
      <c r="AP53" s="40"/>
      <c r="AQ53" s="40"/>
      <c r="AR53" s="40"/>
      <c r="AS53" s="40"/>
      <c r="AT53" s="40"/>
      <c r="AU53" s="40"/>
      <c r="AV53" s="86"/>
      <c r="AW53" s="86"/>
      <c r="AX53" s="86"/>
    </row>
    <row r="54" spans="1:50" ht="24"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J54" s="40"/>
      <c r="AK54" s="40"/>
      <c r="AL54" s="40"/>
      <c r="AM54" s="40"/>
      <c r="AN54" s="40"/>
      <c r="AO54" s="40"/>
      <c r="AP54" s="40"/>
      <c r="AQ54" s="40"/>
      <c r="AR54" s="40"/>
      <c r="AS54" s="40"/>
      <c r="AT54" s="40"/>
      <c r="AU54" s="40"/>
      <c r="AV54" s="86"/>
      <c r="AW54" s="86"/>
      <c r="AX54" s="86"/>
    </row>
    <row r="55" spans="1:50" ht="24"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J55" s="40"/>
      <c r="AK55" s="40"/>
      <c r="AL55" s="40"/>
      <c r="AM55" s="40"/>
      <c r="AN55" s="40"/>
      <c r="AO55" s="40"/>
      <c r="AP55" s="40"/>
      <c r="AQ55" s="40"/>
      <c r="AR55" s="40"/>
      <c r="AS55" s="40"/>
      <c r="AT55" s="40"/>
      <c r="AU55" s="40"/>
      <c r="AV55" s="86"/>
      <c r="AW55" s="86"/>
      <c r="AX55" s="86"/>
    </row>
    <row r="56" spans="1:50" ht="24"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J56" s="40"/>
      <c r="AK56" s="40"/>
      <c r="AL56" s="40"/>
      <c r="AM56" s="40"/>
      <c r="AN56" s="40"/>
      <c r="AO56" s="40"/>
      <c r="AP56" s="40"/>
      <c r="AQ56" s="40"/>
      <c r="AR56" s="40"/>
      <c r="AS56" s="40"/>
      <c r="AT56" s="40"/>
      <c r="AU56" s="40"/>
      <c r="AV56" s="86"/>
      <c r="AW56" s="86"/>
      <c r="AX56" s="86"/>
    </row>
    <row r="57" spans="1:50" ht="24"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J57" s="40"/>
      <c r="AK57" s="40"/>
      <c r="AL57" s="40"/>
      <c r="AM57" s="40"/>
      <c r="AN57" s="40"/>
      <c r="AO57" s="40"/>
      <c r="AP57" s="40"/>
      <c r="AQ57" s="40"/>
      <c r="AR57" s="40"/>
      <c r="AS57" s="40"/>
      <c r="AT57" s="40"/>
      <c r="AU57" s="40"/>
      <c r="AV57" s="86"/>
      <c r="AW57" s="86"/>
      <c r="AX57" s="86"/>
    </row>
    <row r="58" spans="1:50" ht="24"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J58" s="40"/>
      <c r="AK58" s="40"/>
      <c r="AL58" s="40"/>
      <c r="AM58" s="40"/>
      <c r="AN58" s="40"/>
      <c r="AO58" s="40"/>
      <c r="AP58" s="40"/>
      <c r="AQ58" s="40"/>
      <c r="AR58" s="40"/>
      <c r="AS58" s="40"/>
      <c r="AT58" s="40"/>
      <c r="AU58" s="40"/>
      <c r="AV58" s="86"/>
      <c r="AW58" s="86"/>
      <c r="AX58" s="86"/>
    </row>
    <row r="59" spans="1:50" ht="24"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J59" s="40"/>
      <c r="AK59" s="40"/>
      <c r="AL59" s="40"/>
      <c r="AM59" s="40"/>
      <c r="AN59" s="40"/>
      <c r="AO59" s="40"/>
      <c r="AP59" s="40"/>
      <c r="AQ59" s="40"/>
      <c r="AR59" s="40"/>
      <c r="AS59" s="40"/>
      <c r="AT59" s="40"/>
      <c r="AU59" s="40"/>
      <c r="AV59" s="86"/>
      <c r="AW59" s="86"/>
      <c r="AX59" s="86"/>
    </row>
    <row r="60" spans="1:50" ht="24"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J60" s="40"/>
      <c r="AK60" s="40"/>
      <c r="AL60" s="40"/>
      <c r="AM60" s="40"/>
      <c r="AN60" s="40"/>
      <c r="AO60" s="40"/>
      <c r="AP60" s="40"/>
      <c r="AQ60" s="40"/>
      <c r="AR60" s="40"/>
      <c r="AS60" s="40"/>
      <c r="AT60" s="40"/>
      <c r="AU60" s="40"/>
      <c r="AV60" s="86"/>
      <c r="AW60" s="86"/>
      <c r="AX60" s="86"/>
    </row>
    <row r="61" spans="1:50" ht="24"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J61" s="40"/>
      <c r="AK61" s="40"/>
      <c r="AL61" s="40"/>
      <c r="AM61" s="40"/>
      <c r="AN61" s="40"/>
      <c r="AO61" s="40"/>
      <c r="AP61" s="40"/>
      <c r="AQ61" s="40"/>
      <c r="AR61" s="40"/>
      <c r="AS61" s="40"/>
      <c r="AT61" s="40"/>
      <c r="AU61" s="40"/>
      <c r="AV61" s="86"/>
      <c r="AW61" s="86"/>
      <c r="AX61" s="86"/>
    </row>
    <row r="62" spans="1:50" ht="24"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J62" s="40"/>
      <c r="AK62" s="40"/>
      <c r="AL62" s="40"/>
      <c r="AM62" s="40"/>
      <c r="AN62" s="40"/>
      <c r="AO62" s="40"/>
      <c r="AP62" s="40"/>
      <c r="AQ62" s="40"/>
      <c r="AR62" s="40"/>
      <c r="AS62" s="40"/>
      <c r="AT62" s="40"/>
      <c r="AU62" s="40"/>
      <c r="AV62" s="86"/>
      <c r="AW62" s="86"/>
      <c r="AX62" s="86"/>
    </row>
    <row r="63" spans="1:50" ht="24"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J63" s="40"/>
      <c r="AK63" s="40"/>
      <c r="AL63" s="40"/>
      <c r="AM63" s="40"/>
      <c r="AN63" s="40"/>
      <c r="AO63" s="40"/>
      <c r="AP63" s="40"/>
      <c r="AQ63" s="40"/>
      <c r="AR63" s="40"/>
      <c r="AS63" s="40"/>
      <c r="AT63" s="40"/>
      <c r="AU63" s="40"/>
      <c r="AV63" s="86"/>
      <c r="AW63" s="86"/>
      <c r="AX63" s="86"/>
    </row>
    <row r="64" spans="1:50" ht="24"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J64" s="40"/>
      <c r="AK64" s="40"/>
      <c r="AL64" s="40"/>
      <c r="AM64" s="40"/>
      <c r="AN64" s="40"/>
      <c r="AO64" s="40"/>
      <c r="AP64" s="40"/>
      <c r="AQ64" s="40"/>
      <c r="AR64" s="40"/>
      <c r="AS64" s="40"/>
      <c r="AT64" s="40"/>
      <c r="AU64" s="40"/>
      <c r="AV64" s="86"/>
      <c r="AW64" s="86"/>
      <c r="AX64" s="86"/>
    </row>
    <row r="65" spans="1:50" ht="24"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J65" s="40"/>
      <c r="AK65" s="40"/>
      <c r="AL65" s="40"/>
      <c r="AM65" s="40"/>
      <c r="AN65" s="40"/>
      <c r="AO65" s="40"/>
      <c r="AP65" s="40"/>
      <c r="AQ65" s="40"/>
      <c r="AR65" s="40"/>
      <c r="AS65" s="40"/>
      <c r="AT65" s="40"/>
      <c r="AU65" s="40"/>
      <c r="AV65" s="86"/>
      <c r="AW65" s="86"/>
      <c r="AX65" s="86"/>
    </row>
    <row r="66" spans="1:50" ht="24"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J66" s="40"/>
      <c r="AK66" s="40"/>
      <c r="AL66" s="40"/>
      <c r="AM66" s="40"/>
      <c r="AN66" s="40"/>
      <c r="AO66" s="40"/>
      <c r="AP66" s="40"/>
      <c r="AQ66" s="40"/>
      <c r="AR66" s="40"/>
      <c r="AS66" s="40"/>
      <c r="AT66" s="40"/>
      <c r="AU66" s="40"/>
      <c r="AV66" s="86"/>
      <c r="AW66" s="86"/>
      <c r="AX66" s="86"/>
    </row>
    <row r="67" spans="1:50" ht="24"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J67" s="40"/>
      <c r="AK67" s="40"/>
      <c r="AL67" s="40"/>
      <c r="AM67" s="40"/>
      <c r="AN67" s="40"/>
      <c r="AO67" s="40"/>
      <c r="AP67" s="40"/>
      <c r="AQ67" s="40"/>
      <c r="AR67" s="40"/>
      <c r="AS67" s="40"/>
      <c r="AT67" s="40"/>
      <c r="AU67" s="40"/>
      <c r="AV67" s="86"/>
      <c r="AW67" s="86"/>
      <c r="AX67" s="86"/>
    </row>
    <row r="68" spans="1:50" ht="24"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J68" s="40"/>
      <c r="AK68" s="40"/>
      <c r="AL68" s="40"/>
      <c r="AM68" s="40"/>
      <c r="AN68" s="40"/>
      <c r="AO68" s="40"/>
      <c r="AP68" s="40"/>
      <c r="AQ68" s="40"/>
      <c r="AR68" s="40"/>
      <c r="AS68" s="40"/>
      <c r="AT68" s="40"/>
      <c r="AU68" s="40"/>
      <c r="AV68" s="86"/>
      <c r="AW68" s="86"/>
      <c r="AX68" s="86"/>
    </row>
    <row r="69" spans="1:50" ht="24"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J69" s="40"/>
      <c r="AK69" s="40"/>
      <c r="AL69" s="40"/>
      <c r="AM69" s="40"/>
      <c r="AN69" s="40"/>
      <c r="AO69" s="40"/>
      <c r="AP69" s="40"/>
      <c r="AQ69" s="40"/>
      <c r="AR69" s="40"/>
      <c r="AS69" s="40"/>
      <c r="AT69" s="40"/>
      <c r="AU69" s="40"/>
      <c r="AV69" s="86"/>
      <c r="AW69" s="86"/>
      <c r="AX69" s="86"/>
    </row>
    <row r="70" spans="1:50" ht="24"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J70" s="40"/>
      <c r="AK70" s="40"/>
      <c r="AL70" s="40"/>
      <c r="AM70" s="40"/>
      <c r="AN70" s="40"/>
      <c r="AO70" s="40"/>
      <c r="AP70" s="40"/>
      <c r="AQ70" s="40"/>
      <c r="AR70" s="40"/>
      <c r="AS70" s="40"/>
      <c r="AT70" s="40"/>
      <c r="AU70" s="40"/>
      <c r="AV70" s="86"/>
      <c r="AW70" s="86"/>
      <c r="AX70" s="86"/>
    </row>
    <row r="71" spans="1:50" ht="24"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J71" s="40"/>
      <c r="AK71" s="40"/>
      <c r="AL71" s="40"/>
      <c r="AM71" s="40"/>
      <c r="AN71" s="40"/>
      <c r="AO71" s="40"/>
      <c r="AP71" s="40"/>
      <c r="AQ71" s="40"/>
      <c r="AR71" s="40"/>
      <c r="AS71" s="40"/>
      <c r="AT71" s="40"/>
      <c r="AU71" s="40"/>
      <c r="AV71" s="86"/>
      <c r="AW71" s="86"/>
      <c r="AX71" s="86"/>
    </row>
    <row r="72" spans="1:50" ht="24"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J72" s="40"/>
      <c r="AK72" s="40"/>
      <c r="AL72" s="40"/>
      <c r="AM72" s="40"/>
      <c r="AN72" s="40"/>
      <c r="AO72" s="40"/>
      <c r="AP72" s="40"/>
      <c r="AQ72" s="40"/>
      <c r="AR72" s="40"/>
      <c r="AS72" s="40"/>
      <c r="AT72" s="40"/>
      <c r="AU72" s="40"/>
      <c r="AV72" s="86"/>
      <c r="AW72" s="86"/>
      <c r="AX72" s="86"/>
    </row>
    <row r="73" spans="1:50" ht="24"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J73" s="40"/>
      <c r="AK73" s="40"/>
      <c r="AL73" s="40"/>
      <c r="AM73" s="40"/>
      <c r="AN73" s="40"/>
      <c r="AO73" s="40"/>
      <c r="AP73" s="40"/>
      <c r="AQ73" s="40"/>
      <c r="AR73" s="40"/>
      <c r="AS73" s="40"/>
      <c r="AT73" s="40"/>
      <c r="AU73" s="40"/>
      <c r="AV73" s="86"/>
      <c r="AW73" s="86"/>
      <c r="AX73" s="86"/>
    </row>
    <row r="74" spans="1:50" ht="24"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J74" s="40"/>
      <c r="AK74" s="40"/>
      <c r="AL74" s="40"/>
      <c r="AM74" s="40"/>
      <c r="AN74" s="40"/>
      <c r="AO74" s="40"/>
      <c r="AP74" s="40"/>
      <c r="AQ74" s="40"/>
      <c r="AR74" s="40"/>
      <c r="AS74" s="40"/>
      <c r="AT74" s="40"/>
      <c r="AU74" s="40"/>
      <c r="AV74" s="86"/>
      <c r="AW74" s="86"/>
      <c r="AX74" s="86"/>
    </row>
    <row r="75" spans="1:50" ht="24" customHeight="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J75" s="40"/>
      <c r="AK75" s="40"/>
      <c r="AL75" s="40"/>
      <c r="AM75" s="40"/>
      <c r="AN75" s="40"/>
      <c r="AO75" s="40"/>
      <c r="AP75" s="40"/>
      <c r="AQ75" s="40"/>
      <c r="AR75" s="40"/>
      <c r="AS75" s="40"/>
      <c r="AT75" s="40"/>
      <c r="AU75" s="40"/>
      <c r="AV75" s="86"/>
      <c r="AW75" s="86"/>
      <c r="AX75" s="86"/>
    </row>
  </sheetData>
  <customSheetViews>
    <customSheetView guid="{C0288C5C-A803-495F-B0CA-42FBBD5677AA}" scale="85" showPageBreaks="1" showGridLines="0" printArea="1" showRuler="0">
      <pane xSplit="1" ySplit="1" topLeftCell="B2" activePane="bottomRight" state="frozen"/>
      <selection pane="bottomRight" activeCell="A41" sqref="A41"/>
      <rowBreaks count="1" manualBreakCount="1">
        <brk id="23" max="12" man="1"/>
      </rowBreaks>
      <pageMargins left="0" right="0" top="0" bottom="0" header="0" footer="0"/>
      <pageSetup paperSize="9" scale="72" fitToHeight="2" orientation="landscape" r:id="rId1"/>
      <headerFooter alignWithMargins="0">
        <oddHeader>&amp;LAnnual Returns 2010-11&amp;RFS6 - Non-compliance resulting in action of  any type</oddHeader>
      </headerFooter>
    </customSheetView>
  </customSheetViews>
  <mergeCells count="6">
    <mergeCell ref="D3:N4"/>
    <mergeCell ref="C37:N37"/>
    <mergeCell ref="A6:N6"/>
    <mergeCell ref="A8:N8"/>
    <mergeCell ref="C34:N34"/>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FE65DB0A-9E07-4ADC-8A8C-B5C01094DF52}">
      <formula1>0</formula1>
      <formula2>1000</formula2>
    </dataValidation>
  </dataValidations>
  <printOptions horizontalCentered="1"/>
  <pageMargins left="0.27559055118110237" right="0.19685039370078741" top="0.98425196850393704" bottom="0.98425196850393704" header="0.51181102362204722" footer="0.51181102362204722"/>
  <pageSetup paperSize="9" scale="65" fitToHeight="2" orientation="landscape" r:id="rId2"/>
  <headerFooter alignWithMargins="0">
    <oddHeader>&amp;LAnnual Returns 2016-17&amp;C&amp;"Aptos"&amp;10&amp;K000000 OFFICIAL&amp;1#_x000D_&amp;RFS6 - Non-compliance resulting in action of  any type&amp;LAnnual Returns 2016-17</oddHeader>
    <oddFooter>&amp;C_x000D_&amp;1#&amp;"Aptos"&amp;10&amp;K000000 OFFICIAL</oddFooter>
  </headerFooter>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pageSetUpPr fitToPage="1"/>
  </sheetPr>
  <dimension ref="A1:BH480"/>
  <sheetViews>
    <sheetView topLeftCell="A3" zoomScale="70" zoomScaleNormal="70" workbookViewId="0">
      <selection activeCell="G23" sqref="G23"/>
    </sheetView>
  </sheetViews>
  <sheetFormatPr defaultColWidth="8.5703125" defaultRowHeight="12.75"/>
  <cols>
    <col min="1" max="1" width="39" customWidth="1"/>
    <col min="2" max="2" width="33.5703125" hidden="1" customWidth="1"/>
    <col min="3" max="14" width="16.5703125" customWidth="1"/>
    <col min="34" max="48" width="8.5703125" customWidth="1"/>
    <col min="49" max="54" width="8.5703125" style="7" customWidth="1"/>
    <col min="55" max="56" width="9.5703125" style="7" customWidth="1"/>
    <col min="57" max="59" width="9" style="7" customWidth="1"/>
    <col min="60" max="60" width="9.5703125" style="7" customWidth="1"/>
    <col min="61" max="84" width="8.5703125" customWidth="1"/>
  </cols>
  <sheetData>
    <row r="1" spans="1:60" s="7" customFormat="1">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row>
    <row r="2" spans="1:60" s="7" customFormat="1"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row>
    <row r="3" spans="1:60" s="7" customFormat="1" ht="29.25" customHeight="1">
      <c r="A3" s="86"/>
      <c r="B3" s="86"/>
      <c r="C3" s="86"/>
      <c r="D3" s="248" t="str">
        <f>Cover!A10</f>
        <v>Shropshire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row>
    <row r="4" spans="1:60" s="7" customFormat="1"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row>
    <row r="5" spans="1:60" s="7" customFormat="1" ht="56.25"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row>
    <row r="6" spans="1:60" s="7" customFormat="1" ht="24" customHeight="1" thickBot="1">
      <c r="A6" s="254" t="s">
        <v>406</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40"/>
      <c r="AJ6" s="40"/>
      <c r="AK6" s="40"/>
      <c r="AL6" s="40"/>
      <c r="AM6" s="40"/>
      <c r="AN6" s="40"/>
      <c r="AO6" s="40"/>
      <c r="AP6" s="40"/>
      <c r="AQ6" s="40"/>
      <c r="AR6" s="40"/>
      <c r="AS6" s="40"/>
      <c r="AT6" s="40"/>
      <c r="AU6" s="86"/>
      <c r="AV6" s="86"/>
      <c r="AW6" s="40"/>
      <c r="AX6" s="40"/>
      <c r="AY6" s="40"/>
      <c r="AZ6" s="40"/>
      <c r="BA6" s="40"/>
      <c r="BB6" s="40"/>
      <c r="BC6" s="86"/>
    </row>
    <row r="7" spans="1:60" s="7" customFormat="1" ht="37.5" customHeight="1" thickBot="1">
      <c r="A7" s="273" t="s">
        <v>325</v>
      </c>
      <c r="B7" s="274"/>
      <c r="C7" s="274"/>
      <c r="D7" s="274"/>
      <c r="E7" s="274"/>
      <c r="F7" s="274"/>
      <c r="G7" s="274"/>
      <c r="H7" s="274"/>
      <c r="I7" s="274"/>
      <c r="J7" s="274"/>
      <c r="K7" s="274"/>
      <c r="L7" s="274"/>
      <c r="M7" s="274"/>
      <c r="N7" s="275"/>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c r="BC7" s="101"/>
      <c r="BD7" s="4"/>
      <c r="BE7" s="4"/>
      <c r="BF7" s="4"/>
      <c r="BG7" s="4"/>
      <c r="BH7" s="4"/>
    </row>
    <row r="8" spans="1:60" ht="19.5" customHeight="1" thickBot="1">
      <c r="A8" s="260" t="s">
        <v>407</v>
      </c>
      <c r="B8" s="261"/>
      <c r="C8" s="261"/>
      <c r="D8" s="276"/>
      <c r="E8" s="261"/>
      <c r="F8" s="261"/>
      <c r="G8" s="261"/>
      <c r="H8" s="261"/>
      <c r="I8" s="261"/>
      <c r="J8" s="261"/>
      <c r="K8" s="261"/>
      <c r="L8" s="261"/>
      <c r="M8" s="261"/>
      <c r="N8" s="262"/>
      <c r="O8" s="40"/>
      <c r="P8" s="40"/>
      <c r="Q8" s="40"/>
      <c r="R8" s="40"/>
      <c r="S8" s="40"/>
      <c r="T8" s="40"/>
      <c r="U8" s="40"/>
      <c r="V8" s="40"/>
      <c r="W8" s="40"/>
      <c r="X8" s="40"/>
      <c r="Y8" s="40"/>
      <c r="Z8" s="40"/>
      <c r="AA8" s="40"/>
      <c r="AB8" s="40"/>
      <c r="AC8" s="40"/>
      <c r="AD8" s="40"/>
      <c r="AE8" s="40"/>
      <c r="AF8" s="40"/>
      <c r="AG8" s="40"/>
      <c r="AH8" s="40"/>
      <c r="AI8" s="86"/>
      <c r="AJ8" s="86"/>
      <c r="AK8" s="86"/>
      <c r="AL8" s="86"/>
      <c r="AM8" s="86"/>
      <c r="AN8" s="86"/>
      <c r="AO8" s="86"/>
      <c r="AP8" s="86"/>
      <c r="AQ8" s="86"/>
      <c r="AR8" s="86"/>
      <c r="AS8" s="86"/>
      <c r="AT8" s="86"/>
      <c r="AU8" s="40"/>
      <c r="AV8" s="40"/>
      <c r="AW8" s="86"/>
      <c r="AX8" s="86"/>
      <c r="AY8" s="86"/>
      <c r="AZ8" s="86"/>
      <c r="BA8" s="86"/>
      <c r="BB8" s="86"/>
      <c r="BC8" s="86"/>
    </row>
    <row r="9" spans="1:60" ht="116.25" customHeight="1" thickBot="1">
      <c r="A9" s="21"/>
      <c r="B9" s="22"/>
      <c r="C9" s="23" t="s">
        <v>408</v>
      </c>
      <c r="D9" s="103" t="s">
        <v>409</v>
      </c>
      <c r="E9" s="24" t="s">
        <v>410</v>
      </c>
      <c r="F9" s="25" t="s">
        <v>411</v>
      </c>
      <c r="G9" s="26" t="s">
        <v>412</v>
      </c>
      <c r="H9" s="25" t="s">
        <v>413</v>
      </c>
      <c r="I9" s="26" t="s">
        <v>414</v>
      </c>
      <c r="J9" s="25" t="s">
        <v>415</v>
      </c>
      <c r="K9" s="26" t="s">
        <v>416</v>
      </c>
      <c r="L9" s="25" t="s">
        <v>417</v>
      </c>
      <c r="M9" s="26" t="s">
        <v>418</v>
      </c>
      <c r="N9" s="25" t="s">
        <v>419</v>
      </c>
      <c r="O9" s="40"/>
      <c r="P9" s="40"/>
      <c r="Q9" s="40"/>
      <c r="R9" s="40"/>
      <c r="S9" s="40"/>
      <c r="T9" s="40"/>
      <c r="U9" s="40"/>
      <c r="V9" s="40"/>
      <c r="W9" s="40"/>
      <c r="X9" s="40"/>
      <c r="Y9" s="40"/>
      <c r="Z9" s="40"/>
      <c r="AA9" s="40"/>
      <c r="AB9" s="40"/>
      <c r="AC9" s="40"/>
      <c r="AD9" s="40"/>
      <c r="AE9" s="40"/>
      <c r="AF9" s="40"/>
      <c r="AG9" s="40"/>
      <c r="AH9" s="40"/>
      <c r="AI9" s="86"/>
      <c r="AJ9" s="86"/>
      <c r="AK9" s="86"/>
      <c r="AL9" s="86"/>
      <c r="AM9" s="86"/>
      <c r="AN9" s="86"/>
      <c r="AO9" s="86"/>
      <c r="AP9" s="86"/>
      <c r="AQ9" s="86"/>
      <c r="AR9" s="86"/>
      <c r="AS9" s="86"/>
      <c r="AT9" s="86"/>
      <c r="AU9" s="40"/>
      <c r="AV9" s="40"/>
      <c r="AW9" s="86"/>
      <c r="AX9" s="86"/>
      <c r="AY9" s="86"/>
      <c r="AZ9" s="86"/>
      <c r="BA9" s="86"/>
      <c r="BB9" s="86"/>
      <c r="BC9" s="102"/>
      <c r="BD9" s="6"/>
      <c r="BE9" s="6"/>
      <c r="BF9" s="6"/>
      <c r="BG9" s="6"/>
      <c r="BH9" s="6"/>
    </row>
    <row r="10" spans="1:60" ht="15" hidden="1" customHeight="1" thickBot="1">
      <c r="A10" s="22"/>
      <c r="B10" s="22"/>
      <c r="C10" s="27" t="s">
        <v>420</v>
      </c>
      <c r="D10" s="27" t="s">
        <v>421</v>
      </c>
      <c r="E10" s="27" t="s">
        <v>422</v>
      </c>
      <c r="F10" s="27" t="s">
        <v>423</v>
      </c>
      <c r="G10" s="27" t="s">
        <v>424</v>
      </c>
      <c r="H10" s="27" t="s">
        <v>425</v>
      </c>
      <c r="I10" s="27" t="s">
        <v>426</v>
      </c>
      <c r="J10" s="27" t="s">
        <v>427</v>
      </c>
      <c r="K10" s="27" t="s">
        <v>428</v>
      </c>
      <c r="L10" s="27" t="s">
        <v>429</v>
      </c>
      <c r="M10" s="27" t="s">
        <v>430</v>
      </c>
      <c r="N10" s="27" t="s">
        <v>431</v>
      </c>
      <c r="O10" s="40"/>
      <c r="P10" s="40"/>
      <c r="Q10" s="40"/>
      <c r="R10" s="40"/>
      <c r="S10" s="40"/>
      <c r="T10" s="40"/>
      <c r="U10" s="40"/>
      <c r="V10" s="40"/>
      <c r="W10" s="40"/>
      <c r="X10" s="40"/>
      <c r="Y10" s="40"/>
      <c r="Z10" s="40"/>
      <c r="AA10" s="40"/>
      <c r="AB10" s="40"/>
      <c r="AC10" s="40"/>
      <c r="AD10" s="40"/>
      <c r="AE10" s="40"/>
      <c r="AF10" s="40"/>
      <c r="AG10" s="40"/>
      <c r="AH10" s="40"/>
      <c r="AI10" s="86"/>
      <c r="AJ10" s="86"/>
      <c r="AK10" s="86"/>
      <c r="AL10" s="86"/>
      <c r="AM10" s="86"/>
      <c r="AN10" s="86"/>
      <c r="AO10" s="86"/>
      <c r="AP10" s="86"/>
      <c r="AQ10" s="86"/>
      <c r="AR10" s="86"/>
      <c r="AS10" s="86"/>
      <c r="AT10" s="86"/>
      <c r="AU10" s="40"/>
      <c r="AV10" s="40"/>
      <c r="AW10" s="86"/>
      <c r="AX10" s="86"/>
      <c r="AY10" s="86"/>
      <c r="AZ10" s="86"/>
      <c r="BA10" s="86"/>
      <c r="BB10" s="86"/>
      <c r="BC10" s="102"/>
      <c r="BD10" s="6"/>
      <c r="BE10" s="6"/>
      <c r="BF10" s="6"/>
      <c r="BG10" s="6"/>
      <c r="BH10" s="6"/>
    </row>
    <row r="11" spans="1:60" ht="16.5" customHeight="1" thickBot="1">
      <c r="A11" s="201" t="s">
        <v>296</v>
      </c>
      <c r="B11" s="202" t="s">
        <v>388</v>
      </c>
      <c r="C11" s="183"/>
      <c r="D11" s="183"/>
      <c r="E11" s="183"/>
      <c r="F11" s="183"/>
      <c r="G11" s="183"/>
      <c r="H11" s="183"/>
      <c r="I11" s="183"/>
      <c r="J11" s="183"/>
      <c r="K11" s="183"/>
      <c r="L11" s="183"/>
      <c r="M11" s="183"/>
      <c r="N11" s="183"/>
      <c r="O11" s="40"/>
      <c r="P11" s="40"/>
      <c r="Q11" s="40"/>
      <c r="R11" s="40"/>
      <c r="S11" s="40"/>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40"/>
      <c r="AW11" s="40"/>
      <c r="AX11" s="40"/>
      <c r="AY11" s="40"/>
      <c r="AZ11" s="40"/>
      <c r="BA11" s="40"/>
      <c r="BB11" s="40"/>
      <c r="BC11" s="40"/>
      <c r="BD11"/>
      <c r="BE11"/>
      <c r="BF11"/>
      <c r="BG11"/>
      <c r="BH11"/>
    </row>
    <row r="12" spans="1:60" ht="16.5" customHeight="1" thickBot="1">
      <c r="A12" s="13" t="s">
        <v>297</v>
      </c>
      <c r="B12" s="202" t="s">
        <v>389</v>
      </c>
      <c r="C12" s="183"/>
      <c r="D12" s="183"/>
      <c r="E12" s="183"/>
      <c r="F12" s="183"/>
      <c r="G12" s="183"/>
      <c r="H12" s="183"/>
      <c r="I12" s="183"/>
      <c r="J12" s="183"/>
      <c r="K12" s="183"/>
      <c r="L12" s="183"/>
      <c r="M12" s="183"/>
      <c r="N12" s="183"/>
      <c r="O12" s="40"/>
      <c r="P12" s="40"/>
      <c r="Q12" s="40"/>
      <c r="R12" s="40"/>
      <c r="S12" s="40"/>
      <c r="T12" s="40"/>
      <c r="U12" s="40"/>
      <c r="V12" s="40"/>
      <c r="W12" s="40"/>
      <c r="X12" s="40"/>
      <c r="Y12" s="40"/>
      <c r="Z12" s="40"/>
      <c r="AA12" s="40"/>
      <c r="AB12" s="40"/>
      <c r="AC12" s="40"/>
      <c r="AD12" s="40"/>
      <c r="AE12" s="40"/>
      <c r="AF12" s="40"/>
      <c r="AG12" s="40"/>
      <c r="AH12" s="40"/>
      <c r="AI12" s="40"/>
      <c r="AJ12" s="40"/>
      <c r="AK12" s="40"/>
      <c r="AL12" s="40"/>
      <c r="AM12" s="40"/>
      <c r="AN12" s="40"/>
      <c r="AO12" s="40"/>
      <c r="AP12" s="40"/>
      <c r="AQ12" s="40"/>
      <c r="AR12" s="40"/>
      <c r="AS12" s="40"/>
      <c r="AT12" s="40"/>
      <c r="AU12" s="40"/>
      <c r="AV12" s="40"/>
      <c r="AW12" s="40"/>
      <c r="AX12" s="40"/>
      <c r="AY12" s="40"/>
      <c r="AZ12" s="40"/>
      <c r="BA12" s="40"/>
      <c r="BB12" s="40"/>
      <c r="BC12" s="40"/>
      <c r="BD12"/>
      <c r="BE12"/>
      <c r="BF12"/>
      <c r="BG12"/>
      <c r="BH12"/>
    </row>
    <row r="13" spans="1:60" ht="16.5" customHeight="1" thickBot="1">
      <c r="A13" s="13" t="s">
        <v>298</v>
      </c>
      <c r="B13" s="202" t="s">
        <v>390</v>
      </c>
      <c r="C13" s="183"/>
      <c r="D13" s="183"/>
      <c r="E13" s="183"/>
      <c r="F13" s="183"/>
      <c r="G13" s="183"/>
      <c r="H13" s="183"/>
      <c r="I13" s="183"/>
      <c r="J13" s="183"/>
      <c r="K13" s="183"/>
      <c r="L13" s="183"/>
      <c r="M13" s="183"/>
      <c r="N13" s="183"/>
      <c r="O13" s="40"/>
      <c r="P13" s="40"/>
      <c r="Q13" s="40"/>
      <c r="R13" s="40"/>
      <c r="S13" s="40"/>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40"/>
      <c r="AW13" s="40"/>
      <c r="AX13" s="40"/>
      <c r="AY13" s="40"/>
      <c r="AZ13" s="40"/>
      <c r="BA13" s="40"/>
      <c r="BB13" s="40"/>
      <c r="BC13" s="40"/>
      <c r="BD13"/>
      <c r="BE13"/>
      <c r="BF13"/>
      <c r="BG13"/>
      <c r="BH13"/>
    </row>
    <row r="14" spans="1:60" ht="18.75" customHeight="1" thickBot="1">
      <c r="A14" s="13" t="s">
        <v>299</v>
      </c>
      <c r="B14" s="202"/>
      <c r="C14" s="183"/>
      <c r="D14" s="183"/>
      <c r="E14" s="183"/>
      <c r="F14" s="183"/>
      <c r="G14" s="183"/>
      <c r="H14" s="183"/>
      <c r="I14" s="183"/>
      <c r="J14" s="183"/>
      <c r="K14" s="183"/>
      <c r="L14" s="183"/>
      <c r="M14" s="183"/>
      <c r="N14" s="183"/>
      <c r="O14" s="40"/>
      <c r="P14" s="86"/>
      <c r="Q14" s="86"/>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c r="BE14"/>
      <c r="BF14"/>
      <c r="BG14"/>
      <c r="BH14"/>
    </row>
    <row r="15" spans="1:60" ht="18.75" hidden="1" customHeight="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c r="BE15"/>
      <c r="BF15"/>
      <c r="BG15"/>
      <c r="BH15"/>
    </row>
    <row r="16" spans="1:60"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c r="BE16"/>
      <c r="BF16"/>
      <c r="BG16"/>
      <c r="BH16"/>
    </row>
    <row r="17" spans="1:60"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c r="AX17" s="40"/>
      <c r="AY17" s="40"/>
      <c r="AZ17" s="40"/>
      <c r="BA17" s="40"/>
      <c r="BB17" s="40"/>
      <c r="BC17" s="40"/>
      <c r="BD17"/>
      <c r="BE17"/>
      <c r="BF17"/>
      <c r="BG17"/>
      <c r="BH17"/>
    </row>
    <row r="18" spans="1:60" ht="13.5" thickBot="1">
      <c r="A18" s="56" t="s">
        <v>303</v>
      </c>
      <c r="B18" s="203" t="s">
        <v>391</v>
      </c>
      <c r="C18" s="204"/>
      <c r="D18" s="204"/>
      <c r="E18" s="204"/>
      <c r="F18" s="204"/>
      <c r="G18" s="204"/>
      <c r="H18" s="204"/>
      <c r="I18" s="204"/>
      <c r="J18" s="204"/>
      <c r="K18" s="204"/>
      <c r="L18" s="204"/>
      <c r="M18" s="204"/>
      <c r="N18" s="204"/>
      <c r="O18" s="40"/>
      <c r="P18" s="40"/>
      <c r="Q18" s="40"/>
      <c r="R18" s="40"/>
      <c r="S18" s="40"/>
      <c r="T18" s="40"/>
      <c r="U18" s="40"/>
      <c r="V18" s="40"/>
      <c r="W18" s="40"/>
      <c r="X18" s="40"/>
      <c r="Y18" s="40"/>
      <c r="Z18" s="40"/>
      <c r="AA18" s="40"/>
      <c r="AB18" s="40"/>
      <c r="AC18" s="40"/>
      <c r="AD18" s="40"/>
      <c r="AE18" s="40"/>
      <c r="AF18" s="40"/>
      <c r="AG18" s="40"/>
      <c r="AH18" s="40"/>
      <c r="AI18" s="40"/>
      <c r="AJ18" s="40"/>
      <c r="AK18" s="40"/>
      <c r="AL18" s="40"/>
      <c r="AM18" s="40"/>
      <c r="AN18" s="40"/>
      <c r="AO18" s="40"/>
      <c r="AP18" s="40"/>
      <c r="AQ18" s="40"/>
      <c r="AR18" s="40"/>
      <c r="AS18" s="40"/>
      <c r="AT18" s="40"/>
      <c r="AU18" s="40"/>
      <c r="AV18" s="40"/>
      <c r="AW18" s="40"/>
      <c r="AX18" s="40"/>
      <c r="AY18" s="40"/>
      <c r="AZ18" s="40"/>
      <c r="BA18" s="40"/>
      <c r="BB18" s="40"/>
      <c r="BC18" s="40"/>
      <c r="BD18"/>
      <c r="BE18"/>
      <c r="BF18"/>
      <c r="BG18"/>
      <c r="BH18"/>
    </row>
    <row r="19" spans="1:60" ht="16.5" customHeight="1" thickBot="1">
      <c r="A19" s="13" t="s">
        <v>304</v>
      </c>
      <c r="B19" s="202" t="s">
        <v>392</v>
      </c>
      <c r="C19" s="183"/>
      <c r="D19" s="183"/>
      <c r="E19" s="183"/>
      <c r="F19" s="183"/>
      <c r="G19" s="183"/>
      <c r="H19" s="183"/>
      <c r="I19" s="183"/>
      <c r="J19" s="183"/>
      <c r="K19" s="183"/>
      <c r="L19" s="183"/>
      <c r="M19" s="183"/>
      <c r="N19" s="183"/>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0"/>
      <c r="AR19" s="40"/>
      <c r="AS19" s="40"/>
      <c r="AT19" s="40"/>
      <c r="AU19" s="40"/>
      <c r="AV19" s="40"/>
      <c r="AW19" s="40"/>
      <c r="AX19" s="40"/>
      <c r="AY19" s="40"/>
      <c r="AZ19" s="40"/>
      <c r="BA19" s="40"/>
      <c r="BB19" s="40"/>
      <c r="BC19" s="40"/>
      <c r="BD19"/>
      <c r="BE19"/>
      <c r="BF19"/>
      <c r="BG19"/>
      <c r="BH19"/>
    </row>
    <row r="20" spans="1:60" ht="16.5" customHeight="1" thickBot="1">
      <c r="A20" s="13" t="s">
        <v>305</v>
      </c>
      <c r="B20" s="202" t="s">
        <v>393</v>
      </c>
      <c r="C20" s="183"/>
      <c r="D20" s="183"/>
      <c r="E20" s="183"/>
      <c r="F20" s="183"/>
      <c r="G20" s="183"/>
      <c r="H20" s="183"/>
      <c r="I20" s="183"/>
      <c r="J20" s="183"/>
      <c r="K20" s="183"/>
      <c r="L20" s="183"/>
      <c r="M20" s="183"/>
      <c r="N20" s="183"/>
      <c r="O20" s="40"/>
      <c r="P20" s="40"/>
      <c r="Q20" s="40"/>
      <c r="R20" s="40"/>
      <c r="S20" s="40"/>
      <c r="T20" s="40"/>
      <c r="U20" s="40"/>
      <c r="V20" s="40"/>
      <c r="W20" s="40"/>
      <c r="X20" s="40"/>
      <c r="Y20" s="40"/>
      <c r="Z20" s="40"/>
      <c r="AA20" s="40"/>
      <c r="AB20" s="40"/>
      <c r="AC20" s="40"/>
      <c r="AD20" s="40"/>
      <c r="AE20" s="40"/>
      <c r="AF20" s="40"/>
      <c r="AG20" s="40"/>
      <c r="AH20" s="40"/>
      <c r="AI20" s="40"/>
      <c r="AJ20" s="40"/>
      <c r="AK20" s="40"/>
      <c r="AL20" s="40"/>
      <c r="AM20" s="40"/>
      <c r="AN20" s="40"/>
      <c r="AO20" s="40"/>
      <c r="AP20" s="40"/>
      <c r="AQ20" s="40"/>
      <c r="AR20" s="40"/>
      <c r="AS20" s="40"/>
      <c r="AT20" s="40"/>
      <c r="AU20" s="40"/>
      <c r="AV20" s="40"/>
      <c r="AW20" s="40"/>
      <c r="AX20" s="40"/>
      <c r="AY20" s="40"/>
      <c r="AZ20" s="40"/>
      <c r="BA20" s="40"/>
      <c r="BB20" s="40"/>
      <c r="BC20" s="40"/>
      <c r="BD20"/>
      <c r="BE20"/>
      <c r="BF20"/>
      <c r="BG20"/>
      <c r="BH20"/>
    </row>
    <row r="21" spans="1:60" ht="16.5" customHeight="1" thickBot="1">
      <c r="A21" s="13" t="s">
        <v>306</v>
      </c>
      <c r="B21" s="202" t="s">
        <v>394</v>
      </c>
      <c r="C21" s="183"/>
      <c r="D21" s="183"/>
      <c r="E21" s="183"/>
      <c r="F21" s="183"/>
      <c r="G21" s="183"/>
      <c r="H21" s="183"/>
      <c r="I21" s="183"/>
      <c r="J21" s="183"/>
      <c r="K21" s="183"/>
      <c r="L21" s="183"/>
      <c r="M21" s="183"/>
      <c r="N21" s="183"/>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c r="BE21"/>
      <c r="BF21"/>
      <c r="BG21"/>
      <c r="BH21"/>
    </row>
    <row r="22" spans="1:60" ht="16.5" customHeight="1" thickBot="1">
      <c r="A22" s="13" t="s">
        <v>307</v>
      </c>
      <c r="B22" s="202" t="s">
        <v>395</v>
      </c>
      <c r="C22" s="183"/>
      <c r="D22" s="183"/>
      <c r="E22" s="183"/>
      <c r="F22" s="183"/>
      <c r="G22" s="183"/>
      <c r="H22" s="183"/>
      <c r="I22" s="183"/>
      <c r="J22" s="183"/>
      <c r="K22" s="183"/>
      <c r="L22" s="183"/>
      <c r="M22" s="183"/>
      <c r="N22" s="183"/>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c r="BE22"/>
      <c r="BF22"/>
      <c r="BG22"/>
      <c r="BH22"/>
    </row>
    <row r="23" spans="1:60" ht="16.5" customHeight="1" thickBot="1">
      <c r="A23" s="13" t="s">
        <v>308</v>
      </c>
      <c r="B23" s="202" t="s">
        <v>396</v>
      </c>
      <c r="C23" s="183"/>
      <c r="D23" s="183"/>
      <c r="E23" s="183"/>
      <c r="F23" s="183"/>
      <c r="G23" s="183"/>
      <c r="H23" s="183"/>
      <c r="I23" s="183"/>
      <c r="J23" s="183"/>
      <c r="K23" s="183"/>
      <c r="L23" s="183"/>
      <c r="M23" s="183"/>
      <c r="N23" s="183"/>
      <c r="O23" s="40"/>
      <c r="P23" s="40"/>
      <c r="Q23" s="40"/>
      <c r="R23" s="40"/>
      <c r="S23" s="40"/>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0"/>
      <c r="AR23" s="40"/>
      <c r="AS23" s="40"/>
      <c r="AT23" s="40"/>
      <c r="AU23" s="40"/>
      <c r="AV23" s="40"/>
      <c r="AW23" s="40"/>
      <c r="AX23" s="40"/>
      <c r="AY23" s="40"/>
      <c r="AZ23" s="40"/>
      <c r="BA23" s="40"/>
      <c r="BB23" s="40"/>
      <c r="BC23" s="40"/>
      <c r="BD23"/>
      <c r="BE23"/>
      <c r="BF23"/>
      <c r="BG23"/>
      <c r="BH23"/>
    </row>
    <row r="24" spans="1:60" ht="16.5" customHeight="1" thickBot="1">
      <c r="A24" s="13" t="s">
        <v>309</v>
      </c>
      <c r="B24" s="202" t="s">
        <v>397</v>
      </c>
      <c r="C24" s="183"/>
      <c r="D24" s="183"/>
      <c r="E24" s="183"/>
      <c r="F24" s="183"/>
      <c r="G24" s="183"/>
      <c r="H24" s="183"/>
      <c r="I24" s="183"/>
      <c r="J24" s="183"/>
      <c r="K24" s="183"/>
      <c r="L24" s="183"/>
      <c r="M24" s="183"/>
      <c r="N24" s="183"/>
      <c r="O24" s="40"/>
      <c r="P24" s="40"/>
      <c r="Q24" s="40"/>
      <c r="R24" s="40"/>
      <c r="S24" s="40"/>
      <c r="T24" s="40"/>
      <c r="U24" s="40"/>
      <c r="V24" s="40"/>
      <c r="W24" s="40"/>
      <c r="X24" s="40"/>
      <c r="Y24" s="40"/>
      <c r="Z24" s="40"/>
      <c r="AA24" s="40"/>
      <c r="AB24" s="40"/>
      <c r="AC24" s="40"/>
      <c r="AD24" s="40"/>
      <c r="AE24" s="40"/>
      <c r="AF24" s="40"/>
      <c r="AG24" s="40"/>
      <c r="AH24" s="40"/>
      <c r="AI24" s="40"/>
      <c r="AJ24" s="40"/>
      <c r="AK24" s="40"/>
      <c r="AL24" s="40"/>
      <c r="AM24" s="40"/>
      <c r="AN24" s="40"/>
      <c r="AO24" s="40"/>
      <c r="AP24" s="40"/>
      <c r="AQ24" s="40"/>
      <c r="AR24" s="40"/>
      <c r="AS24" s="40"/>
      <c r="AT24" s="40"/>
      <c r="AU24" s="40"/>
      <c r="AV24" s="40"/>
      <c r="AW24" s="40"/>
      <c r="AX24" s="40"/>
      <c r="AY24" s="40"/>
      <c r="AZ24" s="40"/>
      <c r="BA24" s="40"/>
      <c r="BB24" s="40"/>
      <c r="BC24" s="40"/>
      <c r="BD24"/>
      <c r="BE24"/>
      <c r="BF24"/>
      <c r="BG24"/>
      <c r="BH24"/>
    </row>
    <row r="25" spans="1:60" ht="16.5" customHeight="1" thickBot="1">
      <c r="A25" s="13" t="s">
        <v>310</v>
      </c>
      <c r="B25" s="202" t="s">
        <v>398</v>
      </c>
      <c r="C25" s="183"/>
      <c r="D25" s="183"/>
      <c r="E25" s="183"/>
      <c r="F25" s="183"/>
      <c r="G25" s="183"/>
      <c r="H25" s="183"/>
      <c r="I25" s="183"/>
      <c r="J25" s="183"/>
      <c r="K25" s="183"/>
      <c r="L25" s="183"/>
      <c r="M25" s="183"/>
      <c r="N25" s="183"/>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c r="AY25" s="40"/>
      <c r="AZ25" s="40"/>
      <c r="BA25" s="40"/>
      <c r="BB25" s="40"/>
      <c r="BC25" s="40"/>
      <c r="BD25"/>
      <c r="BE25"/>
      <c r="BF25"/>
      <c r="BG25"/>
      <c r="BH25"/>
    </row>
    <row r="26" spans="1:60" ht="16.5" customHeight="1" thickBot="1">
      <c r="A26" s="13" t="s">
        <v>311</v>
      </c>
      <c r="B26" s="202" t="s">
        <v>399</v>
      </c>
      <c r="C26" s="183"/>
      <c r="D26" s="183"/>
      <c r="E26" s="183"/>
      <c r="F26" s="183"/>
      <c r="G26" s="183"/>
      <c r="H26" s="183"/>
      <c r="I26" s="183"/>
      <c r="J26" s="183"/>
      <c r="K26" s="183"/>
      <c r="L26" s="183"/>
      <c r="M26" s="183"/>
      <c r="N26" s="183"/>
      <c r="O26" s="40"/>
      <c r="P26" s="40"/>
      <c r="Q26" s="40"/>
      <c r="R26" s="40"/>
      <c r="S26" s="40"/>
      <c r="T26" s="40"/>
      <c r="U26" s="40"/>
      <c r="V26" s="40"/>
      <c r="W26" s="40"/>
      <c r="X26" s="40"/>
      <c r="Y26" s="40"/>
      <c r="Z26" s="40"/>
      <c r="AA26" s="40"/>
      <c r="AB26" s="40"/>
      <c r="AC26" s="40"/>
      <c r="AD26" s="40"/>
      <c r="AE26" s="40"/>
      <c r="AF26" s="40"/>
      <c r="AG26" s="40"/>
      <c r="AH26" s="40"/>
      <c r="AI26" s="40"/>
      <c r="AJ26" s="40"/>
      <c r="AK26" s="40"/>
      <c r="AL26" s="40"/>
      <c r="AM26" s="40"/>
      <c r="AN26" s="40"/>
      <c r="AO26" s="40"/>
      <c r="AP26" s="40"/>
      <c r="AQ26" s="40"/>
      <c r="AR26" s="40"/>
      <c r="AS26" s="40"/>
      <c r="AT26" s="40"/>
      <c r="AU26" s="40"/>
      <c r="AV26" s="40"/>
      <c r="AW26" s="40"/>
      <c r="AX26" s="40"/>
      <c r="AY26" s="40"/>
      <c r="AZ26" s="40"/>
      <c r="BA26" s="40"/>
      <c r="BB26" s="40"/>
      <c r="BC26" s="40"/>
      <c r="BD26"/>
      <c r="BE26"/>
      <c r="BF26"/>
      <c r="BG26"/>
      <c r="BH26"/>
    </row>
    <row r="27" spans="1:60" ht="16.5" customHeight="1" thickBot="1">
      <c r="A27" s="13" t="s">
        <v>312</v>
      </c>
      <c r="B27" s="202" t="s">
        <v>400</v>
      </c>
      <c r="C27" s="183"/>
      <c r="D27" s="183"/>
      <c r="E27" s="183"/>
      <c r="F27" s="183"/>
      <c r="G27" s="183"/>
      <c r="H27" s="183"/>
      <c r="I27" s="183"/>
      <c r="J27" s="183"/>
      <c r="K27" s="183"/>
      <c r="L27" s="183"/>
      <c r="M27" s="183"/>
      <c r="N27" s="183"/>
      <c r="O27" s="40"/>
      <c r="P27" s="40"/>
      <c r="Q27" s="40"/>
      <c r="R27" s="40"/>
      <c r="S27" s="40"/>
      <c r="T27" s="40"/>
      <c r="U27" s="40"/>
      <c r="V27" s="40"/>
      <c r="W27" s="40"/>
      <c r="X27" s="40"/>
      <c r="Y27" s="40"/>
      <c r="Z27" s="40"/>
      <c r="AA27" s="40"/>
      <c r="AB27" s="40"/>
      <c r="AC27" s="40"/>
      <c r="AD27" s="40"/>
      <c r="AE27" s="40"/>
      <c r="AF27" s="40"/>
      <c r="AG27" s="40"/>
      <c r="AH27" s="40"/>
      <c r="AI27" s="40"/>
      <c r="AJ27" s="40"/>
      <c r="AK27" s="40"/>
      <c r="AL27" s="40"/>
      <c r="AM27" s="40"/>
      <c r="AN27" s="40"/>
      <c r="AO27" s="40"/>
      <c r="AP27" s="40"/>
      <c r="AQ27" s="40"/>
      <c r="AR27" s="40"/>
      <c r="AS27" s="40"/>
      <c r="AT27" s="40"/>
      <c r="AU27" s="40"/>
      <c r="AV27" s="40"/>
      <c r="AW27" s="40"/>
      <c r="AX27" s="40"/>
      <c r="AY27" s="40"/>
      <c r="AZ27" s="40"/>
      <c r="BA27" s="40"/>
      <c r="BB27" s="40"/>
      <c r="BC27" s="40"/>
      <c r="BD27"/>
      <c r="BE27"/>
      <c r="BF27"/>
      <c r="BG27"/>
      <c r="BH27"/>
    </row>
    <row r="28" spans="1:60" ht="16.5" customHeight="1" thickBot="1">
      <c r="A28" s="13" t="s">
        <v>313</v>
      </c>
      <c r="B28" s="202" t="s">
        <v>401</v>
      </c>
      <c r="C28" s="183"/>
      <c r="D28" s="183"/>
      <c r="E28" s="183"/>
      <c r="F28" s="183"/>
      <c r="G28" s="183"/>
      <c r="H28" s="183"/>
      <c r="I28" s="183"/>
      <c r="J28" s="183"/>
      <c r="K28" s="183"/>
      <c r="L28" s="183"/>
      <c r="M28" s="183"/>
      <c r="N28" s="183"/>
      <c r="O28" s="40"/>
      <c r="P28" s="40"/>
      <c r="Q28" s="40"/>
      <c r="R28" s="40"/>
      <c r="S28" s="40"/>
      <c r="T28" s="40"/>
      <c r="U28" s="40"/>
      <c r="V28" s="40"/>
      <c r="W28" s="40"/>
      <c r="X28" s="40"/>
      <c r="Y28" s="40"/>
      <c r="Z28" s="40"/>
      <c r="AA28" s="40"/>
      <c r="AB28" s="40"/>
      <c r="AC28" s="40"/>
      <c r="AD28" s="40"/>
      <c r="AE28" s="40"/>
      <c r="AF28" s="40"/>
      <c r="AG28" s="40"/>
      <c r="AH28" s="40"/>
      <c r="AI28" s="40"/>
      <c r="AJ28" s="40"/>
      <c r="AK28" s="40"/>
      <c r="AL28" s="40"/>
      <c r="AM28" s="40"/>
      <c r="AN28" s="40"/>
      <c r="AO28" s="40"/>
      <c r="AP28" s="40"/>
      <c r="AQ28" s="40"/>
      <c r="AR28" s="40"/>
      <c r="AS28" s="40"/>
      <c r="AT28" s="40"/>
      <c r="AU28" s="40"/>
      <c r="AV28" s="40"/>
      <c r="AW28" s="40"/>
      <c r="AX28" s="40"/>
      <c r="AY28" s="40"/>
      <c r="AZ28" s="40"/>
      <c r="BA28" s="40"/>
      <c r="BB28" s="40"/>
      <c r="BC28" s="40"/>
      <c r="BD28"/>
      <c r="BE28"/>
      <c r="BF28"/>
      <c r="BG28"/>
      <c r="BH28"/>
    </row>
    <row r="29" spans="1:60"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c r="AU29" s="40"/>
      <c r="AV29" s="40"/>
      <c r="AW29" s="40"/>
      <c r="AX29" s="40"/>
      <c r="AY29" s="40"/>
      <c r="AZ29" s="40"/>
      <c r="BA29" s="40"/>
      <c r="BB29" s="40"/>
      <c r="BC29" s="40"/>
      <c r="BD29"/>
      <c r="BE29"/>
      <c r="BF29"/>
      <c r="BG29"/>
      <c r="BH29"/>
    </row>
    <row r="30" spans="1:60"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40"/>
      <c r="AV30" s="40"/>
      <c r="AW30" s="40"/>
      <c r="AX30" s="40"/>
      <c r="AY30" s="40"/>
      <c r="AZ30" s="40"/>
      <c r="BA30" s="40"/>
      <c r="BB30" s="40"/>
      <c r="BC30" s="40"/>
      <c r="BD30"/>
      <c r="BE30"/>
      <c r="BF30"/>
      <c r="BG30"/>
      <c r="BH30"/>
    </row>
    <row r="31" spans="1:60"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0"/>
      <c r="AZ31" s="40"/>
      <c r="BA31" s="40"/>
      <c r="BB31" s="40"/>
      <c r="BC31" s="40"/>
      <c r="BD31"/>
      <c r="BE31"/>
      <c r="BF31"/>
      <c r="BG31"/>
      <c r="BH31"/>
    </row>
    <row r="32" spans="1:60" ht="16.5" customHeight="1" thickBot="1">
      <c r="A32" s="9" t="s">
        <v>317</v>
      </c>
      <c r="B32" s="28"/>
      <c r="C32" s="104">
        <f>SUM(C11:C31)</f>
        <v>0</v>
      </c>
      <c r="D32" s="104">
        <f t="shared" ref="D32:N32" si="0">SUM(D11:D31)</f>
        <v>0</v>
      </c>
      <c r="E32" s="104">
        <f t="shared" si="0"/>
        <v>0</v>
      </c>
      <c r="F32" s="104">
        <f t="shared" si="0"/>
        <v>0</v>
      </c>
      <c r="G32" s="104">
        <f t="shared" si="0"/>
        <v>0</v>
      </c>
      <c r="H32" s="104">
        <f t="shared" si="0"/>
        <v>0</v>
      </c>
      <c r="I32" s="104">
        <f t="shared" si="0"/>
        <v>0</v>
      </c>
      <c r="J32" s="104">
        <f t="shared" si="0"/>
        <v>0</v>
      </c>
      <c r="K32" s="104">
        <f t="shared" si="0"/>
        <v>0</v>
      </c>
      <c r="L32" s="104">
        <f t="shared" si="0"/>
        <v>0</v>
      </c>
      <c r="M32" s="104">
        <f t="shared" si="0"/>
        <v>0</v>
      </c>
      <c r="N32" s="104">
        <f t="shared" si="0"/>
        <v>0</v>
      </c>
      <c r="O32" s="40"/>
      <c r="P32" s="40"/>
      <c r="Q32" s="40"/>
      <c r="R32" s="40"/>
      <c r="S32" s="40"/>
      <c r="T32" s="40"/>
      <c r="U32" s="40"/>
      <c r="V32" s="40"/>
      <c r="W32" s="40"/>
      <c r="X32" s="40"/>
      <c r="Y32" s="40"/>
      <c r="Z32" s="40"/>
      <c r="AA32" s="40"/>
      <c r="AB32" s="40"/>
      <c r="AC32" s="40"/>
      <c r="AD32" s="40"/>
      <c r="AE32" s="40"/>
      <c r="AF32" s="40"/>
      <c r="AG32" s="40"/>
      <c r="AH32" s="40"/>
      <c r="AI32" s="40"/>
      <c r="AJ32" s="40"/>
      <c r="AK32" s="40"/>
      <c r="AL32" s="40"/>
      <c r="AM32" s="40"/>
      <c r="AN32" s="40"/>
      <c r="AO32" s="40"/>
      <c r="AP32" s="40"/>
      <c r="AQ32" s="40"/>
      <c r="AR32" s="40"/>
      <c r="AS32" s="40"/>
      <c r="AT32" s="40"/>
      <c r="AU32" s="40"/>
      <c r="AV32" s="40"/>
      <c r="AW32" s="40"/>
      <c r="AX32" s="40"/>
      <c r="AY32" s="40"/>
      <c r="AZ32" s="40"/>
      <c r="BA32" s="40"/>
      <c r="BB32" s="40"/>
      <c r="BC32" s="40"/>
      <c r="BD32"/>
      <c r="BE32"/>
      <c r="BF32"/>
      <c r="BG32"/>
      <c r="BH32"/>
    </row>
    <row r="33" spans="1:55">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c r="AH33" s="40"/>
      <c r="AI33" s="40"/>
      <c r="AJ33" s="40"/>
      <c r="AK33" s="40"/>
      <c r="AL33" s="40"/>
      <c r="AM33" s="40"/>
      <c r="AN33" s="40"/>
      <c r="AO33" s="40"/>
      <c r="AP33" s="40"/>
      <c r="AQ33" s="40"/>
      <c r="AR33" s="40"/>
      <c r="AS33" s="40"/>
      <c r="AT33" s="40"/>
      <c r="AU33" s="40"/>
      <c r="AV33" s="40"/>
      <c r="AW33" s="40"/>
      <c r="AX33" s="40"/>
      <c r="AY33" s="40"/>
      <c r="AZ33" s="40"/>
      <c r="BA33" s="40"/>
      <c r="BB33" s="40"/>
      <c r="BC33" s="86"/>
    </row>
    <row r="34" spans="1:55" ht="15" customHeight="1">
      <c r="A34" s="40"/>
      <c r="B34" s="40"/>
      <c r="C34" s="272"/>
      <c r="D34" s="272"/>
      <c r="E34" s="272"/>
      <c r="F34" s="272"/>
      <c r="G34" s="272"/>
      <c r="H34" s="272"/>
      <c r="I34" s="272"/>
      <c r="J34" s="272"/>
      <c r="K34" s="272"/>
      <c r="L34" s="272"/>
      <c r="M34" s="272"/>
      <c r="N34" s="272"/>
      <c r="O34" s="40"/>
      <c r="P34" s="40"/>
      <c r="Q34" s="40"/>
      <c r="R34" s="40"/>
      <c r="S34" s="40"/>
      <c r="T34" s="40"/>
      <c r="U34" s="40"/>
      <c r="V34" s="40"/>
      <c r="W34" s="40"/>
      <c r="X34" s="40"/>
      <c r="Y34" s="40"/>
      <c r="Z34" s="40"/>
      <c r="AA34" s="40"/>
      <c r="AB34" s="40"/>
      <c r="AC34" s="40"/>
      <c r="AD34" s="40"/>
      <c r="AE34" s="40"/>
      <c r="AF34" s="40"/>
      <c r="AG34" s="40"/>
      <c r="AH34" s="40"/>
      <c r="AI34" s="40"/>
      <c r="AJ34" s="40"/>
      <c r="AK34" s="40"/>
      <c r="AL34" s="40"/>
      <c r="AM34" s="40"/>
      <c r="AN34" s="40"/>
      <c r="AO34" s="40"/>
      <c r="AP34" s="40"/>
      <c r="AQ34" s="40"/>
      <c r="AR34" s="40"/>
      <c r="AS34" s="40"/>
      <c r="AT34" s="40"/>
      <c r="AU34" s="40"/>
      <c r="AV34" s="40"/>
      <c r="AW34" s="40"/>
      <c r="AX34" s="40"/>
      <c r="AY34" s="40"/>
      <c r="AZ34" s="40"/>
      <c r="BA34" s="40"/>
      <c r="BB34" s="40"/>
      <c r="BC34" s="86"/>
    </row>
    <row r="35" spans="1:55" ht="1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40"/>
      <c r="AK35" s="40"/>
      <c r="AL35" s="40"/>
      <c r="AM35" s="40"/>
      <c r="AN35" s="40"/>
      <c r="AO35" s="40"/>
      <c r="AP35" s="40"/>
      <c r="AQ35" s="40"/>
      <c r="AR35" s="40"/>
      <c r="AS35" s="40"/>
      <c r="AT35" s="40"/>
      <c r="AU35" s="40"/>
      <c r="AV35" s="40"/>
      <c r="AW35" s="40"/>
      <c r="AX35" s="40"/>
      <c r="AY35" s="40"/>
      <c r="AZ35" s="40"/>
      <c r="BA35" s="40"/>
      <c r="BB35" s="40"/>
      <c r="BC35" s="86"/>
    </row>
    <row r="36" spans="1:55" ht="15" customHeight="1" thickBot="1">
      <c r="A36" s="40"/>
      <c r="B36" s="85"/>
      <c r="C36" s="260" t="s">
        <v>336</v>
      </c>
      <c r="D36" s="261"/>
      <c r="E36" s="261"/>
      <c r="F36" s="261"/>
      <c r="G36" s="261"/>
      <c r="H36" s="261"/>
      <c r="I36" s="261"/>
      <c r="J36" s="261"/>
      <c r="K36" s="261"/>
      <c r="L36" s="261"/>
      <c r="M36" s="261"/>
      <c r="N36" s="262"/>
      <c r="O36" s="40"/>
      <c r="P36" s="40"/>
      <c r="Q36" s="40"/>
      <c r="R36" s="40"/>
      <c r="S36" s="40"/>
      <c r="T36" s="40"/>
      <c r="U36" s="40"/>
      <c r="V36" s="40"/>
      <c r="W36" s="40"/>
      <c r="X36" s="40"/>
      <c r="Y36" s="40"/>
      <c r="Z36" s="40"/>
      <c r="AA36" s="40"/>
      <c r="AB36" s="40"/>
      <c r="AC36" s="40"/>
      <c r="AD36" s="40"/>
      <c r="AE36" s="40"/>
      <c r="AF36" s="40"/>
      <c r="AG36" s="40"/>
      <c r="AH36" s="40"/>
      <c r="AI36" s="40"/>
      <c r="AJ36" s="40"/>
      <c r="AK36" s="40"/>
      <c r="AL36" s="40"/>
      <c r="AM36" s="40"/>
      <c r="AN36" s="40"/>
      <c r="AO36" s="40"/>
      <c r="AP36" s="40"/>
      <c r="AQ36" s="40"/>
      <c r="AR36" s="40"/>
      <c r="AS36" s="40"/>
      <c r="AT36" s="40"/>
      <c r="AU36" s="40"/>
      <c r="AV36" s="40"/>
      <c r="AW36" s="40"/>
      <c r="AX36" s="40"/>
      <c r="AY36" s="40"/>
      <c r="AZ36" s="40"/>
      <c r="BA36" s="40"/>
      <c r="BB36" s="40"/>
      <c r="BC36" s="86"/>
    </row>
    <row r="37" spans="1:55" ht="63.75" customHeight="1" thickBot="1">
      <c r="A37" s="188"/>
      <c r="B37" s="202"/>
      <c r="C37" s="245" t="s">
        <v>405</v>
      </c>
      <c r="D37" s="246"/>
      <c r="E37" s="246"/>
      <c r="F37" s="246"/>
      <c r="G37" s="246"/>
      <c r="H37" s="246"/>
      <c r="I37" s="246"/>
      <c r="J37" s="246"/>
      <c r="K37" s="246"/>
      <c r="L37" s="246"/>
      <c r="M37" s="246"/>
      <c r="N37" s="247"/>
      <c r="O37" s="40"/>
      <c r="P37" s="40"/>
      <c r="Q37" s="40"/>
      <c r="R37" s="40"/>
      <c r="S37" s="40"/>
      <c r="T37" s="40"/>
      <c r="U37" s="40"/>
      <c r="V37" s="40"/>
      <c r="W37" s="40"/>
      <c r="X37" s="40"/>
      <c r="Y37" s="40"/>
      <c r="Z37" s="40"/>
      <c r="AA37" s="40"/>
      <c r="AB37" s="40"/>
      <c r="AC37" s="40"/>
      <c r="AD37" s="40"/>
      <c r="AE37" s="40"/>
      <c r="AF37" s="40"/>
      <c r="AG37" s="40"/>
      <c r="AH37" s="40"/>
      <c r="AI37" s="40"/>
      <c r="AJ37" s="40"/>
      <c r="AK37" s="40"/>
      <c r="AL37" s="40"/>
      <c r="AM37" s="40"/>
      <c r="AN37" s="40"/>
      <c r="AO37" s="40"/>
      <c r="AP37" s="40"/>
      <c r="AQ37" s="40"/>
      <c r="AR37" s="40"/>
      <c r="AS37" s="40"/>
      <c r="AT37" s="40"/>
      <c r="AU37" s="40"/>
      <c r="AV37" s="40"/>
      <c r="AW37" s="40"/>
      <c r="AX37" s="40"/>
      <c r="AY37" s="40"/>
      <c r="AZ37" s="40"/>
      <c r="BA37" s="40"/>
      <c r="BB37" s="40"/>
      <c r="BC37" s="86"/>
    </row>
    <row r="38" spans="1:55">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c r="AP38" s="40"/>
      <c r="AQ38" s="40"/>
      <c r="AR38" s="40"/>
      <c r="AS38" s="40"/>
      <c r="AT38" s="40"/>
      <c r="AU38" s="40"/>
      <c r="AV38" s="40"/>
      <c r="AW38" s="40"/>
      <c r="AX38" s="40"/>
      <c r="AY38" s="40"/>
      <c r="AZ38" s="40"/>
      <c r="BA38" s="40"/>
      <c r="BB38" s="40"/>
      <c r="BC38" s="86"/>
    </row>
    <row r="39" spans="1:55">
      <c r="A39" s="188"/>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c r="AP39" s="40"/>
      <c r="AQ39" s="40"/>
      <c r="AR39" s="40"/>
      <c r="AS39" s="40"/>
      <c r="AT39" s="40"/>
      <c r="AU39" s="40"/>
      <c r="AV39" s="40"/>
      <c r="AW39" s="40"/>
      <c r="AX39" s="40"/>
      <c r="AY39" s="40"/>
      <c r="AZ39" s="40"/>
      <c r="BA39" s="40"/>
      <c r="BB39" s="40"/>
      <c r="BC39" s="86"/>
    </row>
    <row r="40" spans="1:55">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86"/>
      <c r="AX40" s="86"/>
      <c r="AY40" s="86"/>
      <c r="AZ40" s="86"/>
      <c r="BA40" s="86"/>
      <c r="BB40" s="86"/>
      <c r="BC40" s="86"/>
    </row>
    <row r="41" spans="1:55">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c r="AP41" s="40"/>
      <c r="AQ41" s="40"/>
      <c r="AR41" s="40"/>
      <c r="AS41" s="40"/>
      <c r="AT41" s="40"/>
      <c r="AU41" s="40"/>
      <c r="AV41" s="40"/>
      <c r="AW41" s="86"/>
      <c r="AX41" s="86"/>
      <c r="AY41" s="86"/>
      <c r="AZ41" s="86"/>
      <c r="BA41" s="86"/>
      <c r="BB41" s="86"/>
      <c r="BC41" s="86"/>
    </row>
    <row r="42" spans="1:55">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c r="AP42" s="40"/>
      <c r="AQ42" s="40"/>
      <c r="AR42" s="40"/>
      <c r="AS42" s="40"/>
      <c r="AT42" s="40"/>
      <c r="AU42" s="40"/>
      <c r="AV42" s="40"/>
      <c r="AW42" s="86"/>
      <c r="AX42" s="86"/>
      <c r="AY42" s="86"/>
      <c r="AZ42" s="86"/>
      <c r="BA42" s="86"/>
      <c r="BB42" s="86"/>
      <c r="BC42" s="86"/>
    </row>
    <row r="43" spans="1:55">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c r="AP43" s="40"/>
      <c r="AQ43" s="40"/>
      <c r="AR43" s="40"/>
      <c r="AS43" s="40"/>
      <c r="AT43" s="40"/>
      <c r="AU43" s="40"/>
      <c r="AV43" s="40"/>
      <c r="AW43" s="86"/>
      <c r="AX43" s="86"/>
      <c r="AY43" s="86"/>
      <c r="AZ43" s="86"/>
      <c r="BA43" s="86"/>
      <c r="BB43" s="86"/>
      <c r="BC43" s="86"/>
    </row>
    <row r="44" spans="1:55">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c r="AP44" s="40"/>
      <c r="AQ44" s="40"/>
      <c r="AR44" s="40"/>
      <c r="AS44" s="40"/>
      <c r="AT44" s="40"/>
      <c r="AU44" s="40"/>
      <c r="AV44" s="40"/>
      <c r="AW44" s="86"/>
      <c r="AX44" s="86"/>
      <c r="AY44" s="86"/>
      <c r="AZ44" s="86"/>
      <c r="BA44" s="86"/>
      <c r="BB44" s="86"/>
      <c r="BC44" s="86"/>
    </row>
    <row r="45" spans="1:55">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c r="AP45" s="40"/>
      <c r="AQ45" s="40"/>
      <c r="AR45" s="40"/>
      <c r="AS45" s="40"/>
      <c r="AT45" s="40"/>
      <c r="AU45" s="40"/>
      <c r="AV45" s="40"/>
      <c r="AW45" s="86"/>
      <c r="AX45" s="86"/>
      <c r="AY45" s="86"/>
      <c r="AZ45" s="86"/>
      <c r="BA45" s="86"/>
      <c r="BB45" s="86"/>
      <c r="BC45" s="86"/>
    </row>
    <row r="46" spans="1:55">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c r="AP46" s="40"/>
      <c r="AQ46" s="40"/>
      <c r="AR46" s="40"/>
      <c r="AS46" s="40"/>
      <c r="AT46" s="40"/>
      <c r="AU46" s="40"/>
      <c r="AV46" s="40"/>
      <c r="AW46" s="86"/>
      <c r="AX46" s="86"/>
      <c r="AY46" s="86"/>
      <c r="AZ46" s="86"/>
      <c r="BA46" s="86"/>
      <c r="BB46" s="86"/>
      <c r="BC46" s="86"/>
    </row>
    <row r="47" spans="1:55">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c r="AP47" s="40"/>
      <c r="AQ47" s="40"/>
      <c r="AR47" s="40"/>
      <c r="AS47" s="40"/>
      <c r="AT47" s="40"/>
      <c r="AU47" s="40"/>
      <c r="AV47" s="40"/>
      <c r="AW47" s="86"/>
      <c r="AX47" s="86"/>
      <c r="AY47" s="86"/>
      <c r="AZ47" s="86"/>
      <c r="BA47" s="86"/>
      <c r="BB47" s="86"/>
      <c r="BC47" s="86"/>
    </row>
    <row r="48" spans="1:55">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c r="AP48" s="40"/>
      <c r="AQ48" s="40"/>
      <c r="AR48" s="40"/>
      <c r="AS48" s="40"/>
      <c r="AT48" s="40"/>
      <c r="AU48" s="40"/>
      <c r="AV48" s="40"/>
      <c r="AW48" s="86"/>
      <c r="AX48" s="86"/>
      <c r="AY48" s="86"/>
      <c r="AZ48" s="86"/>
      <c r="BA48" s="86"/>
      <c r="BB48" s="86"/>
      <c r="BC48" s="86"/>
    </row>
    <row r="49" spans="1:55">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c r="AP49" s="40"/>
      <c r="AQ49" s="40"/>
      <c r="AR49" s="40"/>
      <c r="AS49" s="40"/>
      <c r="AT49" s="40"/>
      <c r="AU49" s="40"/>
      <c r="AV49" s="40"/>
      <c r="AW49" s="86"/>
      <c r="AX49" s="86"/>
      <c r="AY49" s="86"/>
      <c r="AZ49" s="86"/>
      <c r="BA49" s="86"/>
      <c r="BB49" s="86"/>
      <c r="BC49" s="86"/>
    </row>
    <row r="50" spans="1:55">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c r="AP50" s="40"/>
      <c r="AQ50" s="40"/>
      <c r="AR50" s="40"/>
      <c r="AS50" s="40"/>
      <c r="AT50" s="40"/>
      <c r="AU50" s="40"/>
      <c r="AV50" s="40"/>
      <c r="AW50" s="86"/>
      <c r="AX50" s="86"/>
      <c r="AY50" s="86"/>
      <c r="AZ50" s="86"/>
      <c r="BA50" s="86"/>
      <c r="BB50" s="86"/>
      <c r="BC50" s="86"/>
    </row>
    <row r="51" spans="1:55">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c r="AP51" s="40"/>
      <c r="AQ51" s="40"/>
      <c r="AR51" s="40"/>
      <c r="AS51" s="40"/>
      <c r="AT51" s="40"/>
      <c r="AU51" s="40"/>
      <c r="AV51" s="40"/>
      <c r="AW51" s="86"/>
      <c r="AX51" s="86"/>
      <c r="AY51" s="86"/>
      <c r="AZ51" s="86"/>
      <c r="BA51" s="86"/>
      <c r="BB51" s="86"/>
      <c r="BC51" s="86"/>
    </row>
    <row r="52" spans="1:55">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c r="AP52" s="40"/>
      <c r="AQ52" s="40"/>
      <c r="AR52" s="40"/>
      <c r="AS52" s="40"/>
      <c r="AT52" s="40"/>
      <c r="AU52" s="40"/>
      <c r="AV52" s="40"/>
      <c r="AW52" s="86"/>
      <c r="AX52" s="86"/>
      <c r="AY52" s="86"/>
      <c r="AZ52" s="86"/>
      <c r="BA52" s="86"/>
      <c r="BB52" s="86"/>
      <c r="BC52" s="86"/>
    </row>
    <row r="53" spans="1:55">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c r="AP53" s="40"/>
      <c r="AQ53" s="40"/>
      <c r="AR53" s="40"/>
      <c r="AS53" s="40"/>
      <c r="AT53" s="40"/>
      <c r="AU53" s="40"/>
      <c r="AV53" s="40"/>
      <c r="AW53" s="86"/>
      <c r="AX53" s="86"/>
      <c r="AY53" s="86"/>
      <c r="AZ53" s="86"/>
      <c r="BA53" s="86"/>
      <c r="BB53" s="86"/>
      <c r="BC53" s="86"/>
    </row>
    <row r="54" spans="1:55">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c r="AP54" s="40"/>
      <c r="AQ54" s="40"/>
      <c r="AR54" s="40"/>
      <c r="AS54" s="40"/>
      <c r="AT54" s="40"/>
      <c r="AU54" s="40"/>
      <c r="AV54" s="40"/>
      <c r="AW54" s="86"/>
      <c r="AX54" s="86"/>
      <c r="AY54" s="86"/>
      <c r="AZ54" s="86"/>
      <c r="BA54" s="86"/>
      <c r="BB54" s="86"/>
      <c r="BC54" s="86"/>
    </row>
    <row r="55" spans="1:55">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K55" s="40"/>
      <c r="AL55" s="40"/>
      <c r="AM55" s="40"/>
      <c r="AN55" s="40"/>
      <c r="AO55" s="40"/>
      <c r="AP55" s="40"/>
      <c r="AQ55" s="40"/>
      <c r="AR55" s="40"/>
      <c r="AS55" s="40"/>
      <c r="AT55" s="40"/>
      <c r="AU55" s="40"/>
      <c r="AV55" s="40"/>
      <c r="AW55" s="86"/>
      <c r="AX55" s="86"/>
      <c r="AY55" s="86"/>
      <c r="AZ55" s="86"/>
      <c r="BA55" s="86"/>
      <c r="BB55" s="86"/>
      <c r="BC55" s="86"/>
    </row>
    <row r="56" spans="1:55">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c r="AO56" s="40"/>
      <c r="AP56" s="40"/>
      <c r="AQ56" s="40"/>
      <c r="AR56" s="40"/>
      <c r="AS56" s="40"/>
      <c r="AT56" s="40"/>
      <c r="AU56" s="40"/>
      <c r="AV56" s="40"/>
      <c r="AW56" s="86"/>
      <c r="AX56" s="86"/>
      <c r="AY56" s="86"/>
      <c r="AZ56" s="86"/>
      <c r="BA56" s="86"/>
      <c r="BB56" s="86"/>
      <c r="BC56" s="86"/>
    </row>
    <row r="57" spans="1:55">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c r="AP57" s="40"/>
      <c r="AQ57" s="40"/>
      <c r="AR57" s="40"/>
      <c r="AS57" s="40"/>
      <c r="AT57" s="40"/>
      <c r="AU57" s="40"/>
      <c r="AV57" s="40"/>
      <c r="AW57" s="86"/>
      <c r="AX57" s="86"/>
      <c r="AY57" s="86"/>
      <c r="AZ57" s="86"/>
      <c r="BA57" s="86"/>
      <c r="BB57" s="86"/>
      <c r="BC57" s="86"/>
    </row>
    <row r="58" spans="1:55">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K58" s="40"/>
      <c r="AL58" s="40"/>
      <c r="AM58" s="40"/>
      <c r="AN58" s="40"/>
      <c r="AO58" s="40"/>
      <c r="AP58" s="40"/>
      <c r="AQ58" s="40"/>
      <c r="AR58" s="40"/>
      <c r="AS58" s="40"/>
      <c r="AT58" s="40"/>
      <c r="AU58" s="40"/>
      <c r="AV58" s="40"/>
      <c r="AW58" s="86"/>
      <c r="AX58" s="86"/>
      <c r="AY58" s="86"/>
      <c r="AZ58" s="86"/>
      <c r="BA58" s="86"/>
      <c r="BB58" s="86"/>
      <c r="BC58" s="86"/>
    </row>
    <row r="59" spans="1:55">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c r="AP59" s="40"/>
      <c r="AQ59" s="40"/>
      <c r="AR59" s="40"/>
      <c r="AS59" s="40"/>
      <c r="AT59" s="40"/>
      <c r="AU59" s="40"/>
      <c r="AV59" s="40"/>
      <c r="AW59" s="86"/>
      <c r="AX59" s="86"/>
      <c r="AY59" s="86"/>
      <c r="AZ59" s="86"/>
      <c r="BA59" s="86"/>
      <c r="BB59" s="86"/>
      <c r="BC59" s="86"/>
    </row>
    <row r="60" spans="1:55">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c r="AP60" s="40"/>
      <c r="AQ60" s="40"/>
      <c r="AR60" s="40"/>
      <c r="AS60" s="40"/>
      <c r="AT60" s="40"/>
      <c r="AU60" s="40"/>
      <c r="AV60" s="40"/>
      <c r="AW60" s="86"/>
      <c r="AX60" s="86"/>
      <c r="AY60" s="86"/>
      <c r="AZ60" s="86"/>
      <c r="BA60" s="86"/>
      <c r="BB60" s="86"/>
      <c r="BC60" s="86"/>
    </row>
    <row r="61" spans="1:55">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c r="AP61" s="40"/>
      <c r="AQ61" s="40"/>
      <c r="AR61" s="40"/>
      <c r="AS61" s="40"/>
      <c r="AT61" s="40"/>
      <c r="AU61" s="40"/>
      <c r="AV61" s="40"/>
      <c r="AW61" s="86"/>
      <c r="AX61" s="86"/>
      <c r="AY61" s="86"/>
      <c r="AZ61" s="86"/>
      <c r="BA61" s="86"/>
      <c r="BB61" s="86"/>
      <c r="BC61" s="86"/>
    </row>
    <row r="62" spans="1:55">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c r="AP62" s="40"/>
      <c r="AQ62" s="40"/>
      <c r="AR62" s="40"/>
      <c r="AS62" s="40"/>
      <c r="AT62" s="40"/>
      <c r="AU62" s="40"/>
      <c r="AV62" s="40"/>
      <c r="AW62" s="86"/>
      <c r="AX62" s="86"/>
      <c r="AY62" s="86"/>
      <c r="AZ62" s="86"/>
      <c r="BA62" s="86"/>
      <c r="BB62" s="86"/>
      <c r="BC62" s="86"/>
    </row>
    <row r="63" spans="1:55">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0"/>
      <c r="AO63" s="40"/>
      <c r="AP63" s="40"/>
      <c r="AQ63" s="40"/>
      <c r="AR63" s="40"/>
      <c r="AS63" s="40"/>
      <c r="AT63" s="40"/>
      <c r="AU63" s="40"/>
      <c r="AV63" s="40"/>
      <c r="AW63" s="86"/>
      <c r="AX63" s="86"/>
      <c r="AY63" s="86"/>
      <c r="AZ63" s="86"/>
      <c r="BA63" s="86"/>
      <c r="BB63" s="86"/>
      <c r="BC63" s="86"/>
    </row>
    <row r="64" spans="1:55">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K64" s="40"/>
      <c r="AL64" s="40"/>
      <c r="AM64" s="40"/>
      <c r="AN64" s="40"/>
      <c r="AO64" s="40"/>
      <c r="AP64" s="40"/>
      <c r="AQ64" s="40"/>
      <c r="AR64" s="40"/>
      <c r="AS64" s="40"/>
      <c r="AT64" s="40"/>
      <c r="AU64" s="40"/>
      <c r="AV64" s="40"/>
      <c r="AW64" s="86"/>
      <c r="AX64" s="86"/>
      <c r="AY64" s="86"/>
      <c r="AZ64" s="86"/>
      <c r="BA64" s="86"/>
      <c r="BB64" s="86"/>
      <c r="BC64" s="86"/>
    </row>
    <row r="65" spans="1:55">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K65" s="40"/>
      <c r="AL65" s="40"/>
      <c r="AM65" s="40"/>
      <c r="AN65" s="40"/>
      <c r="AO65" s="40"/>
      <c r="AP65" s="40"/>
      <c r="AQ65" s="40"/>
      <c r="AR65" s="40"/>
      <c r="AS65" s="40"/>
      <c r="AT65" s="40"/>
      <c r="AU65" s="40"/>
      <c r="AV65" s="40"/>
      <c r="AW65" s="86"/>
      <c r="AX65" s="86"/>
      <c r="AY65" s="86"/>
      <c r="AZ65" s="86"/>
      <c r="BA65" s="86"/>
      <c r="BB65" s="86"/>
      <c r="BC65" s="86"/>
    </row>
    <row r="66" spans="1:55">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0"/>
      <c r="AO66" s="40"/>
      <c r="AP66" s="40"/>
      <c r="AQ66" s="40"/>
      <c r="AR66" s="40"/>
      <c r="AS66" s="40"/>
      <c r="AT66" s="40"/>
      <c r="AU66" s="40"/>
      <c r="AV66" s="40"/>
      <c r="AW66" s="86"/>
      <c r="AX66" s="86"/>
      <c r="AY66" s="86"/>
      <c r="AZ66" s="86"/>
      <c r="BA66" s="86"/>
      <c r="BB66" s="86"/>
      <c r="BC66" s="86"/>
    </row>
    <row r="67" spans="1:55">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c r="AD67" s="40"/>
      <c r="AE67" s="40"/>
      <c r="AF67" s="40"/>
      <c r="AG67" s="40"/>
      <c r="AH67" s="40"/>
      <c r="AI67" s="40"/>
      <c r="AJ67" s="40"/>
      <c r="AK67" s="40"/>
      <c r="AL67" s="40"/>
      <c r="AM67" s="40"/>
      <c r="AN67" s="40"/>
      <c r="AO67" s="40"/>
      <c r="AP67" s="40"/>
      <c r="AQ67" s="40"/>
      <c r="AR67" s="40"/>
      <c r="AS67" s="40"/>
      <c r="AT67" s="40"/>
      <c r="AU67" s="40"/>
      <c r="AV67" s="40"/>
      <c r="AW67" s="86"/>
      <c r="AX67" s="86"/>
      <c r="AY67" s="86"/>
      <c r="AZ67" s="86"/>
      <c r="BA67" s="86"/>
      <c r="BB67" s="86"/>
      <c r="BC67" s="86"/>
    </row>
    <row r="68" spans="1:55">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c r="AA68" s="40"/>
      <c r="AB68" s="40"/>
      <c r="AC68" s="40"/>
      <c r="AD68" s="40"/>
      <c r="AE68" s="40"/>
      <c r="AF68" s="40"/>
      <c r="AG68" s="40"/>
      <c r="AH68" s="40"/>
      <c r="AI68" s="40"/>
      <c r="AJ68" s="40"/>
      <c r="AK68" s="40"/>
      <c r="AL68" s="40"/>
      <c r="AM68" s="40"/>
      <c r="AN68" s="40"/>
      <c r="AO68" s="40"/>
      <c r="AP68" s="40"/>
      <c r="AQ68" s="40"/>
      <c r="AR68" s="40"/>
      <c r="AS68" s="40"/>
      <c r="AT68" s="40"/>
      <c r="AU68" s="40"/>
      <c r="AV68" s="40"/>
      <c r="AW68" s="86"/>
      <c r="AX68" s="86"/>
      <c r="AY68" s="86"/>
      <c r="AZ68" s="86"/>
      <c r="BA68" s="86"/>
      <c r="BB68" s="86"/>
      <c r="BC68" s="86"/>
    </row>
    <row r="69" spans="1:55">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c r="AP69" s="40"/>
      <c r="AQ69" s="40"/>
      <c r="AR69" s="40"/>
      <c r="AS69" s="40"/>
      <c r="AT69" s="40"/>
      <c r="AU69" s="40"/>
      <c r="AV69" s="40"/>
      <c r="AW69" s="86"/>
      <c r="AX69" s="86"/>
      <c r="AY69" s="86"/>
      <c r="AZ69" s="86"/>
      <c r="BA69" s="86"/>
      <c r="BB69" s="86"/>
      <c r="BC69" s="86"/>
    </row>
    <row r="70" spans="1:55">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40"/>
      <c r="AK70" s="40"/>
      <c r="AL70" s="40"/>
      <c r="AM70" s="40"/>
      <c r="AN70" s="40"/>
      <c r="AO70" s="40"/>
      <c r="AP70" s="40"/>
      <c r="AQ70" s="40"/>
      <c r="AR70" s="40"/>
      <c r="AS70" s="40"/>
      <c r="AT70" s="40"/>
      <c r="AU70" s="40"/>
      <c r="AV70" s="40"/>
      <c r="AW70" s="86"/>
      <c r="AX70" s="86"/>
      <c r="AY70" s="86"/>
      <c r="AZ70" s="86"/>
      <c r="BA70" s="86"/>
      <c r="BB70" s="86"/>
      <c r="BC70" s="86"/>
    </row>
    <row r="71" spans="1:55">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c r="AA71" s="40"/>
      <c r="AB71" s="40"/>
      <c r="AC71" s="40"/>
      <c r="AD71" s="40"/>
      <c r="AE71" s="40"/>
      <c r="AF71" s="40"/>
      <c r="AG71" s="40"/>
      <c r="AH71" s="40"/>
      <c r="AI71" s="40"/>
      <c r="AJ71" s="40"/>
      <c r="AK71" s="40"/>
      <c r="AL71" s="40"/>
      <c r="AM71" s="40"/>
      <c r="AN71" s="40"/>
      <c r="AO71" s="40"/>
      <c r="AP71" s="40"/>
      <c r="AQ71" s="40"/>
      <c r="AR71" s="40"/>
      <c r="AS71" s="40"/>
      <c r="AT71" s="40"/>
      <c r="AU71" s="40"/>
      <c r="AV71" s="40"/>
      <c r="AW71" s="86"/>
      <c r="AX71" s="86"/>
      <c r="AY71" s="86"/>
      <c r="AZ71" s="86"/>
      <c r="BA71" s="86"/>
      <c r="BB71" s="86"/>
      <c r="BC71" s="86"/>
    </row>
    <row r="72" spans="1:55">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c r="AJ72" s="40"/>
      <c r="AK72" s="40"/>
      <c r="AL72" s="40"/>
      <c r="AM72" s="40"/>
      <c r="AN72" s="40"/>
      <c r="AO72" s="40"/>
      <c r="AP72" s="40"/>
      <c r="AQ72" s="40"/>
      <c r="AR72" s="40"/>
      <c r="AS72" s="40"/>
      <c r="AT72" s="40"/>
      <c r="AU72" s="40"/>
      <c r="AV72" s="40"/>
      <c r="AW72" s="86"/>
      <c r="AX72" s="86"/>
      <c r="AY72" s="86"/>
      <c r="AZ72" s="86"/>
      <c r="BA72" s="86"/>
      <c r="BB72" s="86"/>
      <c r="BC72" s="86"/>
    </row>
    <row r="73" spans="1:55">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c r="AH73" s="40"/>
      <c r="AI73" s="40"/>
      <c r="AJ73" s="40"/>
      <c r="AK73" s="40"/>
      <c r="AL73" s="40"/>
      <c r="AM73" s="40"/>
      <c r="AN73" s="40"/>
      <c r="AO73" s="40"/>
      <c r="AP73" s="40"/>
      <c r="AQ73" s="40"/>
      <c r="AR73" s="40"/>
      <c r="AS73" s="40"/>
      <c r="AT73" s="40"/>
      <c r="AU73" s="40"/>
      <c r="AV73" s="40"/>
      <c r="AW73" s="86"/>
      <c r="AX73" s="86"/>
      <c r="AY73" s="86"/>
      <c r="AZ73" s="86"/>
      <c r="BA73" s="86"/>
      <c r="BB73" s="86"/>
      <c r="BC73" s="86"/>
    </row>
    <row r="74" spans="1:55">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c r="AP74" s="40"/>
      <c r="AQ74" s="40"/>
      <c r="AR74" s="40"/>
      <c r="AS74" s="40"/>
      <c r="AT74" s="40"/>
      <c r="AU74" s="40"/>
      <c r="AV74" s="40"/>
      <c r="AW74" s="86"/>
      <c r="AX74" s="86"/>
      <c r="AY74" s="86"/>
      <c r="AZ74" s="86"/>
      <c r="BA74" s="86"/>
      <c r="BB74" s="86"/>
      <c r="BC74" s="86"/>
    </row>
    <row r="75" spans="1:55">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c r="AA75" s="40"/>
      <c r="AB75" s="40"/>
      <c r="AC75" s="40"/>
      <c r="AD75" s="40"/>
      <c r="AE75" s="40"/>
      <c r="AF75" s="40"/>
      <c r="AG75" s="40"/>
      <c r="AH75" s="40"/>
      <c r="AI75" s="40"/>
      <c r="AJ75" s="40"/>
      <c r="AK75" s="40"/>
      <c r="AL75" s="40"/>
      <c r="AM75" s="40"/>
      <c r="AN75" s="40"/>
      <c r="AO75" s="40"/>
      <c r="AP75" s="40"/>
      <c r="AQ75" s="40"/>
      <c r="AR75" s="40"/>
      <c r="AS75" s="40"/>
      <c r="AT75" s="40"/>
      <c r="AU75" s="40"/>
      <c r="AV75" s="40"/>
      <c r="AW75" s="86"/>
      <c r="AX75" s="86"/>
      <c r="AY75" s="86"/>
      <c r="AZ75" s="86"/>
      <c r="BA75" s="86"/>
      <c r="BB75" s="86"/>
      <c r="BC75" s="86"/>
    </row>
    <row r="76" spans="1:55">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c r="AA76" s="40"/>
      <c r="AB76" s="40"/>
      <c r="AC76" s="40"/>
      <c r="AD76" s="40"/>
      <c r="AE76" s="40"/>
      <c r="AF76" s="40"/>
      <c r="AG76" s="40"/>
      <c r="AH76" s="40"/>
      <c r="AI76" s="40"/>
      <c r="AJ76" s="40"/>
      <c r="AK76" s="40"/>
      <c r="AL76" s="40"/>
      <c r="AM76" s="40"/>
      <c r="AN76" s="40"/>
      <c r="AO76" s="40"/>
      <c r="AP76" s="40"/>
      <c r="AQ76" s="40"/>
      <c r="AR76" s="40"/>
      <c r="AS76" s="40"/>
      <c r="AT76" s="40"/>
      <c r="AU76" s="40"/>
      <c r="AV76" s="40"/>
      <c r="AW76" s="86"/>
      <c r="AX76" s="86"/>
      <c r="AY76" s="86"/>
      <c r="AZ76" s="86"/>
      <c r="BA76" s="86"/>
      <c r="BB76" s="86"/>
      <c r="BC76" s="86"/>
    </row>
    <row r="77" spans="1:55">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c r="AA77" s="40"/>
      <c r="AB77" s="40"/>
      <c r="AC77" s="40"/>
      <c r="AD77" s="40"/>
      <c r="AE77" s="40"/>
      <c r="AF77" s="40"/>
      <c r="AG77" s="40"/>
      <c r="AH77" s="40"/>
      <c r="AI77" s="40"/>
      <c r="AJ77" s="40"/>
      <c r="AK77" s="40"/>
      <c r="AL77" s="40"/>
      <c r="AM77" s="40"/>
      <c r="AN77" s="40"/>
      <c r="AO77" s="40"/>
      <c r="AP77" s="40"/>
      <c r="AQ77" s="40"/>
      <c r="AR77" s="40"/>
      <c r="AS77" s="40"/>
      <c r="AT77" s="40"/>
      <c r="AU77" s="40"/>
      <c r="AV77" s="40"/>
      <c r="AW77" s="86"/>
      <c r="AX77" s="86"/>
      <c r="AY77" s="86"/>
      <c r="AZ77" s="86"/>
      <c r="BA77" s="86"/>
      <c r="BB77" s="86"/>
      <c r="BC77" s="86"/>
    </row>
    <row r="78" spans="1:55">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40"/>
      <c r="AO78" s="40"/>
      <c r="AP78" s="40"/>
      <c r="AQ78" s="40"/>
      <c r="AR78" s="40"/>
      <c r="AS78" s="40"/>
      <c r="AT78" s="40"/>
      <c r="AU78" s="40"/>
      <c r="AV78" s="40"/>
      <c r="AW78" s="86"/>
      <c r="AX78" s="86"/>
      <c r="AY78" s="86"/>
      <c r="AZ78" s="86"/>
      <c r="BA78" s="86"/>
      <c r="BB78" s="86"/>
      <c r="BC78" s="86"/>
    </row>
    <row r="79" spans="1:55">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c r="AN79" s="40"/>
      <c r="AO79" s="40"/>
      <c r="AP79" s="40"/>
      <c r="AQ79" s="40"/>
      <c r="AR79" s="40"/>
      <c r="AS79" s="40"/>
      <c r="AT79" s="40"/>
      <c r="AU79" s="40"/>
      <c r="AV79" s="40"/>
      <c r="AW79" s="86"/>
      <c r="AX79" s="86"/>
      <c r="AY79" s="86"/>
      <c r="AZ79" s="86"/>
      <c r="BA79" s="86"/>
      <c r="BB79" s="86"/>
      <c r="BC79" s="86"/>
    </row>
    <row r="80" spans="1:55">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c r="AP80" s="40"/>
      <c r="AQ80" s="40"/>
      <c r="AR80" s="40"/>
      <c r="AS80" s="40"/>
      <c r="AT80" s="40"/>
      <c r="AU80" s="40"/>
      <c r="AV80" s="40"/>
      <c r="AW80" s="86"/>
      <c r="AX80" s="86"/>
      <c r="AY80" s="86"/>
      <c r="AZ80" s="86"/>
      <c r="BA80" s="86"/>
      <c r="BB80" s="86"/>
      <c r="BC80" s="86"/>
    </row>
    <row r="81" spans="1:55">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c r="AP81" s="40"/>
      <c r="AQ81" s="40"/>
      <c r="AR81" s="40"/>
      <c r="AS81" s="40"/>
      <c r="AT81" s="40"/>
      <c r="AU81" s="40"/>
      <c r="AV81" s="40"/>
      <c r="AW81" s="86"/>
      <c r="AX81" s="86"/>
      <c r="AY81" s="86"/>
      <c r="AZ81" s="86"/>
      <c r="BA81" s="86"/>
      <c r="BB81" s="86"/>
      <c r="BC81" s="86"/>
    </row>
    <row r="82" spans="1:55">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c r="AP82" s="40"/>
      <c r="AQ82" s="40"/>
      <c r="AR82" s="40"/>
      <c r="AS82" s="40"/>
      <c r="AT82" s="40"/>
      <c r="AU82" s="40"/>
      <c r="AV82" s="40"/>
      <c r="AW82" s="86"/>
      <c r="AX82" s="86"/>
      <c r="AY82" s="86"/>
      <c r="AZ82" s="86"/>
      <c r="BA82" s="86"/>
      <c r="BB82" s="86"/>
      <c r="BC82" s="86"/>
    </row>
    <row r="83" spans="1:55">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c r="AP83" s="40"/>
      <c r="AQ83" s="40"/>
      <c r="AR83" s="40"/>
      <c r="AS83" s="40"/>
      <c r="AT83" s="40"/>
      <c r="AU83" s="40"/>
      <c r="AV83" s="40"/>
      <c r="AW83" s="86"/>
      <c r="AX83" s="86"/>
      <c r="AY83" s="86"/>
      <c r="AZ83" s="86"/>
      <c r="BA83" s="86"/>
      <c r="BB83" s="86"/>
      <c r="BC83" s="86"/>
    </row>
    <row r="84" spans="1:55">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c r="AP84" s="40"/>
      <c r="AQ84" s="40"/>
      <c r="AR84" s="40"/>
      <c r="AS84" s="40"/>
      <c r="AT84" s="40"/>
      <c r="AU84" s="40"/>
      <c r="AV84" s="40"/>
      <c r="AW84" s="86"/>
      <c r="AX84" s="86"/>
      <c r="AY84" s="86"/>
      <c r="AZ84" s="86"/>
      <c r="BA84" s="86"/>
      <c r="BB84" s="86"/>
      <c r="BC84" s="86"/>
    </row>
    <row r="85" spans="1:55">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c r="AP85" s="40"/>
      <c r="AQ85" s="40"/>
      <c r="AR85" s="40"/>
      <c r="AS85" s="40"/>
      <c r="AT85" s="40"/>
      <c r="AU85" s="40"/>
      <c r="AV85" s="40"/>
      <c r="AW85" s="86"/>
      <c r="AX85" s="86"/>
      <c r="AY85" s="86"/>
      <c r="AZ85" s="86"/>
      <c r="BA85" s="86"/>
      <c r="BB85" s="86"/>
      <c r="BC85" s="86"/>
    </row>
    <row r="86" spans="1:55">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40"/>
      <c r="AR86" s="40"/>
      <c r="AS86" s="40"/>
      <c r="AT86" s="40"/>
      <c r="AU86" s="40"/>
      <c r="AV86" s="40"/>
      <c r="AW86" s="86"/>
      <c r="AX86" s="86"/>
      <c r="AY86" s="86"/>
      <c r="AZ86" s="86"/>
      <c r="BA86" s="86"/>
      <c r="BB86" s="86"/>
      <c r="BC86" s="86"/>
    </row>
    <row r="87" spans="1:55">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c r="AP87" s="40"/>
      <c r="AQ87" s="40"/>
      <c r="AR87" s="40"/>
      <c r="AS87" s="40"/>
      <c r="AT87" s="40"/>
      <c r="AU87" s="40"/>
      <c r="AV87" s="40"/>
      <c r="AW87" s="86"/>
      <c r="AX87" s="86"/>
      <c r="AY87" s="86"/>
      <c r="AZ87" s="86"/>
      <c r="BA87" s="86"/>
      <c r="BB87" s="86"/>
      <c r="BC87" s="86"/>
    </row>
    <row r="88" spans="1:55">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c r="AP88" s="40"/>
      <c r="AQ88" s="40"/>
      <c r="AR88" s="40"/>
      <c r="AS88" s="40"/>
      <c r="AT88" s="40"/>
      <c r="AU88" s="40"/>
      <c r="AV88" s="40"/>
      <c r="AW88" s="86"/>
      <c r="AX88" s="86"/>
      <c r="AY88" s="86"/>
      <c r="AZ88" s="86"/>
      <c r="BA88" s="86"/>
      <c r="BB88" s="86"/>
      <c r="BC88" s="86"/>
    </row>
    <row r="89" spans="1:55">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c r="AP89" s="40"/>
      <c r="AQ89" s="40"/>
      <c r="AR89" s="40"/>
      <c r="AS89" s="40"/>
      <c r="AT89" s="40"/>
      <c r="AU89" s="40"/>
      <c r="AV89" s="40"/>
      <c r="AW89" s="86"/>
      <c r="AX89" s="86"/>
      <c r="AY89" s="86"/>
      <c r="AZ89" s="86"/>
      <c r="BA89" s="86"/>
      <c r="BB89" s="86"/>
      <c r="BC89" s="86"/>
    </row>
    <row r="90" spans="1:55">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c r="AH90" s="40"/>
      <c r="AI90" s="40"/>
      <c r="AJ90" s="40"/>
      <c r="AK90" s="40"/>
      <c r="AL90" s="40"/>
      <c r="AM90" s="40"/>
      <c r="AN90" s="40"/>
      <c r="AO90" s="40"/>
      <c r="AP90" s="40"/>
      <c r="AQ90" s="40"/>
      <c r="AR90" s="40"/>
      <c r="AS90" s="40"/>
      <c r="AT90" s="40"/>
      <c r="AU90" s="40"/>
      <c r="AV90" s="40"/>
      <c r="AW90" s="86"/>
      <c r="AX90" s="86"/>
      <c r="AY90" s="86"/>
      <c r="AZ90" s="86"/>
      <c r="BA90" s="86"/>
      <c r="BB90" s="86"/>
      <c r="BC90" s="86"/>
    </row>
    <row r="91" spans="1:55">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c r="AP91" s="40"/>
      <c r="AQ91" s="40"/>
      <c r="AR91" s="40"/>
      <c r="AS91" s="40"/>
      <c r="AT91" s="40"/>
      <c r="AU91" s="40"/>
      <c r="AV91" s="40"/>
      <c r="AW91" s="86"/>
      <c r="AX91" s="86"/>
      <c r="AY91" s="86"/>
      <c r="AZ91" s="86"/>
      <c r="BA91" s="86"/>
      <c r="BB91" s="86"/>
      <c r="BC91" s="86"/>
    </row>
    <row r="92" spans="1:55">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c r="AP92" s="40"/>
      <c r="AQ92" s="40"/>
      <c r="AR92" s="40"/>
      <c r="AS92" s="40"/>
      <c r="AT92" s="40"/>
      <c r="AU92" s="40"/>
      <c r="AV92" s="40"/>
      <c r="AW92" s="86"/>
      <c r="AX92" s="86"/>
      <c r="AY92" s="86"/>
      <c r="AZ92" s="86"/>
      <c r="BA92" s="86"/>
      <c r="BB92" s="86"/>
      <c r="BC92" s="86"/>
    </row>
    <row r="93" spans="1:55">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c r="AP93" s="40"/>
      <c r="AQ93" s="40"/>
      <c r="AR93" s="40"/>
      <c r="AS93" s="40"/>
      <c r="AT93" s="40"/>
      <c r="AU93" s="40"/>
      <c r="AV93" s="40"/>
      <c r="AW93" s="86"/>
      <c r="AX93" s="86"/>
      <c r="AY93" s="86"/>
      <c r="AZ93" s="86"/>
      <c r="BA93" s="86"/>
      <c r="BB93" s="86"/>
      <c r="BC93" s="86"/>
    </row>
    <row r="94" spans="1:55">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c r="AP94" s="40"/>
      <c r="AQ94" s="40"/>
      <c r="AR94" s="40"/>
      <c r="AS94" s="40"/>
      <c r="AT94" s="40"/>
      <c r="AU94" s="40"/>
      <c r="AV94" s="40"/>
      <c r="AW94" s="86"/>
      <c r="AX94" s="86"/>
      <c r="AY94" s="86"/>
      <c r="AZ94" s="86"/>
      <c r="BA94" s="86"/>
      <c r="BB94" s="86"/>
      <c r="BC94" s="86"/>
    </row>
    <row r="95" spans="1:55">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c r="AP95" s="40"/>
      <c r="AQ95" s="40"/>
      <c r="AR95" s="40"/>
      <c r="AS95" s="40"/>
      <c r="AT95" s="40"/>
      <c r="AU95" s="40"/>
      <c r="AV95" s="40"/>
      <c r="AW95" s="86"/>
      <c r="AX95" s="86"/>
      <c r="AY95" s="86"/>
      <c r="AZ95" s="86"/>
      <c r="BA95" s="86"/>
      <c r="BB95" s="86"/>
      <c r="BC95" s="86"/>
    </row>
    <row r="96" spans="1:55">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c r="AP96" s="40"/>
      <c r="AQ96" s="40"/>
      <c r="AR96" s="40"/>
      <c r="AS96" s="40"/>
      <c r="AT96" s="40"/>
      <c r="AU96" s="40"/>
      <c r="AV96" s="40"/>
      <c r="AW96" s="86"/>
      <c r="AX96" s="86"/>
      <c r="AY96" s="86"/>
      <c r="AZ96" s="86"/>
      <c r="BA96" s="86"/>
      <c r="BB96" s="86"/>
      <c r="BC96" s="86"/>
    </row>
    <row r="97" spans="1:55">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40"/>
      <c r="AO97" s="40"/>
      <c r="AP97" s="40"/>
      <c r="AQ97" s="40"/>
      <c r="AR97" s="40"/>
      <c r="AS97" s="40"/>
      <c r="AT97" s="40"/>
      <c r="AU97" s="40"/>
      <c r="AV97" s="40"/>
      <c r="AW97" s="86"/>
      <c r="AX97" s="86"/>
      <c r="AY97" s="86"/>
      <c r="AZ97" s="86"/>
      <c r="BA97" s="86"/>
      <c r="BB97" s="86"/>
      <c r="BC97" s="86"/>
    </row>
    <row r="98" spans="1:55">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c r="AP98" s="40"/>
      <c r="AQ98" s="40"/>
      <c r="AR98" s="40"/>
      <c r="AS98" s="40"/>
      <c r="AT98" s="40"/>
      <c r="AU98" s="40"/>
      <c r="AV98" s="40"/>
      <c r="AW98" s="86"/>
      <c r="AX98" s="86"/>
      <c r="AY98" s="86"/>
      <c r="AZ98" s="86"/>
      <c r="BA98" s="86"/>
      <c r="BB98" s="86"/>
      <c r="BC98" s="86"/>
    </row>
    <row r="99" spans="1:55">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c r="AP99" s="40"/>
      <c r="AQ99" s="40"/>
      <c r="AR99" s="40"/>
      <c r="AS99" s="40"/>
      <c r="AT99" s="40"/>
      <c r="AU99" s="40"/>
      <c r="AV99" s="40"/>
      <c r="AW99" s="86"/>
      <c r="AX99" s="86"/>
      <c r="AY99" s="86"/>
      <c r="AZ99" s="86"/>
      <c r="BA99" s="86"/>
      <c r="BB99" s="86"/>
      <c r="BC99" s="86"/>
    </row>
    <row r="100" spans="1:55">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c r="AP100" s="40"/>
      <c r="AQ100" s="40"/>
      <c r="AR100" s="40"/>
      <c r="AS100" s="40"/>
      <c r="AT100" s="40"/>
      <c r="AU100" s="40"/>
      <c r="AV100" s="40"/>
      <c r="AW100" s="86"/>
      <c r="AX100" s="86"/>
      <c r="AY100" s="86"/>
      <c r="AZ100" s="86"/>
      <c r="BA100" s="86"/>
      <c r="BB100" s="86"/>
      <c r="BC100" s="86"/>
    </row>
    <row r="101" spans="1:55">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c r="AP101" s="40"/>
      <c r="AQ101" s="40"/>
      <c r="AR101" s="40"/>
      <c r="AS101" s="40"/>
      <c r="AT101" s="40"/>
      <c r="AU101" s="40"/>
      <c r="AV101" s="40"/>
      <c r="AW101" s="86"/>
      <c r="AX101" s="86"/>
      <c r="AY101" s="86"/>
      <c r="AZ101" s="86"/>
      <c r="BA101" s="86"/>
      <c r="BB101" s="86"/>
      <c r="BC101" s="86"/>
    </row>
    <row r="102" spans="1:55">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c r="AP102" s="40"/>
      <c r="AQ102" s="40"/>
      <c r="AR102" s="40"/>
      <c r="AS102" s="40"/>
      <c r="AT102" s="40"/>
      <c r="AU102" s="40"/>
      <c r="AV102" s="40"/>
      <c r="AW102" s="86"/>
      <c r="AX102" s="86"/>
      <c r="AY102" s="86"/>
      <c r="AZ102" s="86"/>
      <c r="BA102" s="86"/>
      <c r="BB102" s="86"/>
      <c r="BC102" s="86"/>
    </row>
    <row r="103" spans="1:55">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c r="AP103" s="40"/>
      <c r="AQ103" s="40"/>
      <c r="AR103" s="40"/>
      <c r="AS103" s="40"/>
      <c r="AT103" s="40"/>
      <c r="AU103" s="40"/>
      <c r="AV103" s="40"/>
      <c r="AW103" s="86"/>
      <c r="AX103" s="86"/>
      <c r="AY103" s="86"/>
      <c r="AZ103" s="86"/>
      <c r="BA103" s="86"/>
      <c r="BB103" s="86"/>
      <c r="BC103" s="86"/>
    </row>
    <row r="104" spans="1:55">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c r="AP104" s="40"/>
      <c r="AQ104" s="40"/>
      <c r="AR104" s="40"/>
      <c r="AS104" s="40"/>
      <c r="AT104" s="40"/>
      <c r="AU104" s="40"/>
      <c r="AV104" s="40"/>
      <c r="AW104" s="86"/>
      <c r="AX104" s="86"/>
      <c r="AY104" s="86"/>
      <c r="AZ104" s="86"/>
      <c r="BA104" s="86"/>
      <c r="BB104" s="86"/>
      <c r="BC104" s="86"/>
    </row>
    <row r="105" spans="1:55">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c r="AP105" s="40"/>
      <c r="AQ105" s="40"/>
      <c r="AR105" s="40"/>
      <c r="AS105" s="40"/>
      <c r="AT105" s="40"/>
      <c r="AU105" s="40"/>
      <c r="AV105" s="40"/>
      <c r="AW105" s="86"/>
      <c r="AX105" s="86"/>
      <c r="AY105" s="86"/>
      <c r="AZ105" s="86"/>
      <c r="BA105" s="86"/>
      <c r="BB105" s="86"/>
      <c r="BC105" s="86"/>
    </row>
    <row r="106" spans="1:55">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c r="AP106" s="40"/>
      <c r="AQ106" s="40"/>
      <c r="AR106" s="40"/>
      <c r="AS106" s="40"/>
      <c r="AT106" s="40"/>
      <c r="AU106" s="40"/>
      <c r="AV106" s="40"/>
      <c r="AW106" s="86"/>
      <c r="AX106" s="86"/>
      <c r="AY106" s="86"/>
      <c r="AZ106" s="86"/>
      <c r="BA106" s="86"/>
      <c r="BB106" s="86"/>
      <c r="BC106" s="86"/>
    </row>
    <row r="107" spans="1:55">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c r="AA107" s="40"/>
      <c r="AB107" s="40"/>
      <c r="AC107" s="40"/>
      <c r="AD107" s="40"/>
      <c r="AE107" s="40"/>
      <c r="AF107" s="40"/>
      <c r="AG107" s="40"/>
      <c r="AH107" s="40"/>
      <c r="AI107" s="40"/>
      <c r="AJ107" s="40"/>
      <c r="AK107" s="40"/>
      <c r="AL107" s="40"/>
      <c r="AM107" s="40"/>
      <c r="AN107" s="40"/>
      <c r="AO107" s="40"/>
      <c r="AP107" s="40"/>
      <c r="AQ107" s="40"/>
      <c r="AR107" s="40"/>
      <c r="AS107" s="40"/>
      <c r="AT107" s="40"/>
      <c r="AU107" s="40"/>
      <c r="AV107" s="40"/>
      <c r="AW107" s="86"/>
      <c r="AX107" s="86"/>
      <c r="AY107" s="86"/>
      <c r="AZ107" s="86"/>
      <c r="BA107" s="86"/>
      <c r="BB107" s="86"/>
      <c r="BC107" s="86"/>
    </row>
    <row r="108" spans="1:55">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c r="AA108" s="40"/>
      <c r="AB108" s="40"/>
      <c r="AC108" s="40"/>
      <c r="AD108" s="40"/>
      <c r="AE108" s="40"/>
      <c r="AF108" s="40"/>
      <c r="AG108" s="40"/>
      <c r="AH108" s="40"/>
      <c r="AI108" s="40"/>
      <c r="AJ108" s="40"/>
      <c r="AK108" s="40"/>
      <c r="AL108" s="40"/>
      <c r="AM108" s="40"/>
      <c r="AN108" s="40"/>
      <c r="AO108" s="40"/>
      <c r="AP108" s="40"/>
      <c r="AQ108" s="40"/>
      <c r="AR108" s="40"/>
      <c r="AS108" s="40"/>
      <c r="AT108" s="40"/>
      <c r="AU108" s="40"/>
      <c r="AV108" s="40"/>
      <c r="AW108" s="86"/>
      <c r="AX108" s="86"/>
      <c r="AY108" s="86"/>
      <c r="AZ108" s="86"/>
      <c r="BA108" s="86"/>
      <c r="BB108" s="86"/>
      <c r="BC108" s="86"/>
    </row>
    <row r="109" spans="1:55">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c r="AA109" s="40"/>
      <c r="AB109" s="40"/>
      <c r="AC109" s="40"/>
      <c r="AD109" s="40"/>
      <c r="AE109" s="40"/>
      <c r="AF109" s="40"/>
      <c r="AG109" s="40"/>
      <c r="AH109" s="40"/>
      <c r="AI109" s="40"/>
      <c r="AJ109" s="40"/>
      <c r="AK109" s="40"/>
      <c r="AL109" s="40"/>
      <c r="AM109" s="40"/>
      <c r="AN109" s="40"/>
      <c r="AO109" s="40"/>
      <c r="AP109" s="40"/>
      <c r="AQ109" s="40"/>
      <c r="AR109" s="40"/>
      <c r="AS109" s="40"/>
      <c r="AT109" s="40"/>
      <c r="AU109" s="40"/>
      <c r="AV109" s="40"/>
      <c r="AW109" s="86"/>
      <c r="AX109" s="86"/>
      <c r="AY109" s="86"/>
      <c r="AZ109" s="86"/>
      <c r="BA109" s="86"/>
      <c r="BB109" s="86"/>
      <c r="BC109" s="86"/>
    </row>
    <row r="110" spans="1:55">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c r="AA110" s="40"/>
      <c r="AB110" s="40"/>
      <c r="AC110" s="40"/>
      <c r="AD110" s="40"/>
      <c r="AE110" s="40"/>
      <c r="AF110" s="40"/>
      <c r="AG110" s="40"/>
      <c r="AH110" s="40"/>
      <c r="AI110" s="40"/>
      <c r="AJ110" s="40"/>
      <c r="AK110" s="40"/>
      <c r="AL110" s="40"/>
      <c r="AM110" s="40"/>
      <c r="AN110" s="40"/>
      <c r="AO110" s="40"/>
      <c r="AP110" s="40"/>
      <c r="AQ110" s="40"/>
      <c r="AR110" s="40"/>
      <c r="AS110" s="40"/>
      <c r="AT110" s="40"/>
      <c r="AU110" s="40"/>
      <c r="AV110" s="40"/>
      <c r="AW110" s="86"/>
      <c r="AX110" s="86"/>
      <c r="AY110" s="86"/>
      <c r="AZ110" s="86"/>
      <c r="BA110" s="86"/>
      <c r="BB110" s="86"/>
      <c r="BC110" s="86"/>
    </row>
    <row r="111" spans="1:55">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c r="AH111" s="40"/>
      <c r="AI111" s="40"/>
      <c r="AJ111" s="40"/>
      <c r="AK111" s="40"/>
      <c r="AL111" s="40"/>
      <c r="AM111" s="40"/>
      <c r="AN111" s="40"/>
      <c r="AO111" s="40"/>
      <c r="AP111" s="40"/>
      <c r="AQ111" s="40"/>
      <c r="AR111" s="40"/>
      <c r="AS111" s="40"/>
      <c r="AT111" s="40"/>
      <c r="AU111" s="40"/>
      <c r="AV111" s="40"/>
      <c r="AW111" s="86"/>
      <c r="AX111" s="86"/>
      <c r="AY111" s="86"/>
      <c r="AZ111" s="86"/>
      <c r="BA111" s="86"/>
      <c r="BB111" s="86"/>
      <c r="BC111" s="86"/>
    </row>
    <row r="112" spans="1:55">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c r="AA112" s="40"/>
      <c r="AB112" s="40"/>
      <c r="AC112" s="40"/>
      <c r="AD112" s="40"/>
      <c r="AE112" s="40"/>
      <c r="AF112" s="40"/>
      <c r="AG112" s="40"/>
      <c r="AH112" s="40"/>
      <c r="AI112" s="40"/>
      <c r="AJ112" s="40"/>
      <c r="AK112" s="40"/>
      <c r="AL112" s="40"/>
      <c r="AM112" s="40"/>
      <c r="AN112" s="40"/>
      <c r="AO112" s="40"/>
      <c r="AP112" s="40"/>
      <c r="AQ112" s="40"/>
      <c r="AR112" s="40"/>
      <c r="AS112" s="40"/>
      <c r="AT112" s="40"/>
      <c r="AU112" s="40"/>
      <c r="AV112" s="40"/>
      <c r="AW112" s="86"/>
      <c r="AX112" s="86"/>
      <c r="AY112" s="86"/>
      <c r="AZ112" s="86"/>
      <c r="BA112" s="86"/>
      <c r="BB112" s="86"/>
      <c r="BC112" s="86"/>
    </row>
    <row r="113" spans="1:55">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c r="AA113" s="40"/>
      <c r="AB113" s="40"/>
      <c r="AC113" s="40"/>
      <c r="AD113" s="40"/>
      <c r="AE113" s="40"/>
      <c r="AF113" s="40"/>
      <c r="AG113" s="40"/>
      <c r="AH113" s="40"/>
      <c r="AI113" s="40"/>
      <c r="AJ113" s="40"/>
      <c r="AK113" s="40"/>
      <c r="AL113" s="40"/>
      <c r="AM113" s="40"/>
      <c r="AN113" s="40"/>
      <c r="AO113" s="40"/>
      <c r="AP113" s="40"/>
      <c r="AQ113" s="40"/>
      <c r="AR113" s="40"/>
      <c r="AS113" s="40"/>
      <c r="AT113" s="40"/>
      <c r="AU113" s="40"/>
      <c r="AV113" s="40"/>
      <c r="AW113" s="86"/>
      <c r="AX113" s="86"/>
      <c r="AY113" s="86"/>
      <c r="AZ113" s="86"/>
      <c r="BA113" s="86"/>
      <c r="BB113" s="86"/>
      <c r="BC113" s="86"/>
    </row>
    <row r="114" spans="1:55">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N114" s="40"/>
      <c r="AO114" s="40"/>
      <c r="AP114" s="40"/>
      <c r="AQ114" s="40"/>
      <c r="AR114" s="40"/>
      <c r="AS114" s="40"/>
      <c r="AT114" s="40"/>
      <c r="AU114" s="40"/>
      <c r="AV114" s="40"/>
      <c r="AW114" s="86"/>
      <c r="AX114" s="86"/>
      <c r="AY114" s="86"/>
      <c r="AZ114" s="86"/>
      <c r="BA114" s="86"/>
      <c r="BB114" s="86"/>
      <c r="BC114" s="86"/>
    </row>
    <row r="115" spans="1:55">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c r="AA115" s="40"/>
      <c r="AB115" s="40"/>
      <c r="AC115" s="40"/>
      <c r="AD115" s="40"/>
      <c r="AE115" s="40"/>
      <c r="AF115" s="40"/>
      <c r="AG115" s="40"/>
      <c r="AH115" s="40"/>
      <c r="AI115" s="40"/>
      <c r="AJ115" s="40"/>
      <c r="AK115" s="40"/>
      <c r="AL115" s="40"/>
      <c r="AM115" s="40"/>
      <c r="AN115" s="40"/>
      <c r="AO115" s="40"/>
      <c r="AP115" s="40"/>
      <c r="AQ115" s="40"/>
      <c r="AR115" s="40"/>
      <c r="AS115" s="40"/>
      <c r="AT115" s="40"/>
      <c r="AU115" s="40"/>
      <c r="AV115" s="40"/>
      <c r="AW115" s="86"/>
      <c r="AX115" s="86"/>
      <c r="AY115" s="86"/>
      <c r="AZ115" s="86"/>
      <c r="BA115" s="86"/>
      <c r="BB115" s="86"/>
      <c r="BC115" s="86"/>
    </row>
    <row r="116" spans="1:55">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c r="AA116" s="40"/>
      <c r="AB116" s="40"/>
      <c r="AC116" s="40"/>
      <c r="AD116" s="40"/>
      <c r="AE116" s="40"/>
      <c r="AF116" s="40"/>
      <c r="AG116" s="40"/>
      <c r="AH116" s="40"/>
      <c r="AI116" s="40"/>
      <c r="AJ116" s="40"/>
      <c r="AK116" s="40"/>
      <c r="AL116" s="40"/>
      <c r="AM116" s="40"/>
      <c r="AN116" s="40"/>
      <c r="AO116" s="40"/>
      <c r="AP116" s="40"/>
      <c r="AQ116" s="40"/>
      <c r="AR116" s="40"/>
      <c r="AS116" s="40"/>
      <c r="AT116" s="40"/>
      <c r="AU116" s="40"/>
      <c r="AV116" s="40"/>
      <c r="AW116" s="86"/>
      <c r="AX116" s="86"/>
      <c r="AY116" s="86"/>
      <c r="AZ116" s="86"/>
      <c r="BA116" s="86"/>
      <c r="BB116" s="86"/>
      <c r="BC116" s="86"/>
    </row>
    <row r="117" spans="1:55">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c r="AA117" s="40"/>
      <c r="AB117" s="40"/>
      <c r="AC117" s="40"/>
      <c r="AD117" s="40"/>
      <c r="AE117" s="40"/>
      <c r="AF117" s="40"/>
      <c r="AG117" s="40"/>
      <c r="AH117" s="40"/>
      <c r="AI117" s="40"/>
      <c r="AJ117" s="40"/>
      <c r="AK117" s="40"/>
      <c r="AL117" s="40"/>
      <c r="AM117" s="40"/>
      <c r="AN117" s="40"/>
      <c r="AO117" s="40"/>
      <c r="AP117" s="40"/>
      <c r="AQ117" s="40"/>
      <c r="AR117" s="40"/>
      <c r="AS117" s="40"/>
      <c r="AT117" s="40"/>
      <c r="AU117" s="40"/>
      <c r="AV117" s="40"/>
      <c r="AW117" s="86"/>
      <c r="AX117" s="86"/>
      <c r="AY117" s="86"/>
      <c r="AZ117" s="86"/>
      <c r="BA117" s="86"/>
      <c r="BB117" s="86"/>
      <c r="BC117" s="86"/>
    </row>
    <row r="118" spans="1:55">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c r="AI118" s="40"/>
      <c r="AJ118" s="40"/>
      <c r="AK118" s="40"/>
      <c r="AL118" s="40"/>
      <c r="AM118" s="40"/>
      <c r="AN118" s="40"/>
      <c r="AO118" s="40"/>
      <c r="AP118" s="40"/>
      <c r="AQ118" s="40"/>
      <c r="AR118" s="40"/>
      <c r="AS118" s="40"/>
      <c r="AT118" s="40"/>
      <c r="AU118" s="40"/>
      <c r="AV118" s="40"/>
      <c r="AW118" s="86"/>
      <c r="AX118" s="86"/>
      <c r="AY118" s="86"/>
      <c r="AZ118" s="86"/>
      <c r="BA118" s="86"/>
      <c r="BB118" s="86"/>
      <c r="BC118" s="86"/>
    </row>
    <row r="119" spans="1:55">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c r="AA119" s="40"/>
      <c r="AB119" s="40"/>
      <c r="AC119" s="40"/>
      <c r="AD119" s="40"/>
      <c r="AE119" s="40"/>
      <c r="AF119" s="40"/>
      <c r="AG119" s="40"/>
      <c r="AH119" s="40"/>
      <c r="AI119" s="40"/>
      <c r="AJ119" s="40"/>
      <c r="AK119" s="40"/>
      <c r="AL119" s="40"/>
      <c r="AM119" s="40"/>
      <c r="AN119" s="40"/>
      <c r="AO119" s="40"/>
      <c r="AP119" s="40"/>
      <c r="AQ119" s="40"/>
      <c r="AR119" s="40"/>
      <c r="AS119" s="40"/>
      <c r="AT119" s="40"/>
      <c r="AU119" s="40"/>
      <c r="AV119" s="40"/>
      <c r="AW119" s="86"/>
      <c r="AX119" s="86"/>
      <c r="AY119" s="86"/>
      <c r="AZ119" s="86"/>
      <c r="BA119" s="86"/>
      <c r="BB119" s="86"/>
      <c r="BC119" s="86"/>
    </row>
    <row r="120" spans="1:55">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c r="AP120" s="40"/>
      <c r="AQ120" s="40"/>
      <c r="AR120" s="40"/>
      <c r="AS120" s="40"/>
      <c r="AT120" s="40"/>
      <c r="AU120" s="40"/>
      <c r="AV120" s="40"/>
      <c r="AW120" s="86"/>
      <c r="AX120" s="86"/>
      <c r="AY120" s="86"/>
      <c r="AZ120" s="86"/>
      <c r="BA120" s="86"/>
      <c r="BB120" s="86"/>
      <c r="BC120" s="86"/>
    </row>
    <row r="121" spans="1:55">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c r="AP121" s="40"/>
      <c r="AQ121" s="40"/>
      <c r="AR121" s="40"/>
      <c r="AS121" s="40"/>
      <c r="AT121" s="40"/>
      <c r="AU121" s="40"/>
      <c r="AV121" s="40"/>
      <c r="AW121" s="86"/>
      <c r="AX121" s="86"/>
      <c r="AY121" s="86"/>
      <c r="AZ121" s="86"/>
      <c r="BA121" s="86"/>
      <c r="BB121" s="86"/>
      <c r="BC121" s="86"/>
    </row>
    <row r="122" spans="1:55">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c r="AP122" s="40"/>
      <c r="AQ122" s="40"/>
      <c r="AR122" s="40"/>
      <c r="AS122" s="40"/>
      <c r="AT122" s="40"/>
      <c r="AU122" s="40"/>
      <c r="AV122" s="40"/>
      <c r="AW122" s="86"/>
      <c r="AX122" s="86"/>
      <c r="AY122" s="86"/>
      <c r="AZ122" s="86"/>
      <c r="BA122" s="86"/>
      <c r="BB122" s="86"/>
      <c r="BC122" s="86"/>
    </row>
    <row r="123" spans="1:55">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c r="AP123" s="40"/>
      <c r="AQ123" s="40"/>
      <c r="AR123" s="40"/>
      <c r="AS123" s="40"/>
      <c r="AT123" s="40"/>
      <c r="AU123" s="40"/>
      <c r="AV123" s="40"/>
      <c r="AW123" s="86"/>
      <c r="AX123" s="86"/>
      <c r="AY123" s="86"/>
      <c r="AZ123" s="86"/>
      <c r="BA123" s="86"/>
      <c r="BB123" s="86"/>
      <c r="BC123" s="86"/>
    </row>
    <row r="124" spans="1:55">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c r="AP124" s="40"/>
      <c r="AQ124" s="40"/>
      <c r="AR124" s="40"/>
      <c r="AS124" s="40"/>
      <c r="AT124" s="40"/>
      <c r="AU124" s="40"/>
      <c r="AV124" s="40"/>
      <c r="AW124" s="86"/>
      <c r="AX124" s="86"/>
      <c r="AY124" s="86"/>
      <c r="AZ124" s="86"/>
      <c r="BA124" s="86"/>
      <c r="BB124" s="86"/>
      <c r="BC124" s="86"/>
    </row>
    <row r="125" spans="1:55">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c r="AP125" s="40"/>
      <c r="AQ125" s="40"/>
      <c r="AR125" s="40"/>
      <c r="AS125" s="40"/>
      <c r="AT125" s="40"/>
      <c r="AU125" s="40"/>
      <c r="AV125" s="40"/>
      <c r="AW125" s="86"/>
      <c r="AX125" s="86"/>
      <c r="AY125" s="86"/>
      <c r="AZ125" s="86"/>
      <c r="BA125" s="86"/>
      <c r="BB125" s="86"/>
      <c r="BC125" s="86"/>
    </row>
    <row r="126" spans="1:55">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c r="AP126" s="40"/>
      <c r="AQ126" s="40"/>
      <c r="AR126" s="40"/>
      <c r="AS126" s="40"/>
      <c r="AT126" s="40"/>
      <c r="AU126" s="40"/>
      <c r="AV126" s="40"/>
      <c r="AW126" s="86"/>
      <c r="AX126" s="86"/>
      <c r="AY126" s="86"/>
      <c r="AZ126" s="86"/>
      <c r="BA126" s="86"/>
      <c r="BB126" s="86"/>
      <c r="BC126" s="86"/>
    </row>
    <row r="127" spans="1:55">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c r="AP127" s="40"/>
      <c r="AQ127" s="40"/>
      <c r="AR127" s="40"/>
      <c r="AS127" s="40"/>
      <c r="AT127" s="40"/>
      <c r="AU127" s="40"/>
      <c r="AV127" s="40"/>
      <c r="AW127" s="86"/>
      <c r="AX127" s="86"/>
      <c r="AY127" s="86"/>
      <c r="AZ127" s="86"/>
      <c r="BA127" s="86"/>
      <c r="BB127" s="86"/>
      <c r="BC127" s="86"/>
    </row>
    <row r="128" spans="1:55">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c r="AP128" s="40"/>
      <c r="AQ128" s="40"/>
      <c r="AR128" s="40"/>
      <c r="AS128" s="40"/>
      <c r="AT128" s="40"/>
      <c r="AU128" s="40"/>
      <c r="AV128" s="40"/>
      <c r="AW128" s="86"/>
      <c r="AX128" s="86"/>
      <c r="AY128" s="86"/>
      <c r="AZ128" s="86"/>
      <c r="BA128" s="86"/>
      <c r="BB128" s="86"/>
      <c r="BC128" s="86"/>
    </row>
    <row r="129" spans="1:55">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c r="AP129" s="40"/>
      <c r="AQ129" s="40"/>
      <c r="AR129" s="40"/>
      <c r="AS129" s="40"/>
      <c r="AT129" s="40"/>
      <c r="AU129" s="40"/>
      <c r="AV129" s="40"/>
      <c r="AW129" s="86"/>
      <c r="AX129" s="86"/>
      <c r="AY129" s="86"/>
      <c r="AZ129" s="86"/>
      <c r="BA129" s="86"/>
      <c r="BB129" s="86"/>
      <c r="BC129" s="86"/>
    </row>
    <row r="130" spans="1:55">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c r="AP130" s="40"/>
      <c r="AQ130" s="40"/>
      <c r="AR130" s="40"/>
      <c r="AS130" s="40"/>
      <c r="AT130" s="40"/>
      <c r="AU130" s="40"/>
      <c r="AV130" s="40"/>
      <c r="AW130" s="86"/>
      <c r="AX130" s="86"/>
      <c r="AY130" s="86"/>
      <c r="AZ130" s="86"/>
      <c r="BA130" s="86"/>
      <c r="BB130" s="86"/>
      <c r="BC130" s="86"/>
    </row>
    <row r="131" spans="1:55">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c r="AP131" s="40"/>
      <c r="AQ131" s="40"/>
      <c r="AR131" s="40"/>
      <c r="AS131" s="40"/>
      <c r="AT131" s="40"/>
      <c r="AU131" s="40"/>
      <c r="AV131" s="40"/>
      <c r="AW131" s="86"/>
      <c r="AX131" s="86"/>
      <c r="AY131" s="86"/>
      <c r="AZ131" s="86"/>
      <c r="BA131" s="86"/>
      <c r="BB131" s="86"/>
      <c r="BC131" s="86"/>
    </row>
    <row r="132" spans="1:55">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c r="AP132" s="40"/>
      <c r="AQ132" s="40"/>
      <c r="AR132" s="40"/>
      <c r="AS132" s="40"/>
      <c r="AT132" s="40"/>
      <c r="AU132" s="40"/>
      <c r="AV132" s="40"/>
      <c r="AW132" s="86"/>
      <c r="AX132" s="86"/>
      <c r="AY132" s="86"/>
      <c r="AZ132" s="86"/>
      <c r="BA132" s="86"/>
      <c r="BB132" s="86"/>
      <c r="BC132" s="86"/>
    </row>
    <row r="133" spans="1:55">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c r="AI133" s="40"/>
      <c r="AJ133" s="40"/>
      <c r="AK133" s="40"/>
      <c r="AL133" s="40"/>
      <c r="AM133" s="40"/>
      <c r="AN133" s="40"/>
      <c r="AO133" s="40"/>
      <c r="AP133" s="40"/>
      <c r="AQ133" s="40"/>
      <c r="AR133" s="40"/>
      <c r="AS133" s="40"/>
      <c r="AT133" s="40"/>
      <c r="AU133" s="40"/>
      <c r="AV133" s="40"/>
      <c r="AW133" s="86"/>
      <c r="AX133" s="86"/>
      <c r="AY133" s="86"/>
      <c r="AZ133" s="86"/>
      <c r="BA133" s="86"/>
      <c r="BB133" s="86"/>
      <c r="BC133" s="86"/>
    </row>
    <row r="134" spans="1:55">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c r="AI134" s="40"/>
      <c r="AJ134" s="40"/>
      <c r="AK134" s="40"/>
      <c r="AL134" s="40"/>
      <c r="AM134" s="40"/>
      <c r="AN134" s="40"/>
      <c r="AO134" s="40"/>
      <c r="AP134" s="40"/>
      <c r="AQ134" s="40"/>
      <c r="AR134" s="40"/>
      <c r="AS134" s="40"/>
      <c r="AT134" s="40"/>
      <c r="AU134" s="40"/>
      <c r="AV134" s="40"/>
      <c r="AW134" s="86"/>
      <c r="AX134" s="86"/>
      <c r="AY134" s="86"/>
      <c r="AZ134" s="86"/>
      <c r="BA134" s="86"/>
      <c r="BB134" s="86"/>
      <c r="BC134" s="86"/>
    </row>
    <row r="135" spans="1:55">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c r="AP135" s="40"/>
      <c r="AQ135" s="40"/>
      <c r="AR135" s="40"/>
      <c r="AS135" s="40"/>
      <c r="AT135" s="40"/>
      <c r="AU135" s="40"/>
      <c r="AV135" s="40"/>
      <c r="AW135" s="86"/>
      <c r="AX135" s="86"/>
      <c r="AY135" s="86"/>
      <c r="AZ135" s="86"/>
      <c r="BA135" s="86"/>
      <c r="BB135" s="86"/>
      <c r="BC135" s="86"/>
    </row>
    <row r="136" spans="1:55">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c r="AA136" s="40"/>
      <c r="AB136" s="40"/>
      <c r="AC136" s="40"/>
      <c r="AD136" s="40"/>
      <c r="AE136" s="40"/>
      <c r="AF136" s="40"/>
      <c r="AG136" s="40"/>
      <c r="AH136" s="40"/>
      <c r="AI136" s="40"/>
      <c r="AJ136" s="40"/>
      <c r="AK136" s="40"/>
      <c r="AL136" s="40"/>
      <c r="AM136" s="40"/>
      <c r="AN136" s="40"/>
      <c r="AO136" s="40"/>
      <c r="AP136" s="40"/>
      <c r="AQ136" s="40"/>
      <c r="AR136" s="40"/>
      <c r="AS136" s="40"/>
      <c r="AT136" s="40"/>
      <c r="AU136" s="40"/>
      <c r="AV136" s="40"/>
      <c r="AW136" s="86"/>
      <c r="AX136" s="86"/>
      <c r="AY136" s="86"/>
      <c r="AZ136" s="86"/>
      <c r="BA136" s="86"/>
      <c r="BB136" s="86"/>
      <c r="BC136" s="86"/>
    </row>
    <row r="137" spans="1:55">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c r="AI137" s="40"/>
      <c r="AJ137" s="40"/>
      <c r="AK137" s="40"/>
      <c r="AL137" s="40"/>
      <c r="AM137" s="40"/>
      <c r="AN137" s="40"/>
      <c r="AO137" s="40"/>
      <c r="AP137" s="40"/>
      <c r="AQ137" s="40"/>
      <c r="AR137" s="40"/>
      <c r="AS137" s="40"/>
      <c r="AT137" s="40"/>
      <c r="AU137" s="40"/>
      <c r="AV137" s="40"/>
      <c r="AW137" s="86"/>
      <c r="AX137" s="86"/>
      <c r="AY137" s="86"/>
      <c r="AZ137" s="86"/>
      <c r="BA137" s="86"/>
      <c r="BB137" s="86"/>
      <c r="BC137" s="86"/>
    </row>
    <row r="138" spans="1:55">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c r="AI138" s="40"/>
      <c r="AJ138" s="40"/>
      <c r="AK138" s="40"/>
      <c r="AL138" s="40"/>
      <c r="AM138" s="40"/>
      <c r="AN138" s="40"/>
      <c r="AO138" s="40"/>
      <c r="AP138" s="40"/>
      <c r="AQ138" s="40"/>
      <c r="AR138" s="40"/>
      <c r="AS138" s="40"/>
      <c r="AT138" s="40"/>
      <c r="AU138" s="40"/>
      <c r="AV138" s="40"/>
      <c r="AW138" s="86"/>
      <c r="AX138" s="86"/>
      <c r="AY138" s="86"/>
      <c r="AZ138" s="86"/>
      <c r="BA138" s="86"/>
      <c r="BB138" s="86"/>
      <c r="BC138" s="86"/>
    </row>
    <row r="139" spans="1:55">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c r="AI139" s="40"/>
      <c r="AJ139" s="40"/>
      <c r="AK139" s="40"/>
      <c r="AL139" s="40"/>
      <c r="AM139" s="40"/>
      <c r="AN139" s="40"/>
      <c r="AO139" s="40"/>
      <c r="AP139" s="40"/>
      <c r="AQ139" s="40"/>
      <c r="AR139" s="40"/>
      <c r="AS139" s="40"/>
      <c r="AT139" s="40"/>
      <c r="AU139" s="40"/>
      <c r="AV139" s="40"/>
      <c r="AW139" s="86"/>
      <c r="AX139" s="86"/>
      <c r="AY139" s="86"/>
      <c r="AZ139" s="86"/>
      <c r="BA139" s="86"/>
      <c r="BB139" s="86"/>
      <c r="BC139" s="86"/>
    </row>
    <row r="140" spans="1:55">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c r="AI140" s="40"/>
      <c r="AJ140" s="40"/>
      <c r="AK140" s="40"/>
      <c r="AL140" s="40"/>
      <c r="AM140" s="40"/>
      <c r="AN140" s="40"/>
      <c r="AO140" s="40"/>
      <c r="AP140" s="40"/>
      <c r="AQ140" s="40"/>
      <c r="AR140" s="40"/>
      <c r="AS140" s="40"/>
      <c r="AT140" s="40"/>
      <c r="AU140" s="40"/>
      <c r="AV140" s="40"/>
      <c r="AW140" s="86"/>
      <c r="AX140" s="86"/>
      <c r="AY140" s="86"/>
      <c r="AZ140" s="86"/>
      <c r="BA140" s="86"/>
      <c r="BB140" s="86"/>
      <c r="BC140" s="86"/>
    </row>
    <row r="141" spans="1:55">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c r="AI141" s="40"/>
      <c r="AJ141" s="40"/>
      <c r="AK141" s="40"/>
      <c r="AL141" s="40"/>
      <c r="AM141" s="40"/>
      <c r="AN141" s="40"/>
      <c r="AO141" s="40"/>
      <c r="AP141" s="40"/>
      <c r="AQ141" s="40"/>
      <c r="AR141" s="40"/>
      <c r="AS141" s="40"/>
      <c r="AT141" s="40"/>
      <c r="AU141" s="40"/>
      <c r="AV141" s="40"/>
      <c r="AW141" s="86"/>
      <c r="AX141" s="86"/>
      <c r="AY141" s="86"/>
      <c r="AZ141" s="86"/>
      <c r="BA141" s="86"/>
      <c r="BB141" s="86"/>
      <c r="BC141" s="86"/>
    </row>
    <row r="142" spans="1:55">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c r="AA142" s="40"/>
      <c r="AB142" s="40"/>
      <c r="AC142" s="40"/>
      <c r="AD142" s="40"/>
      <c r="AE142" s="40"/>
      <c r="AF142" s="40"/>
      <c r="AG142" s="40"/>
      <c r="AH142" s="40"/>
      <c r="AI142" s="40"/>
      <c r="AJ142" s="40"/>
      <c r="AK142" s="40"/>
      <c r="AL142" s="40"/>
      <c r="AM142" s="40"/>
      <c r="AN142" s="40"/>
      <c r="AO142" s="40"/>
      <c r="AP142" s="40"/>
      <c r="AQ142" s="40"/>
      <c r="AR142" s="40"/>
      <c r="AS142" s="40"/>
      <c r="AT142" s="40"/>
      <c r="AU142" s="40"/>
      <c r="AV142" s="40"/>
      <c r="AW142" s="86"/>
      <c r="AX142" s="86"/>
      <c r="AY142" s="86"/>
      <c r="AZ142" s="86"/>
      <c r="BA142" s="86"/>
      <c r="BB142" s="86"/>
      <c r="BC142" s="86"/>
    </row>
    <row r="143" spans="1:55">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c r="AI143" s="40"/>
      <c r="AJ143" s="40"/>
      <c r="AK143" s="40"/>
      <c r="AL143" s="40"/>
      <c r="AM143" s="40"/>
      <c r="AN143" s="40"/>
      <c r="AO143" s="40"/>
      <c r="AP143" s="40"/>
      <c r="AQ143" s="40"/>
      <c r="AR143" s="40"/>
      <c r="AS143" s="40"/>
      <c r="AT143" s="40"/>
      <c r="AU143" s="40"/>
      <c r="AV143" s="40"/>
      <c r="AW143" s="86"/>
      <c r="AX143" s="86"/>
      <c r="AY143" s="86"/>
      <c r="AZ143" s="86"/>
      <c r="BA143" s="86"/>
      <c r="BB143" s="86"/>
      <c r="BC143" s="86"/>
    </row>
    <row r="144" spans="1:55">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c r="AI144" s="40"/>
      <c r="AJ144" s="40"/>
      <c r="AK144" s="40"/>
      <c r="AL144" s="40"/>
      <c r="AM144" s="40"/>
      <c r="AN144" s="40"/>
      <c r="AO144" s="40"/>
      <c r="AP144" s="40"/>
      <c r="AQ144" s="40"/>
      <c r="AR144" s="40"/>
      <c r="AS144" s="40"/>
      <c r="AT144" s="40"/>
      <c r="AU144" s="40"/>
      <c r="AV144" s="40"/>
      <c r="AW144" s="86"/>
      <c r="AX144" s="86"/>
      <c r="AY144" s="86"/>
      <c r="AZ144" s="86"/>
      <c r="BA144" s="86"/>
      <c r="BB144" s="86"/>
      <c r="BC144" s="86"/>
    </row>
    <row r="145" spans="1:55">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c r="AI145" s="40"/>
      <c r="AJ145" s="40"/>
      <c r="AK145" s="40"/>
      <c r="AL145" s="40"/>
      <c r="AM145" s="40"/>
      <c r="AN145" s="40"/>
      <c r="AO145" s="40"/>
      <c r="AP145" s="40"/>
      <c r="AQ145" s="40"/>
      <c r="AR145" s="40"/>
      <c r="AS145" s="40"/>
      <c r="AT145" s="40"/>
      <c r="AU145" s="40"/>
      <c r="AV145" s="40"/>
      <c r="AW145" s="86"/>
      <c r="AX145" s="86"/>
      <c r="AY145" s="86"/>
      <c r="AZ145" s="86"/>
      <c r="BA145" s="86"/>
      <c r="BB145" s="86"/>
      <c r="BC145" s="86"/>
    </row>
    <row r="146" spans="1:55">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c r="AI146" s="40"/>
      <c r="AJ146" s="40"/>
      <c r="AK146" s="40"/>
      <c r="AL146" s="40"/>
      <c r="AM146" s="40"/>
      <c r="AN146" s="40"/>
      <c r="AO146" s="40"/>
      <c r="AP146" s="40"/>
      <c r="AQ146" s="40"/>
      <c r="AR146" s="40"/>
      <c r="AS146" s="40"/>
      <c r="AT146" s="40"/>
      <c r="AU146" s="40"/>
      <c r="AV146" s="40"/>
      <c r="AW146" s="86"/>
      <c r="AX146" s="86"/>
      <c r="AY146" s="86"/>
      <c r="AZ146" s="86"/>
      <c r="BA146" s="86"/>
      <c r="BB146" s="86"/>
      <c r="BC146" s="86"/>
    </row>
    <row r="147" spans="1:55">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c r="AI147" s="40"/>
      <c r="AJ147" s="40"/>
      <c r="AK147" s="40"/>
      <c r="AL147" s="40"/>
      <c r="AM147" s="40"/>
      <c r="AN147" s="40"/>
      <c r="AO147" s="40"/>
      <c r="AP147" s="40"/>
      <c r="AQ147" s="40"/>
      <c r="AR147" s="40"/>
      <c r="AS147" s="40"/>
      <c r="AT147" s="40"/>
      <c r="AU147" s="40"/>
      <c r="AV147" s="40"/>
      <c r="AW147" s="86"/>
      <c r="AX147" s="86"/>
      <c r="AY147" s="86"/>
      <c r="AZ147" s="86"/>
      <c r="BA147" s="86"/>
      <c r="BB147" s="86"/>
      <c r="BC147" s="86"/>
    </row>
    <row r="148" spans="1:55">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c r="AI148" s="40"/>
      <c r="AJ148" s="40"/>
      <c r="AK148" s="40"/>
      <c r="AL148" s="40"/>
      <c r="AM148" s="40"/>
      <c r="AN148" s="40"/>
      <c r="AO148" s="40"/>
      <c r="AP148" s="40"/>
      <c r="AQ148" s="40"/>
      <c r="AR148" s="40"/>
      <c r="AS148" s="40"/>
      <c r="AT148" s="40"/>
      <c r="AU148" s="40"/>
      <c r="AV148" s="40"/>
      <c r="AW148" s="86"/>
      <c r="AX148" s="86"/>
      <c r="AY148" s="86"/>
      <c r="AZ148" s="86"/>
      <c r="BA148" s="86"/>
      <c r="BB148" s="86"/>
      <c r="BC148" s="86"/>
    </row>
    <row r="149" spans="1:55">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c r="AP149" s="40"/>
      <c r="AQ149" s="40"/>
      <c r="AR149" s="40"/>
      <c r="AS149" s="40"/>
      <c r="AT149" s="40"/>
      <c r="AU149" s="40"/>
      <c r="AV149" s="40"/>
      <c r="AW149" s="86"/>
      <c r="AX149" s="86"/>
      <c r="AY149" s="86"/>
      <c r="AZ149" s="86"/>
      <c r="BA149" s="86"/>
      <c r="BB149" s="86"/>
      <c r="BC149" s="86"/>
    </row>
    <row r="150" spans="1:55">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c r="AJ150" s="40"/>
      <c r="AK150" s="40"/>
      <c r="AL150" s="40"/>
      <c r="AM150" s="40"/>
      <c r="AN150" s="40"/>
      <c r="AO150" s="40"/>
      <c r="AP150" s="40"/>
      <c r="AQ150" s="40"/>
      <c r="AR150" s="40"/>
      <c r="AS150" s="40"/>
      <c r="AT150" s="40"/>
      <c r="AU150" s="40"/>
      <c r="AV150" s="40"/>
      <c r="AW150" s="86"/>
      <c r="AX150" s="86"/>
      <c r="AY150" s="86"/>
      <c r="AZ150" s="86"/>
      <c r="BA150" s="86"/>
      <c r="BB150" s="86"/>
      <c r="BC150" s="86"/>
    </row>
    <row r="151" spans="1:55">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c r="AP151" s="40"/>
      <c r="AQ151" s="40"/>
      <c r="AR151" s="40"/>
      <c r="AS151" s="40"/>
      <c r="AT151" s="40"/>
      <c r="AU151" s="40"/>
      <c r="AV151" s="40"/>
      <c r="AW151" s="86"/>
      <c r="AX151" s="86"/>
      <c r="AY151" s="86"/>
      <c r="AZ151" s="86"/>
      <c r="BA151" s="86"/>
      <c r="BB151" s="86"/>
      <c r="BC151" s="86"/>
    </row>
    <row r="152" spans="1:55">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c r="AP152" s="40"/>
      <c r="AQ152" s="40"/>
      <c r="AR152" s="40"/>
      <c r="AS152" s="40"/>
      <c r="AT152" s="40"/>
      <c r="AU152" s="40"/>
      <c r="AV152" s="40"/>
      <c r="AW152" s="86"/>
      <c r="AX152" s="86"/>
      <c r="AY152" s="86"/>
      <c r="AZ152" s="86"/>
      <c r="BA152" s="86"/>
      <c r="BB152" s="86"/>
      <c r="BC152" s="86"/>
    </row>
    <row r="153" spans="1:55">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c r="AA153" s="40"/>
      <c r="AB153" s="40"/>
      <c r="AC153" s="40"/>
      <c r="AD153" s="40"/>
      <c r="AE153" s="40"/>
      <c r="AF153" s="40"/>
      <c r="AG153" s="40"/>
      <c r="AH153" s="40"/>
      <c r="AI153" s="40"/>
      <c r="AJ153" s="40"/>
      <c r="AK153" s="40"/>
      <c r="AL153" s="40"/>
      <c r="AM153" s="40"/>
      <c r="AN153" s="40"/>
      <c r="AO153" s="40"/>
      <c r="AP153" s="40"/>
      <c r="AQ153" s="40"/>
      <c r="AR153" s="40"/>
      <c r="AS153" s="40"/>
      <c r="AT153" s="40"/>
      <c r="AU153" s="40"/>
      <c r="AV153" s="40"/>
      <c r="AW153" s="86"/>
      <c r="AX153" s="86"/>
      <c r="AY153" s="86"/>
      <c r="AZ153" s="86"/>
      <c r="BA153" s="86"/>
      <c r="BB153" s="86"/>
      <c r="BC153" s="86"/>
    </row>
    <row r="154" spans="1:55">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c r="AA154" s="40"/>
      <c r="AB154" s="40"/>
      <c r="AC154" s="40"/>
      <c r="AD154" s="40"/>
      <c r="AE154" s="40"/>
      <c r="AF154" s="40"/>
      <c r="AG154" s="40"/>
      <c r="AH154" s="40"/>
      <c r="AI154" s="40"/>
      <c r="AJ154" s="40"/>
      <c r="AK154" s="40"/>
      <c r="AL154" s="40"/>
      <c r="AM154" s="40"/>
      <c r="AN154" s="40"/>
      <c r="AO154" s="40"/>
      <c r="AP154" s="40"/>
      <c r="AQ154" s="40"/>
      <c r="AR154" s="40"/>
      <c r="AS154" s="40"/>
      <c r="AT154" s="40"/>
      <c r="AU154" s="40"/>
      <c r="AV154" s="40"/>
      <c r="AW154" s="86"/>
      <c r="AX154" s="86"/>
      <c r="AY154" s="86"/>
      <c r="AZ154" s="86"/>
      <c r="BA154" s="86"/>
      <c r="BB154" s="86"/>
      <c r="BC154" s="86"/>
    </row>
    <row r="155" spans="1:55">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c r="AA155" s="40"/>
      <c r="AB155" s="40"/>
      <c r="AC155" s="40"/>
      <c r="AD155" s="40"/>
      <c r="AE155" s="40"/>
      <c r="AF155" s="40"/>
      <c r="AG155" s="40"/>
      <c r="AH155" s="40"/>
      <c r="AI155" s="40"/>
      <c r="AJ155" s="40"/>
      <c r="AK155" s="40"/>
      <c r="AL155" s="40"/>
      <c r="AM155" s="40"/>
      <c r="AN155" s="40"/>
      <c r="AO155" s="40"/>
      <c r="AP155" s="40"/>
      <c r="AQ155" s="40"/>
      <c r="AR155" s="40"/>
      <c r="AS155" s="40"/>
      <c r="AT155" s="40"/>
      <c r="AU155" s="40"/>
      <c r="AV155" s="40"/>
      <c r="AW155" s="86"/>
      <c r="AX155" s="86"/>
      <c r="AY155" s="86"/>
      <c r="AZ155" s="86"/>
      <c r="BA155" s="86"/>
      <c r="BB155" s="86"/>
      <c r="BC155" s="86"/>
    </row>
    <row r="156" spans="1:55">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c r="AA156" s="40"/>
      <c r="AB156" s="40"/>
      <c r="AC156" s="40"/>
      <c r="AD156" s="40"/>
      <c r="AE156" s="40"/>
      <c r="AF156" s="40"/>
      <c r="AG156" s="40"/>
      <c r="AH156" s="40"/>
      <c r="AI156" s="40"/>
      <c r="AJ156" s="40"/>
      <c r="AK156" s="40"/>
      <c r="AL156" s="40"/>
      <c r="AM156" s="40"/>
      <c r="AN156" s="40"/>
      <c r="AO156" s="40"/>
      <c r="AP156" s="40"/>
      <c r="AQ156" s="40"/>
      <c r="AR156" s="40"/>
      <c r="AS156" s="40"/>
      <c r="AT156" s="40"/>
      <c r="AU156" s="40"/>
      <c r="AV156" s="40"/>
      <c r="AW156" s="86"/>
      <c r="AX156" s="86"/>
      <c r="AY156" s="86"/>
      <c r="AZ156" s="86"/>
      <c r="BA156" s="86"/>
      <c r="BB156" s="86"/>
      <c r="BC156" s="86"/>
    </row>
    <row r="157" spans="1:55">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c r="AI157" s="40"/>
      <c r="AJ157" s="40"/>
      <c r="AK157" s="40"/>
      <c r="AL157" s="40"/>
      <c r="AM157" s="40"/>
      <c r="AN157" s="40"/>
      <c r="AO157" s="40"/>
      <c r="AP157" s="40"/>
      <c r="AQ157" s="40"/>
      <c r="AR157" s="40"/>
      <c r="AS157" s="40"/>
      <c r="AT157" s="40"/>
      <c r="AU157" s="40"/>
      <c r="AV157" s="40"/>
      <c r="AW157" s="86"/>
      <c r="AX157" s="86"/>
      <c r="AY157" s="86"/>
      <c r="AZ157" s="86"/>
      <c r="BA157" s="86"/>
      <c r="BB157" s="86"/>
      <c r="BC157" s="86"/>
    </row>
    <row r="158" spans="1:55">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c r="AP158" s="40"/>
      <c r="AQ158" s="40"/>
      <c r="AR158" s="40"/>
      <c r="AS158" s="40"/>
      <c r="AT158" s="40"/>
      <c r="AU158" s="40"/>
      <c r="AV158" s="40"/>
      <c r="AW158" s="86"/>
      <c r="AX158" s="86"/>
      <c r="AY158" s="86"/>
      <c r="AZ158" s="86"/>
      <c r="BA158" s="86"/>
      <c r="BB158" s="86"/>
      <c r="BC158" s="86"/>
    </row>
    <row r="159" spans="1:55">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c r="AI159" s="40"/>
      <c r="AJ159" s="40"/>
      <c r="AK159" s="40"/>
      <c r="AL159" s="40"/>
      <c r="AM159" s="40"/>
      <c r="AN159" s="40"/>
      <c r="AO159" s="40"/>
      <c r="AP159" s="40"/>
      <c r="AQ159" s="40"/>
      <c r="AR159" s="40"/>
      <c r="AS159" s="40"/>
      <c r="AT159" s="40"/>
      <c r="AU159" s="40"/>
      <c r="AV159" s="40"/>
      <c r="AW159" s="86"/>
      <c r="AX159" s="86"/>
      <c r="AY159" s="86"/>
      <c r="AZ159" s="86"/>
      <c r="BA159" s="86"/>
      <c r="BB159" s="86"/>
      <c r="BC159" s="86"/>
    </row>
    <row r="160" spans="1:55">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c r="AP160" s="40"/>
      <c r="AQ160" s="40"/>
      <c r="AR160" s="40"/>
      <c r="AS160" s="40"/>
      <c r="AT160" s="40"/>
      <c r="AU160" s="40"/>
      <c r="AV160" s="40"/>
      <c r="AW160" s="86"/>
      <c r="AX160" s="86"/>
      <c r="AY160" s="86"/>
      <c r="AZ160" s="86"/>
      <c r="BA160" s="86"/>
      <c r="BB160" s="86"/>
      <c r="BC160" s="86"/>
    </row>
    <row r="161" spans="1:55">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c r="AA161" s="40"/>
      <c r="AB161" s="40"/>
      <c r="AC161" s="40"/>
      <c r="AD161" s="40"/>
      <c r="AE161" s="40"/>
      <c r="AF161" s="40"/>
      <c r="AG161" s="40"/>
      <c r="AH161" s="40"/>
      <c r="AI161" s="40"/>
      <c r="AJ161" s="40"/>
      <c r="AK161" s="40"/>
      <c r="AL161" s="40"/>
      <c r="AM161" s="40"/>
      <c r="AN161" s="40"/>
      <c r="AO161" s="40"/>
      <c r="AP161" s="40"/>
      <c r="AQ161" s="40"/>
      <c r="AR161" s="40"/>
      <c r="AS161" s="40"/>
      <c r="AT161" s="40"/>
      <c r="AU161" s="40"/>
      <c r="AV161" s="40"/>
      <c r="AW161" s="86"/>
      <c r="AX161" s="86"/>
      <c r="AY161" s="86"/>
      <c r="AZ161" s="86"/>
      <c r="BA161" s="86"/>
      <c r="BB161" s="86"/>
      <c r="BC161" s="86"/>
    </row>
    <row r="162" spans="1:55">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c r="AI162" s="40"/>
      <c r="AJ162" s="40"/>
      <c r="AK162" s="40"/>
      <c r="AL162" s="40"/>
      <c r="AM162" s="40"/>
      <c r="AN162" s="40"/>
      <c r="AO162" s="40"/>
      <c r="AP162" s="40"/>
      <c r="AQ162" s="40"/>
      <c r="AR162" s="40"/>
      <c r="AS162" s="40"/>
      <c r="AT162" s="40"/>
      <c r="AU162" s="40"/>
      <c r="AV162" s="40"/>
      <c r="AW162" s="86"/>
      <c r="AX162" s="86"/>
      <c r="AY162" s="86"/>
      <c r="AZ162" s="86"/>
      <c r="BA162" s="86"/>
      <c r="BB162" s="86"/>
      <c r="BC162" s="86"/>
    </row>
    <row r="163" spans="1:55">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c r="AA163" s="40"/>
      <c r="AB163" s="40"/>
      <c r="AC163" s="40"/>
      <c r="AD163" s="40"/>
      <c r="AE163" s="40"/>
      <c r="AF163" s="40"/>
      <c r="AG163" s="40"/>
      <c r="AH163" s="40"/>
      <c r="AI163" s="40"/>
      <c r="AJ163" s="40"/>
      <c r="AK163" s="40"/>
      <c r="AL163" s="40"/>
      <c r="AM163" s="40"/>
      <c r="AN163" s="40"/>
      <c r="AO163" s="40"/>
      <c r="AP163" s="40"/>
      <c r="AQ163" s="40"/>
      <c r="AR163" s="40"/>
      <c r="AS163" s="40"/>
      <c r="AT163" s="40"/>
      <c r="AU163" s="40"/>
      <c r="AV163" s="40"/>
      <c r="AW163" s="86"/>
      <c r="AX163" s="86"/>
      <c r="AY163" s="86"/>
      <c r="AZ163" s="86"/>
      <c r="BA163" s="86"/>
      <c r="BB163" s="86"/>
      <c r="BC163" s="86"/>
    </row>
    <row r="164" spans="1:55">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c r="AA164" s="40"/>
      <c r="AB164" s="40"/>
      <c r="AC164" s="40"/>
      <c r="AD164" s="40"/>
      <c r="AE164" s="40"/>
      <c r="AF164" s="40"/>
      <c r="AG164" s="40"/>
      <c r="AH164" s="40"/>
      <c r="AI164" s="40"/>
      <c r="AJ164" s="40"/>
      <c r="AK164" s="40"/>
      <c r="AL164" s="40"/>
      <c r="AM164" s="40"/>
      <c r="AN164" s="40"/>
      <c r="AO164" s="40"/>
      <c r="AP164" s="40"/>
      <c r="AQ164" s="40"/>
      <c r="AR164" s="40"/>
      <c r="AS164" s="40"/>
      <c r="AT164" s="40"/>
      <c r="AU164" s="40"/>
      <c r="AV164" s="40"/>
      <c r="AW164" s="86"/>
      <c r="AX164" s="86"/>
      <c r="AY164" s="86"/>
      <c r="AZ164" s="86"/>
      <c r="BA164" s="86"/>
      <c r="BB164" s="86"/>
      <c r="BC164" s="86"/>
    </row>
    <row r="165" spans="1:55">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c r="AA165" s="40"/>
      <c r="AB165" s="40"/>
      <c r="AC165" s="40"/>
      <c r="AD165" s="40"/>
      <c r="AE165" s="40"/>
      <c r="AF165" s="40"/>
      <c r="AG165" s="40"/>
      <c r="AH165" s="40"/>
      <c r="AI165" s="40"/>
      <c r="AJ165" s="40"/>
      <c r="AK165" s="40"/>
      <c r="AL165" s="40"/>
      <c r="AM165" s="40"/>
      <c r="AN165" s="40"/>
      <c r="AO165" s="40"/>
      <c r="AP165" s="40"/>
      <c r="AQ165" s="40"/>
      <c r="AR165" s="40"/>
      <c r="AS165" s="40"/>
      <c r="AT165" s="40"/>
      <c r="AU165" s="40"/>
      <c r="AV165" s="40"/>
      <c r="AW165" s="86"/>
      <c r="AX165" s="86"/>
      <c r="AY165" s="86"/>
      <c r="AZ165" s="86"/>
      <c r="BA165" s="86"/>
      <c r="BB165" s="86"/>
      <c r="BC165" s="86"/>
    </row>
    <row r="166" spans="1:55">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c r="AI166" s="40"/>
      <c r="AJ166" s="40"/>
      <c r="AK166" s="40"/>
      <c r="AL166" s="40"/>
      <c r="AM166" s="40"/>
      <c r="AN166" s="40"/>
      <c r="AO166" s="40"/>
      <c r="AP166" s="40"/>
      <c r="AQ166" s="40"/>
      <c r="AR166" s="40"/>
      <c r="AS166" s="40"/>
      <c r="AT166" s="40"/>
      <c r="AU166" s="40"/>
      <c r="AV166" s="40"/>
      <c r="AW166" s="86"/>
      <c r="AX166" s="86"/>
      <c r="AY166" s="86"/>
      <c r="AZ166" s="86"/>
      <c r="BA166" s="86"/>
      <c r="BB166" s="86"/>
      <c r="BC166" s="86"/>
    </row>
    <row r="167" spans="1:55">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c r="AI167" s="40"/>
      <c r="AJ167" s="40"/>
      <c r="AK167" s="40"/>
      <c r="AL167" s="40"/>
      <c r="AM167" s="40"/>
      <c r="AN167" s="40"/>
      <c r="AO167" s="40"/>
      <c r="AP167" s="40"/>
      <c r="AQ167" s="40"/>
      <c r="AR167" s="40"/>
      <c r="AS167" s="40"/>
      <c r="AT167" s="40"/>
      <c r="AU167" s="40"/>
      <c r="AV167" s="40"/>
      <c r="AW167" s="86"/>
      <c r="AX167" s="86"/>
      <c r="AY167" s="86"/>
      <c r="AZ167" s="86"/>
      <c r="BA167" s="86"/>
      <c r="BB167" s="86"/>
      <c r="BC167" s="86"/>
    </row>
    <row r="168" spans="1:55">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c r="AA168" s="40"/>
      <c r="AB168" s="40"/>
      <c r="AC168" s="40"/>
      <c r="AD168" s="40"/>
      <c r="AE168" s="40"/>
      <c r="AF168" s="40"/>
      <c r="AG168" s="40"/>
      <c r="AH168" s="40"/>
      <c r="AI168" s="40"/>
      <c r="AJ168" s="40"/>
      <c r="AK168" s="40"/>
      <c r="AL168" s="40"/>
      <c r="AM168" s="40"/>
      <c r="AN168" s="40"/>
      <c r="AO168" s="40"/>
      <c r="AP168" s="40"/>
      <c r="AQ168" s="40"/>
      <c r="AR168" s="40"/>
      <c r="AS168" s="40"/>
      <c r="AT168" s="40"/>
      <c r="AU168" s="40"/>
      <c r="AV168" s="40"/>
      <c r="AW168" s="86"/>
      <c r="AX168" s="86"/>
      <c r="AY168" s="86"/>
      <c r="AZ168" s="86"/>
      <c r="BA168" s="86"/>
      <c r="BB168" s="86"/>
      <c r="BC168" s="86"/>
    </row>
    <row r="169" spans="1:55">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c r="AI169" s="40"/>
      <c r="AJ169" s="40"/>
      <c r="AK169" s="40"/>
      <c r="AL169" s="40"/>
      <c r="AM169" s="40"/>
      <c r="AN169" s="40"/>
      <c r="AO169" s="40"/>
      <c r="AP169" s="40"/>
      <c r="AQ169" s="40"/>
      <c r="AR169" s="40"/>
      <c r="AS169" s="40"/>
      <c r="AT169" s="40"/>
      <c r="AU169" s="40"/>
      <c r="AV169" s="40"/>
      <c r="AW169" s="86"/>
      <c r="AX169" s="86"/>
      <c r="AY169" s="86"/>
      <c r="AZ169" s="86"/>
      <c r="BA169" s="86"/>
      <c r="BB169" s="86"/>
      <c r="BC169" s="86"/>
    </row>
    <row r="170" spans="1:55">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c r="AI170" s="40"/>
      <c r="AJ170" s="40"/>
      <c r="AK170" s="40"/>
      <c r="AL170" s="40"/>
      <c r="AM170" s="40"/>
      <c r="AN170" s="40"/>
      <c r="AO170" s="40"/>
      <c r="AP170" s="40"/>
      <c r="AQ170" s="40"/>
      <c r="AR170" s="40"/>
      <c r="AS170" s="40"/>
      <c r="AT170" s="40"/>
      <c r="AU170" s="40"/>
      <c r="AV170" s="40"/>
      <c r="AW170" s="86"/>
      <c r="AX170" s="86"/>
      <c r="AY170" s="86"/>
      <c r="AZ170" s="86"/>
      <c r="BA170" s="86"/>
      <c r="BB170" s="86"/>
      <c r="BC170" s="86"/>
    </row>
    <row r="171" spans="1:55">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c r="AA171" s="40"/>
      <c r="AB171" s="40"/>
      <c r="AC171" s="40"/>
      <c r="AD171" s="40"/>
      <c r="AE171" s="40"/>
      <c r="AF171" s="40"/>
      <c r="AG171" s="40"/>
      <c r="AH171" s="40"/>
      <c r="AI171" s="40"/>
      <c r="AJ171" s="40"/>
      <c r="AK171" s="40"/>
      <c r="AL171" s="40"/>
      <c r="AM171" s="40"/>
      <c r="AN171" s="40"/>
      <c r="AO171" s="40"/>
      <c r="AP171" s="40"/>
      <c r="AQ171" s="40"/>
      <c r="AR171" s="40"/>
      <c r="AS171" s="40"/>
      <c r="AT171" s="40"/>
      <c r="AU171" s="40"/>
      <c r="AV171" s="40"/>
      <c r="AW171" s="86"/>
      <c r="AX171" s="86"/>
      <c r="AY171" s="86"/>
      <c r="AZ171" s="86"/>
      <c r="BA171" s="86"/>
      <c r="BB171" s="86"/>
      <c r="BC171" s="86"/>
    </row>
    <row r="172" spans="1:55">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c r="AI172" s="40"/>
      <c r="AJ172" s="40"/>
      <c r="AK172" s="40"/>
      <c r="AL172" s="40"/>
      <c r="AM172" s="40"/>
      <c r="AN172" s="40"/>
      <c r="AO172" s="40"/>
      <c r="AP172" s="40"/>
      <c r="AQ172" s="40"/>
      <c r="AR172" s="40"/>
      <c r="AS172" s="40"/>
      <c r="AT172" s="40"/>
      <c r="AU172" s="40"/>
      <c r="AV172" s="40"/>
      <c r="AW172" s="86"/>
      <c r="AX172" s="86"/>
      <c r="AY172" s="86"/>
      <c r="AZ172" s="86"/>
      <c r="BA172" s="86"/>
      <c r="BB172" s="86"/>
      <c r="BC172" s="86"/>
    </row>
    <row r="173" spans="1:55">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c r="AI173" s="40"/>
      <c r="AJ173" s="40"/>
      <c r="AK173" s="40"/>
      <c r="AL173" s="40"/>
      <c r="AM173" s="40"/>
      <c r="AN173" s="40"/>
      <c r="AO173" s="40"/>
      <c r="AP173" s="40"/>
      <c r="AQ173" s="40"/>
      <c r="AR173" s="40"/>
      <c r="AS173" s="40"/>
      <c r="AT173" s="40"/>
      <c r="AU173" s="40"/>
      <c r="AV173" s="40"/>
      <c r="AW173" s="86"/>
      <c r="AX173" s="86"/>
      <c r="AY173" s="86"/>
      <c r="AZ173" s="86"/>
      <c r="BA173" s="86"/>
      <c r="BB173" s="86"/>
      <c r="BC173" s="86"/>
    </row>
    <row r="174" spans="1:55">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c r="AA174" s="40"/>
      <c r="AB174" s="40"/>
      <c r="AC174" s="40"/>
      <c r="AD174" s="40"/>
      <c r="AE174" s="40"/>
      <c r="AF174" s="40"/>
      <c r="AG174" s="40"/>
      <c r="AH174" s="40"/>
      <c r="AI174" s="40"/>
      <c r="AJ174" s="40"/>
      <c r="AK174" s="40"/>
      <c r="AL174" s="40"/>
      <c r="AM174" s="40"/>
      <c r="AN174" s="40"/>
      <c r="AO174" s="40"/>
      <c r="AP174" s="40"/>
      <c r="AQ174" s="40"/>
      <c r="AR174" s="40"/>
      <c r="AS174" s="40"/>
      <c r="AT174" s="40"/>
      <c r="AU174" s="40"/>
      <c r="AV174" s="40"/>
      <c r="AW174" s="86"/>
      <c r="AX174" s="86"/>
      <c r="AY174" s="86"/>
      <c r="AZ174" s="86"/>
      <c r="BA174" s="86"/>
      <c r="BB174" s="86"/>
      <c r="BC174" s="86"/>
    </row>
    <row r="175" spans="1:55">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c r="AA175" s="40"/>
      <c r="AB175" s="40"/>
      <c r="AC175" s="40"/>
      <c r="AD175" s="40"/>
      <c r="AE175" s="40"/>
      <c r="AF175" s="40"/>
      <c r="AG175" s="40"/>
      <c r="AH175" s="40"/>
      <c r="AI175" s="40"/>
      <c r="AJ175" s="40"/>
      <c r="AK175" s="40"/>
      <c r="AL175" s="40"/>
      <c r="AM175" s="40"/>
      <c r="AN175" s="40"/>
      <c r="AO175" s="40"/>
      <c r="AP175" s="40"/>
      <c r="AQ175" s="40"/>
      <c r="AR175" s="40"/>
      <c r="AS175" s="40"/>
      <c r="AT175" s="40"/>
      <c r="AU175" s="40"/>
      <c r="AV175" s="40"/>
      <c r="AW175" s="86"/>
      <c r="AX175" s="86"/>
      <c r="AY175" s="86"/>
      <c r="AZ175" s="86"/>
      <c r="BA175" s="86"/>
      <c r="BB175" s="86"/>
      <c r="BC175" s="86"/>
    </row>
    <row r="176" spans="1:55">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c r="AA176" s="40"/>
      <c r="AB176" s="40"/>
      <c r="AC176" s="40"/>
      <c r="AD176" s="40"/>
      <c r="AE176" s="40"/>
      <c r="AF176" s="40"/>
      <c r="AG176" s="40"/>
      <c r="AH176" s="40"/>
      <c r="AI176" s="40"/>
      <c r="AJ176" s="40"/>
      <c r="AK176" s="40"/>
      <c r="AL176" s="40"/>
      <c r="AM176" s="40"/>
      <c r="AN176" s="40"/>
      <c r="AO176" s="40"/>
      <c r="AP176" s="40"/>
      <c r="AQ176" s="40"/>
      <c r="AR176" s="40"/>
      <c r="AS176" s="40"/>
      <c r="AT176" s="40"/>
      <c r="AU176" s="40"/>
      <c r="AV176" s="40"/>
      <c r="AW176" s="86"/>
      <c r="AX176" s="86"/>
      <c r="AY176" s="86"/>
      <c r="AZ176" s="86"/>
      <c r="BA176" s="86"/>
      <c r="BB176" s="86"/>
      <c r="BC176" s="86"/>
    </row>
    <row r="177" spans="1:55">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c r="AA177" s="40"/>
      <c r="AB177" s="40"/>
      <c r="AC177" s="40"/>
      <c r="AD177" s="40"/>
      <c r="AE177" s="40"/>
      <c r="AF177" s="40"/>
      <c r="AG177" s="40"/>
      <c r="AH177" s="40"/>
      <c r="AI177" s="40"/>
      <c r="AJ177" s="40"/>
      <c r="AK177" s="40"/>
      <c r="AL177" s="40"/>
      <c r="AM177" s="40"/>
      <c r="AN177" s="40"/>
      <c r="AO177" s="40"/>
      <c r="AP177" s="40"/>
      <c r="AQ177" s="40"/>
      <c r="AR177" s="40"/>
      <c r="AS177" s="40"/>
      <c r="AT177" s="40"/>
      <c r="AU177" s="40"/>
      <c r="AV177" s="40"/>
      <c r="AW177" s="86"/>
      <c r="AX177" s="86"/>
      <c r="AY177" s="86"/>
      <c r="AZ177" s="86"/>
      <c r="BA177" s="86"/>
      <c r="BB177" s="86"/>
      <c r="BC177" s="86"/>
    </row>
    <row r="178" spans="1:55">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c r="AA178" s="40"/>
      <c r="AB178" s="40"/>
      <c r="AC178" s="40"/>
      <c r="AD178" s="40"/>
      <c r="AE178" s="40"/>
      <c r="AF178" s="40"/>
      <c r="AG178" s="40"/>
      <c r="AH178" s="40"/>
      <c r="AI178" s="40"/>
      <c r="AJ178" s="40"/>
      <c r="AK178" s="40"/>
      <c r="AL178" s="40"/>
      <c r="AM178" s="40"/>
      <c r="AN178" s="40"/>
      <c r="AO178" s="40"/>
      <c r="AP178" s="40"/>
      <c r="AQ178" s="40"/>
      <c r="AR178" s="40"/>
      <c r="AS178" s="40"/>
      <c r="AT178" s="40"/>
      <c r="AU178" s="40"/>
      <c r="AV178" s="40"/>
      <c r="AW178" s="86"/>
      <c r="AX178" s="86"/>
      <c r="AY178" s="86"/>
      <c r="AZ178" s="86"/>
      <c r="BA178" s="86"/>
      <c r="BB178" s="86"/>
      <c r="BC178" s="86"/>
    </row>
    <row r="179" spans="1:55">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c r="AA179" s="40"/>
      <c r="AB179" s="40"/>
      <c r="AC179" s="40"/>
      <c r="AD179" s="40"/>
      <c r="AE179" s="40"/>
      <c r="AF179" s="40"/>
      <c r="AG179" s="40"/>
      <c r="AH179" s="40"/>
      <c r="AI179" s="40"/>
      <c r="AJ179" s="40"/>
      <c r="AK179" s="40"/>
      <c r="AL179" s="40"/>
      <c r="AM179" s="40"/>
      <c r="AN179" s="40"/>
      <c r="AO179" s="40"/>
      <c r="AP179" s="40"/>
      <c r="AQ179" s="40"/>
      <c r="AR179" s="40"/>
      <c r="AS179" s="40"/>
      <c r="AT179" s="40"/>
      <c r="AU179" s="40"/>
      <c r="AV179" s="40"/>
      <c r="AW179" s="86"/>
      <c r="AX179" s="86"/>
      <c r="AY179" s="86"/>
      <c r="AZ179" s="86"/>
      <c r="BA179" s="86"/>
      <c r="BB179" s="86"/>
      <c r="BC179" s="86"/>
    </row>
    <row r="180" spans="1:55">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c r="AA180" s="40"/>
      <c r="AB180" s="40"/>
      <c r="AC180" s="40"/>
      <c r="AD180" s="40"/>
      <c r="AE180" s="40"/>
      <c r="AF180" s="40"/>
      <c r="AG180" s="40"/>
      <c r="AH180" s="40"/>
      <c r="AI180" s="40"/>
      <c r="AJ180" s="40"/>
      <c r="AK180" s="40"/>
      <c r="AL180" s="40"/>
      <c r="AM180" s="40"/>
      <c r="AN180" s="40"/>
      <c r="AO180" s="40"/>
      <c r="AP180" s="40"/>
      <c r="AQ180" s="40"/>
      <c r="AR180" s="40"/>
      <c r="AS180" s="40"/>
      <c r="AT180" s="40"/>
      <c r="AU180" s="40"/>
      <c r="AV180" s="40"/>
      <c r="AW180" s="86"/>
      <c r="AX180" s="86"/>
      <c r="AY180" s="86"/>
      <c r="AZ180" s="86"/>
      <c r="BA180" s="86"/>
      <c r="BB180" s="86"/>
      <c r="BC180" s="86"/>
    </row>
    <row r="181" spans="1:55">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c r="AA181" s="40"/>
      <c r="AB181" s="40"/>
      <c r="AC181" s="40"/>
      <c r="AD181" s="40"/>
      <c r="AE181" s="40"/>
      <c r="AF181" s="40"/>
      <c r="AG181" s="40"/>
      <c r="AH181" s="40"/>
      <c r="AI181" s="40"/>
      <c r="AJ181" s="40"/>
      <c r="AK181" s="40"/>
      <c r="AL181" s="40"/>
      <c r="AM181" s="40"/>
      <c r="AN181" s="40"/>
      <c r="AO181" s="40"/>
      <c r="AP181" s="40"/>
      <c r="AQ181" s="40"/>
      <c r="AR181" s="40"/>
      <c r="AS181" s="40"/>
      <c r="AT181" s="40"/>
      <c r="AU181" s="40"/>
      <c r="AV181" s="40"/>
      <c r="AW181" s="86"/>
      <c r="AX181" s="86"/>
      <c r="AY181" s="86"/>
      <c r="AZ181" s="86"/>
      <c r="BA181" s="86"/>
      <c r="BB181" s="86"/>
      <c r="BC181" s="86"/>
    </row>
    <row r="182" spans="1:55">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c r="AA182" s="40"/>
      <c r="AB182" s="40"/>
      <c r="AC182" s="40"/>
      <c r="AD182" s="40"/>
      <c r="AE182" s="40"/>
      <c r="AF182" s="40"/>
      <c r="AG182" s="40"/>
      <c r="AH182" s="40"/>
      <c r="AI182" s="40"/>
      <c r="AJ182" s="40"/>
      <c r="AK182" s="40"/>
      <c r="AL182" s="40"/>
      <c r="AM182" s="40"/>
      <c r="AN182" s="40"/>
      <c r="AO182" s="40"/>
      <c r="AP182" s="40"/>
      <c r="AQ182" s="40"/>
      <c r="AR182" s="40"/>
      <c r="AS182" s="40"/>
      <c r="AT182" s="40"/>
      <c r="AU182" s="40"/>
      <c r="AV182" s="40"/>
      <c r="AW182" s="86"/>
      <c r="AX182" s="86"/>
      <c r="AY182" s="86"/>
      <c r="AZ182" s="86"/>
      <c r="BA182" s="86"/>
      <c r="BB182" s="86"/>
      <c r="BC182" s="86"/>
    </row>
    <row r="183" spans="1:55">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c r="AI183" s="40"/>
      <c r="AJ183" s="40"/>
      <c r="AK183" s="40"/>
      <c r="AL183" s="40"/>
      <c r="AM183" s="40"/>
      <c r="AN183" s="40"/>
      <c r="AO183" s="40"/>
      <c r="AP183" s="40"/>
      <c r="AQ183" s="40"/>
      <c r="AR183" s="40"/>
      <c r="AS183" s="40"/>
      <c r="AT183" s="40"/>
      <c r="AU183" s="40"/>
      <c r="AV183" s="40"/>
      <c r="AW183" s="86"/>
      <c r="AX183" s="86"/>
      <c r="AY183" s="86"/>
      <c r="AZ183" s="86"/>
      <c r="BA183" s="86"/>
      <c r="BB183" s="86"/>
      <c r="BC183" s="86"/>
    </row>
    <row r="184" spans="1:55">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c r="AA184" s="40"/>
      <c r="AB184" s="40"/>
      <c r="AC184" s="40"/>
      <c r="AD184" s="40"/>
      <c r="AE184" s="40"/>
      <c r="AF184" s="40"/>
      <c r="AG184" s="40"/>
      <c r="AH184" s="40"/>
      <c r="AI184" s="40"/>
      <c r="AJ184" s="40"/>
      <c r="AK184" s="40"/>
      <c r="AL184" s="40"/>
      <c r="AM184" s="40"/>
      <c r="AN184" s="40"/>
      <c r="AO184" s="40"/>
      <c r="AP184" s="40"/>
      <c r="AQ184" s="40"/>
      <c r="AR184" s="40"/>
      <c r="AS184" s="40"/>
      <c r="AT184" s="40"/>
      <c r="AU184" s="40"/>
      <c r="AV184" s="40"/>
      <c r="AW184" s="86"/>
      <c r="AX184" s="86"/>
      <c r="AY184" s="86"/>
      <c r="AZ184" s="86"/>
      <c r="BA184" s="86"/>
      <c r="BB184" s="86"/>
      <c r="BC184" s="86"/>
    </row>
    <row r="185" spans="1:5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c r="AA185" s="40"/>
      <c r="AB185" s="40"/>
      <c r="AC185" s="40"/>
      <c r="AD185" s="40"/>
      <c r="AE185" s="40"/>
      <c r="AF185" s="40"/>
      <c r="AG185" s="40"/>
      <c r="AH185" s="40"/>
      <c r="AI185" s="40"/>
      <c r="AJ185" s="40"/>
      <c r="AK185" s="40"/>
      <c r="AL185" s="40"/>
      <c r="AM185" s="40"/>
      <c r="AN185" s="40"/>
      <c r="AO185" s="40"/>
      <c r="AP185" s="40"/>
      <c r="AQ185" s="40"/>
      <c r="AR185" s="40"/>
      <c r="AS185" s="40"/>
      <c r="AT185" s="40"/>
      <c r="AU185" s="40"/>
      <c r="AV185" s="40"/>
      <c r="AW185" s="86"/>
      <c r="AX185" s="86"/>
      <c r="AY185" s="86"/>
      <c r="AZ185" s="86"/>
      <c r="BA185" s="86"/>
      <c r="BB185" s="86"/>
      <c r="BC185" s="86"/>
    </row>
    <row r="186" spans="1:55">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c r="AP186" s="40"/>
      <c r="AQ186" s="40"/>
      <c r="AR186" s="40"/>
      <c r="AS186" s="40"/>
      <c r="AT186" s="40"/>
      <c r="AU186" s="40"/>
      <c r="AV186" s="40"/>
      <c r="AW186" s="86"/>
      <c r="AX186" s="86"/>
      <c r="AY186" s="86"/>
      <c r="AZ186" s="86"/>
      <c r="BA186" s="86"/>
      <c r="BB186" s="86"/>
      <c r="BC186" s="86"/>
    </row>
    <row r="187" spans="1:55">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c r="AP187" s="40"/>
      <c r="AQ187" s="40"/>
      <c r="AR187" s="40"/>
      <c r="AS187" s="40"/>
      <c r="AT187" s="40"/>
      <c r="AU187" s="40"/>
      <c r="AV187" s="40"/>
      <c r="AW187" s="86"/>
      <c r="AX187" s="86"/>
      <c r="AY187" s="86"/>
      <c r="AZ187" s="86"/>
      <c r="BA187" s="86"/>
      <c r="BB187" s="86"/>
      <c r="BC187" s="86"/>
    </row>
    <row r="188" spans="1:55">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c r="AA188" s="40"/>
      <c r="AB188" s="40"/>
      <c r="AC188" s="40"/>
      <c r="AD188" s="40"/>
      <c r="AE188" s="40"/>
      <c r="AF188" s="40"/>
      <c r="AG188" s="40"/>
      <c r="AH188" s="40"/>
      <c r="AI188" s="40"/>
      <c r="AJ188" s="40"/>
      <c r="AK188" s="40"/>
      <c r="AL188" s="40"/>
      <c r="AM188" s="40"/>
      <c r="AN188" s="40"/>
      <c r="AO188" s="40"/>
      <c r="AP188" s="40"/>
      <c r="AQ188" s="40"/>
      <c r="AR188" s="40"/>
      <c r="AS188" s="40"/>
      <c r="AT188" s="40"/>
      <c r="AU188" s="40"/>
      <c r="AV188" s="40"/>
      <c r="AW188" s="86"/>
      <c r="AX188" s="86"/>
      <c r="AY188" s="86"/>
      <c r="AZ188" s="86"/>
      <c r="BA188" s="86"/>
      <c r="BB188" s="86"/>
      <c r="BC188" s="86"/>
    </row>
    <row r="189" spans="1:55">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c r="AA189" s="40"/>
      <c r="AB189" s="40"/>
      <c r="AC189" s="40"/>
      <c r="AD189" s="40"/>
      <c r="AE189" s="40"/>
      <c r="AF189" s="40"/>
      <c r="AG189" s="40"/>
      <c r="AH189" s="40"/>
      <c r="AI189" s="40"/>
      <c r="AJ189" s="40"/>
      <c r="AK189" s="40"/>
      <c r="AL189" s="40"/>
      <c r="AM189" s="40"/>
      <c r="AN189" s="40"/>
      <c r="AO189" s="40"/>
      <c r="AP189" s="40"/>
      <c r="AQ189" s="40"/>
      <c r="AR189" s="40"/>
      <c r="AS189" s="40"/>
      <c r="AT189" s="40"/>
      <c r="AU189" s="40"/>
      <c r="AV189" s="40"/>
      <c r="AW189" s="86"/>
      <c r="AX189" s="86"/>
      <c r="AY189" s="86"/>
      <c r="AZ189" s="86"/>
      <c r="BA189" s="86"/>
      <c r="BB189" s="86"/>
      <c r="BC189" s="86"/>
    </row>
    <row r="190" spans="1:55">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c r="AP190" s="40"/>
      <c r="AQ190" s="40"/>
      <c r="AR190" s="40"/>
      <c r="AS190" s="40"/>
      <c r="AT190" s="40"/>
      <c r="AU190" s="40"/>
      <c r="AV190" s="40"/>
      <c r="AW190" s="86"/>
      <c r="AX190" s="86"/>
      <c r="AY190" s="86"/>
      <c r="AZ190" s="86"/>
      <c r="BA190" s="86"/>
      <c r="BB190" s="86"/>
      <c r="BC190" s="86"/>
    </row>
    <row r="191" spans="1:55">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c r="AP191" s="40"/>
      <c r="AQ191" s="40"/>
      <c r="AR191" s="40"/>
      <c r="AS191" s="40"/>
      <c r="AT191" s="40"/>
      <c r="AU191" s="40"/>
      <c r="AV191" s="40"/>
      <c r="AW191" s="86"/>
      <c r="AX191" s="86"/>
      <c r="AY191" s="86"/>
      <c r="AZ191" s="86"/>
      <c r="BA191" s="86"/>
      <c r="BB191" s="86"/>
      <c r="BC191" s="86"/>
    </row>
    <row r="192" spans="1:55">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c r="AA192" s="40"/>
      <c r="AB192" s="40"/>
      <c r="AC192" s="40"/>
      <c r="AD192" s="40"/>
      <c r="AE192" s="40"/>
      <c r="AF192" s="40"/>
      <c r="AG192" s="40"/>
      <c r="AH192" s="40"/>
      <c r="AI192" s="40"/>
      <c r="AJ192" s="40"/>
      <c r="AK192" s="40"/>
      <c r="AL192" s="40"/>
      <c r="AM192" s="40"/>
      <c r="AN192" s="40"/>
      <c r="AO192" s="40"/>
      <c r="AP192" s="40"/>
      <c r="AQ192" s="40"/>
      <c r="AR192" s="40"/>
      <c r="AS192" s="40"/>
      <c r="AT192" s="40"/>
      <c r="AU192" s="40"/>
      <c r="AV192" s="40"/>
      <c r="AW192" s="86"/>
      <c r="AX192" s="86"/>
      <c r="AY192" s="86"/>
      <c r="AZ192" s="86"/>
      <c r="BA192" s="86"/>
      <c r="BB192" s="86"/>
      <c r="BC192" s="86"/>
    </row>
    <row r="193" spans="1:55">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c r="AA193" s="40"/>
      <c r="AB193" s="40"/>
      <c r="AC193" s="40"/>
      <c r="AD193" s="40"/>
      <c r="AE193" s="40"/>
      <c r="AF193" s="40"/>
      <c r="AG193" s="40"/>
      <c r="AH193" s="40"/>
      <c r="AI193" s="40"/>
      <c r="AJ193" s="40"/>
      <c r="AK193" s="40"/>
      <c r="AL193" s="40"/>
      <c r="AM193" s="40"/>
      <c r="AN193" s="40"/>
      <c r="AO193" s="40"/>
      <c r="AP193" s="40"/>
      <c r="AQ193" s="40"/>
      <c r="AR193" s="40"/>
      <c r="AS193" s="40"/>
      <c r="AT193" s="40"/>
      <c r="AU193" s="40"/>
      <c r="AV193" s="40"/>
      <c r="AW193" s="86"/>
      <c r="AX193" s="86"/>
      <c r="AY193" s="86"/>
      <c r="AZ193" s="86"/>
      <c r="BA193" s="86"/>
      <c r="BB193" s="86"/>
      <c r="BC193" s="86"/>
    </row>
    <row r="194" spans="1:55">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c r="AA194" s="40"/>
      <c r="AB194" s="40"/>
      <c r="AC194" s="40"/>
      <c r="AD194" s="40"/>
      <c r="AE194" s="40"/>
      <c r="AF194" s="40"/>
      <c r="AG194" s="40"/>
      <c r="AH194" s="40"/>
      <c r="AI194" s="40"/>
      <c r="AJ194" s="40"/>
      <c r="AK194" s="40"/>
      <c r="AL194" s="40"/>
      <c r="AM194" s="40"/>
      <c r="AN194" s="40"/>
      <c r="AO194" s="40"/>
      <c r="AP194" s="40"/>
      <c r="AQ194" s="40"/>
      <c r="AR194" s="40"/>
      <c r="AS194" s="40"/>
      <c r="AT194" s="40"/>
      <c r="AU194" s="40"/>
      <c r="AV194" s="40"/>
      <c r="AW194" s="86"/>
      <c r="AX194" s="86"/>
      <c r="AY194" s="86"/>
      <c r="AZ194" s="86"/>
      <c r="BA194" s="86"/>
      <c r="BB194" s="86"/>
      <c r="BC194" s="86"/>
    </row>
    <row r="195" spans="1:5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c r="AA195" s="40"/>
      <c r="AB195" s="40"/>
      <c r="AC195" s="40"/>
      <c r="AD195" s="40"/>
      <c r="AE195" s="40"/>
      <c r="AF195" s="40"/>
      <c r="AG195" s="40"/>
      <c r="AH195" s="40"/>
      <c r="AI195" s="40"/>
      <c r="AJ195" s="40"/>
      <c r="AK195" s="40"/>
      <c r="AL195" s="40"/>
      <c r="AM195" s="40"/>
      <c r="AN195" s="40"/>
      <c r="AO195" s="40"/>
      <c r="AP195" s="40"/>
      <c r="AQ195" s="40"/>
      <c r="AR195" s="40"/>
      <c r="AS195" s="40"/>
      <c r="AT195" s="40"/>
      <c r="AU195" s="40"/>
      <c r="AV195" s="40"/>
      <c r="AW195" s="86"/>
      <c r="AX195" s="86"/>
      <c r="AY195" s="86"/>
      <c r="AZ195" s="86"/>
      <c r="BA195" s="86"/>
      <c r="BB195" s="86"/>
      <c r="BC195" s="86"/>
    </row>
    <row r="196" spans="1:55">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c r="AA196" s="40"/>
      <c r="AB196" s="40"/>
      <c r="AC196" s="40"/>
      <c r="AD196" s="40"/>
      <c r="AE196" s="40"/>
      <c r="AF196" s="40"/>
      <c r="AG196" s="40"/>
      <c r="AH196" s="40"/>
      <c r="AI196" s="40"/>
      <c r="AJ196" s="40"/>
      <c r="AK196" s="40"/>
      <c r="AL196" s="40"/>
      <c r="AM196" s="40"/>
      <c r="AN196" s="40"/>
      <c r="AO196" s="40"/>
      <c r="AP196" s="40"/>
      <c r="AQ196" s="40"/>
      <c r="AR196" s="40"/>
      <c r="AS196" s="40"/>
      <c r="AT196" s="40"/>
      <c r="AU196" s="40"/>
      <c r="AV196" s="40"/>
      <c r="AW196" s="86"/>
      <c r="AX196" s="86"/>
      <c r="AY196" s="86"/>
      <c r="AZ196" s="86"/>
      <c r="BA196" s="86"/>
      <c r="BB196" s="86"/>
      <c r="BC196" s="86"/>
    </row>
    <row r="197" spans="1:55">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c r="AA197" s="40"/>
      <c r="AB197" s="40"/>
      <c r="AC197" s="40"/>
      <c r="AD197" s="40"/>
      <c r="AE197" s="40"/>
      <c r="AF197" s="40"/>
      <c r="AG197" s="40"/>
      <c r="AH197" s="40"/>
      <c r="AI197" s="40"/>
      <c r="AJ197" s="40"/>
      <c r="AK197" s="40"/>
      <c r="AL197" s="40"/>
      <c r="AM197" s="40"/>
      <c r="AN197" s="40"/>
      <c r="AO197" s="40"/>
      <c r="AP197" s="40"/>
      <c r="AQ197" s="40"/>
      <c r="AR197" s="40"/>
      <c r="AS197" s="40"/>
      <c r="AT197" s="40"/>
      <c r="AU197" s="40"/>
      <c r="AV197" s="40"/>
      <c r="AW197" s="86"/>
      <c r="AX197" s="86"/>
      <c r="AY197" s="86"/>
      <c r="AZ197" s="86"/>
      <c r="BA197" s="86"/>
      <c r="BB197" s="86"/>
      <c r="BC197" s="86"/>
    </row>
    <row r="198" spans="1:55">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c r="AA198" s="40"/>
      <c r="AB198" s="40"/>
      <c r="AC198" s="40"/>
      <c r="AD198" s="40"/>
      <c r="AE198" s="40"/>
      <c r="AF198" s="40"/>
      <c r="AG198" s="40"/>
      <c r="AH198" s="40"/>
      <c r="AI198" s="40"/>
      <c r="AJ198" s="40"/>
      <c r="AK198" s="40"/>
      <c r="AL198" s="40"/>
      <c r="AM198" s="40"/>
      <c r="AN198" s="40"/>
      <c r="AO198" s="40"/>
      <c r="AP198" s="40"/>
      <c r="AQ198" s="40"/>
      <c r="AR198" s="40"/>
      <c r="AS198" s="40"/>
      <c r="AT198" s="40"/>
      <c r="AU198" s="40"/>
      <c r="AV198" s="40"/>
      <c r="AW198" s="86"/>
      <c r="AX198" s="86"/>
      <c r="AY198" s="86"/>
      <c r="AZ198" s="86"/>
      <c r="BA198" s="86"/>
      <c r="BB198" s="86"/>
      <c r="BC198" s="86"/>
    </row>
    <row r="199" spans="1:55">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c r="AA199" s="40"/>
      <c r="AB199" s="40"/>
      <c r="AC199" s="40"/>
      <c r="AD199" s="40"/>
      <c r="AE199" s="40"/>
      <c r="AF199" s="40"/>
      <c r="AG199" s="40"/>
      <c r="AH199" s="40"/>
      <c r="AI199" s="40"/>
      <c r="AJ199" s="40"/>
      <c r="AK199" s="40"/>
      <c r="AL199" s="40"/>
      <c r="AM199" s="40"/>
      <c r="AN199" s="40"/>
      <c r="AO199" s="40"/>
      <c r="AP199" s="40"/>
      <c r="AQ199" s="40"/>
      <c r="AR199" s="40"/>
      <c r="AS199" s="40"/>
      <c r="AT199" s="40"/>
      <c r="AU199" s="40"/>
      <c r="AV199" s="40"/>
      <c r="AW199" s="86"/>
      <c r="AX199" s="86"/>
      <c r="AY199" s="86"/>
      <c r="AZ199" s="86"/>
      <c r="BA199" s="86"/>
      <c r="BB199" s="86"/>
      <c r="BC199" s="86"/>
    </row>
    <row r="200" spans="1:55">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c r="AA200" s="40"/>
      <c r="AB200" s="40"/>
      <c r="AC200" s="40"/>
      <c r="AD200" s="40"/>
      <c r="AE200" s="40"/>
      <c r="AF200" s="40"/>
      <c r="AG200" s="40"/>
      <c r="AH200" s="40"/>
      <c r="AI200" s="40"/>
      <c r="AJ200" s="40"/>
      <c r="AK200" s="40"/>
      <c r="AL200" s="40"/>
      <c r="AM200" s="40"/>
      <c r="AN200" s="40"/>
      <c r="AO200" s="40"/>
      <c r="AP200" s="40"/>
      <c r="AQ200" s="40"/>
      <c r="AR200" s="40"/>
      <c r="AS200" s="40"/>
      <c r="AT200" s="40"/>
      <c r="AU200" s="40"/>
      <c r="AV200" s="40"/>
      <c r="AW200" s="86"/>
      <c r="AX200" s="86"/>
      <c r="AY200" s="86"/>
      <c r="AZ200" s="86"/>
      <c r="BA200" s="86"/>
      <c r="BB200" s="86"/>
      <c r="BC200" s="86"/>
    </row>
    <row r="201" spans="1:55">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c r="AA201" s="40"/>
      <c r="AB201" s="40"/>
      <c r="AC201" s="40"/>
      <c r="AD201" s="40"/>
      <c r="AE201" s="40"/>
      <c r="AF201" s="40"/>
      <c r="AG201" s="40"/>
      <c r="AH201" s="40"/>
      <c r="AI201" s="40"/>
      <c r="AJ201" s="40"/>
      <c r="AK201" s="40"/>
      <c r="AL201" s="40"/>
      <c r="AM201" s="40"/>
      <c r="AN201" s="40"/>
      <c r="AO201" s="40"/>
      <c r="AP201" s="40"/>
      <c r="AQ201" s="40"/>
      <c r="AR201" s="40"/>
      <c r="AS201" s="40"/>
      <c r="AT201" s="40"/>
      <c r="AU201" s="40"/>
      <c r="AV201" s="40"/>
      <c r="AW201" s="86"/>
      <c r="AX201" s="86"/>
      <c r="AY201" s="86"/>
      <c r="AZ201" s="86"/>
      <c r="BA201" s="86"/>
      <c r="BB201" s="86"/>
      <c r="BC201" s="86"/>
    </row>
    <row r="202" spans="1:55">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c r="AA202" s="40"/>
      <c r="AB202" s="40"/>
      <c r="AC202" s="40"/>
      <c r="AD202" s="40"/>
      <c r="AE202" s="40"/>
      <c r="AF202" s="40"/>
      <c r="AG202" s="40"/>
      <c r="AH202" s="40"/>
      <c r="AI202" s="40"/>
      <c r="AJ202" s="40"/>
      <c r="AK202" s="40"/>
      <c r="AL202" s="40"/>
      <c r="AM202" s="40"/>
      <c r="AN202" s="40"/>
      <c r="AO202" s="40"/>
      <c r="AP202" s="40"/>
      <c r="AQ202" s="40"/>
      <c r="AR202" s="40"/>
      <c r="AS202" s="40"/>
      <c r="AT202" s="40"/>
      <c r="AU202" s="40"/>
      <c r="AV202" s="40"/>
      <c r="AW202" s="86"/>
      <c r="AX202" s="86"/>
      <c r="AY202" s="86"/>
      <c r="AZ202" s="86"/>
      <c r="BA202" s="86"/>
      <c r="BB202" s="86"/>
      <c r="BC202" s="86"/>
    </row>
    <row r="203" spans="1:55">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c r="AA203" s="40"/>
      <c r="AB203" s="40"/>
      <c r="AC203" s="40"/>
      <c r="AD203" s="40"/>
      <c r="AE203" s="40"/>
      <c r="AF203" s="40"/>
      <c r="AG203" s="40"/>
      <c r="AH203" s="40"/>
      <c r="AI203" s="40"/>
      <c r="AJ203" s="40"/>
      <c r="AK203" s="40"/>
      <c r="AL203" s="40"/>
      <c r="AM203" s="40"/>
      <c r="AN203" s="40"/>
      <c r="AO203" s="40"/>
      <c r="AP203" s="40"/>
      <c r="AQ203" s="40"/>
      <c r="AR203" s="40"/>
      <c r="AS203" s="40"/>
      <c r="AT203" s="40"/>
      <c r="AU203" s="40"/>
      <c r="AV203" s="40"/>
      <c r="AW203" s="86"/>
      <c r="AX203" s="86"/>
      <c r="AY203" s="86"/>
      <c r="AZ203" s="86"/>
      <c r="BA203" s="86"/>
      <c r="BB203" s="86"/>
      <c r="BC203" s="86"/>
    </row>
    <row r="204" spans="1:55">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c r="AA204" s="40"/>
      <c r="AB204" s="40"/>
      <c r="AC204" s="40"/>
      <c r="AD204" s="40"/>
      <c r="AE204" s="40"/>
      <c r="AF204" s="40"/>
      <c r="AG204" s="40"/>
      <c r="AH204" s="40"/>
      <c r="AI204" s="40"/>
      <c r="AJ204" s="40"/>
      <c r="AK204" s="40"/>
      <c r="AL204" s="40"/>
      <c r="AM204" s="40"/>
      <c r="AN204" s="40"/>
      <c r="AO204" s="40"/>
      <c r="AP204" s="40"/>
      <c r="AQ204" s="40"/>
      <c r="AR204" s="40"/>
      <c r="AS204" s="40"/>
      <c r="AT204" s="40"/>
      <c r="AU204" s="40"/>
      <c r="AV204" s="40"/>
      <c r="AW204" s="86"/>
      <c r="AX204" s="86"/>
      <c r="AY204" s="86"/>
      <c r="AZ204" s="86"/>
      <c r="BA204" s="86"/>
      <c r="BB204" s="86"/>
      <c r="BC204" s="86"/>
    </row>
    <row r="205" spans="1:5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c r="AA205" s="40"/>
      <c r="AB205" s="40"/>
      <c r="AC205" s="40"/>
      <c r="AD205" s="40"/>
      <c r="AE205" s="40"/>
      <c r="AF205" s="40"/>
      <c r="AG205" s="40"/>
      <c r="AH205" s="40"/>
      <c r="AI205" s="40"/>
      <c r="AJ205" s="40"/>
      <c r="AK205" s="40"/>
      <c r="AL205" s="40"/>
      <c r="AM205" s="40"/>
      <c r="AN205" s="40"/>
      <c r="AO205" s="40"/>
      <c r="AP205" s="40"/>
      <c r="AQ205" s="40"/>
      <c r="AR205" s="40"/>
      <c r="AS205" s="40"/>
      <c r="AT205" s="40"/>
      <c r="AU205" s="40"/>
      <c r="AV205" s="40"/>
      <c r="AW205" s="86"/>
      <c r="AX205" s="86"/>
      <c r="AY205" s="86"/>
      <c r="AZ205" s="86"/>
      <c r="BA205" s="86"/>
      <c r="BB205" s="86"/>
      <c r="BC205" s="86"/>
    </row>
    <row r="206" spans="1:55">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c r="AA206" s="40"/>
      <c r="AB206" s="40"/>
      <c r="AC206" s="40"/>
      <c r="AD206" s="40"/>
      <c r="AE206" s="40"/>
      <c r="AF206" s="40"/>
      <c r="AG206" s="40"/>
      <c r="AH206" s="40"/>
      <c r="AI206" s="40"/>
      <c r="AJ206" s="40"/>
      <c r="AK206" s="40"/>
      <c r="AL206" s="40"/>
      <c r="AM206" s="40"/>
      <c r="AN206" s="40"/>
      <c r="AO206" s="40"/>
      <c r="AP206" s="40"/>
      <c r="AQ206" s="40"/>
      <c r="AR206" s="40"/>
      <c r="AS206" s="40"/>
      <c r="AT206" s="40"/>
      <c r="AU206" s="40"/>
      <c r="AV206" s="40"/>
      <c r="AW206" s="86"/>
      <c r="AX206" s="86"/>
      <c r="AY206" s="86"/>
      <c r="AZ206" s="86"/>
      <c r="BA206" s="86"/>
      <c r="BB206" s="86"/>
      <c r="BC206" s="86"/>
    </row>
    <row r="207" spans="1:55">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c r="AA207" s="40"/>
      <c r="AB207" s="40"/>
      <c r="AC207" s="40"/>
      <c r="AD207" s="40"/>
      <c r="AE207" s="40"/>
      <c r="AF207" s="40"/>
      <c r="AG207" s="40"/>
      <c r="AH207" s="40"/>
      <c r="AI207" s="40"/>
      <c r="AJ207" s="40"/>
      <c r="AK207" s="40"/>
      <c r="AL207" s="40"/>
      <c r="AM207" s="40"/>
      <c r="AN207" s="40"/>
      <c r="AO207" s="40"/>
      <c r="AP207" s="40"/>
      <c r="AQ207" s="40"/>
      <c r="AR207" s="40"/>
      <c r="AS207" s="40"/>
      <c r="AT207" s="40"/>
      <c r="AU207" s="40"/>
      <c r="AV207" s="40"/>
      <c r="AW207" s="86"/>
      <c r="AX207" s="86"/>
      <c r="AY207" s="86"/>
      <c r="AZ207" s="86"/>
      <c r="BA207" s="86"/>
      <c r="BB207" s="86"/>
      <c r="BC207" s="86"/>
    </row>
    <row r="208" spans="1:55">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c r="AA208" s="40"/>
      <c r="AB208" s="40"/>
      <c r="AC208" s="40"/>
      <c r="AD208" s="40"/>
      <c r="AE208" s="40"/>
      <c r="AF208" s="40"/>
      <c r="AG208" s="40"/>
      <c r="AH208" s="40"/>
      <c r="AI208" s="40"/>
      <c r="AJ208" s="40"/>
      <c r="AK208" s="40"/>
      <c r="AL208" s="40"/>
      <c r="AM208" s="40"/>
      <c r="AN208" s="40"/>
      <c r="AO208" s="40"/>
      <c r="AP208" s="40"/>
      <c r="AQ208" s="40"/>
      <c r="AR208" s="40"/>
      <c r="AS208" s="40"/>
      <c r="AT208" s="40"/>
      <c r="AU208" s="40"/>
      <c r="AV208" s="40"/>
      <c r="AW208" s="86"/>
      <c r="AX208" s="86"/>
      <c r="AY208" s="86"/>
      <c r="AZ208" s="86"/>
      <c r="BA208" s="86"/>
      <c r="BB208" s="86"/>
      <c r="BC208" s="86"/>
    </row>
    <row r="209" spans="1:55">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c r="AA209" s="40"/>
      <c r="AB209" s="40"/>
      <c r="AC209" s="40"/>
      <c r="AD209" s="40"/>
      <c r="AE209" s="40"/>
      <c r="AF209" s="40"/>
      <c r="AG209" s="40"/>
      <c r="AH209" s="40"/>
      <c r="AI209" s="40"/>
      <c r="AJ209" s="40"/>
      <c r="AK209" s="40"/>
      <c r="AL209" s="40"/>
      <c r="AM209" s="40"/>
      <c r="AN209" s="40"/>
      <c r="AO209" s="40"/>
      <c r="AP209" s="40"/>
      <c r="AQ209" s="40"/>
      <c r="AR209" s="40"/>
      <c r="AS209" s="40"/>
      <c r="AT209" s="40"/>
      <c r="AU209" s="40"/>
      <c r="AV209" s="40"/>
      <c r="AW209" s="86"/>
      <c r="AX209" s="86"/>
      <c r="AY209" s="86"/>
      <c r="AZ209" s="86"/>
      <c r="BA209" s="86"/>
      <c r="BB209" s="86"/>
      <c r="BC209" s="86"/>
    </row>
    <row r="210" spans="1:55">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c r="AA210" s="40"/>
      <c r="AB210" s="40"/>
      <c r="AC210" s="40"/>
      <c r="AD210" s="40"/>
      <c r="AE210" s="40"/>
      <c r="AF210" s="40"/>
      <c r="AG210" s="40"/>
      <c r="AH210" s="40"/>
      <c r="AI210" s="40"/>
      <c r="AJ210" s="40"/>
      <c r="AK210" s="40"/>
      <c r="AL210" s="40"/>
      <c r="AM210" s="40"/>
      <c r="AN210" s="40"/>
      <c r="AO210" s="40"/>
      <c r="AP210" s="40"/>
      <c r="AQ210" s="40"/>
      <c r="AR210" s="40"/>
      <c r="AS210" s="40"/>
      <c r="AT210" s="40"/>
      <c r="AU210" s="40"/>
      <c r="AV210" s="40"/>
      <c r="AW210" s="86"/>
      <c r="AX210" s="86"/>
      <c r="AY210" s="86"/>
      <c r="AZ210" s="86"/>
      <c r="BA210" s="86"/>
      <c r="BB210" s="86"/>
      <c r="BC210" s="86"/>
    </row>
    <row r="211" spans="1:55">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c r="AA211" s="40"/>
      <c r="AB211" s="40"/>
      <c r="AC211" s="40"/>
      <c r="AD211" s="40"/>
      <c r="AE211" s="40"/>
      <c r="AF211" s="40"/>
      <c r="AG211" s="40"/>
      <c r="AH211" s="40"/>
      <c r="AI211" s="40"/>
      <c r="AJ211" s="40"/>
      <c r="AK211" s="40"/>
      <c r="AL211" s="40"/>
      <c r="AM211" s="40"/>
      <c r="AN211" s="40"/>
      <c r="AO211" s="40"/>
      <c r="AP211" s="40"/>
      <c r="AQ211" s="40"/>
      <c r="AR211" s="40"/>
      <c r="AS211" s="40"/>
      <c r="AT211" s="40"/>
      <c r="AU211" s="40"/>
      <c r="AV211" s="40"/>
      <c r="AW211" s="86"/>
      <c r="AX211" s="86"/>
      <c r="AY211" s="86"/>
      <c r="AZ211" s="86"/>
      <c r="BA211" s="86"/>
      <c r="BB211" s="86"/>
      <c r="BC211" s="86"/>
    </row>
    <row r="212" spans="1:55">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c r="AI212" s="40"/>
      <c r="AJ212" s="40"/>
      <c r="AK212" s="40"/>
      <c r="AL212" s="40"/>
      <c r="AM212" s="40"/>
      <c r="AN212" s="40"/>
      <c r="AO212" s="40"/>
      <c r="AP212" s="40"/>
      <c r="AQ212" s="40"/>
      <c r="AR212" s="40"/>
      <c r="AS212" s="40"/>
      <c r="AT212" s="40"/>
      <c r="AU212" s="40"/>
      <c r="AV212" s="40"/>
      <c r="AW212" s="86"/>
      <c r="AX212" s="86"/>
      <c r="AY212" s="86"/>
      <c r="AZ212" s="86"/>
      <c r="BA212" s="86"/>
      <c r="BB212" s="86"/>
      <c r="BC212" s="86"/>
    </row>
    <row r="213" spans="1:55">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c r="AI213" s="40"/>
      <c r="AJ213" s="40"/>
      <c r="AK213" s="40"/>
      <c r="AL213" s="40"/>
      <c r="AM213" s="40"/>
      <c r="AN213" s="40"/>
      <c r="AO213" s="40"/>
      <c r="AP213" s="40"/>
      <c r="AQ213" s="40"/>
      <c r="AR213" s="40"/>
      <c r="AS213" s="40"/>
      <c r="AT213" s="40"/>
      <c r="AU213" s="40"/>
      <c r="AV213" s="40"/>
      <c r="AW213" s="86"/>
      <c r="AX213" s="86"/>
      <c r="AY213" s="86"/>
      <c r="AZ213" s="86"/>
      <c r="BA213" s="86"/>
      <c r="BB213" s="86"/>
      <c r="BC213" s="86"/>
    </row>
    <row r="214" spans="1:55">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c r="AI214" s="40"/>
      <c r="AJ214" s="40"/>
      <c r="AK214" s="40"/>
      <c r="AL214" s="40"/>
      <c r="AM214" s="40"/>
      <c r="AN214" s="40"/>
      <c r="AO214" s="40"/>
      <c r="AP214" s="40"/>
      <c r="AQ214" s="40"/>
      <c r="AR214" s="40"/>
      <c r="AS214" s="40"/>
      <c r="AT214" s="40"/>
      <c r="AU214" s="40"/>
      <c r="AV214" s="40"/>
      <c r="AW214" s="86"/>
      <c r="AX214" s="86"/>
      <c r="AY214" s="86"/>
      <c r="AZ214" s="86"/>
      <c r="BA214" s="86"/>
      <c r="BB214" s="86"/>
      <c r="BC214" s="86"/>
    </row>
    <row r="215" spans="1:5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c r="AA215" s="40"/>
      <c r="AB215" s="40"/>
      <c r="AC215" s="40"/>
      <c r="AD215" s="40"/>
      <c r="AE215" s="40"/>
      <c r="AF215" s="40"/>
      <c r="AG215" s="40"/>
      <c r="AH215" s="40"/>
      <c r="AI215" s="40"/>
      <c r="AJ215" s="40"/>
      <c r="AK215" s="40"/>
      <c r="AL215" s="40"/>
      <c r="AM215" s="40"/>
      <c r="AN215" s="40"/>
      <c r="AO215" s="40"/>
      <c r="AP215" s="40"/>
      <c r="AQ215" s="40"/>
      <c r="AR215" s="40"/>
      <c r="AS215" s="40"/>
      <c r="AT215" s="40"/>
      <c r="AU215" s="40"/>
      <c r="AV215" s="40"/>
      <c r="AW215" s="86"/>
      <c r="AX215" s="86"/>
      <c r="AY215" s="86"/>
      <c r="AZ215" s="86"/>
      <c r="BA215" s="86"/>
      <c r="BB215" s="86"/>
      <c r="BC215" s="86"/>
    </row>
    <row r="216" spans="1:55">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c r="AA216" s="40"/>
      <c r="AB216" s="40"/>
      <c r="AC216" s="40"/>
      <c r="AD216" s="40"/>
      <c r="AE216" s="40"/>
      <c r="AF216" s="40"/>
      <c r="AG216" s="40"/>
      <c r="AH216" s="40"/>
      <c r="AI216" s="40"/>
      <c r="AJ216" s="40"/>
      <c r="AK216" s="40"/>
      <c r="AL216" s="40"/>
      <c r="AM216" s="40"/>
      <c r="AN216" s="40"/>
      <c r="AO216" s="40"/>
      <c r="AP216" s="40"/>
      <c r="AQ216" s="40"/>
      <c r="AR216" s="40"/>
      <c r="AS216" s="40"/>
      <c r="AT216" s="40"/>
      <c r="AU216" s="40"/>
      <c r="AV216" s="40"/>
      <c r="AW216" s="86"/>
      <c r="AX216" s="86"/>
      <c r="AY216" s="86"/>
      <c r="AZ216" s="86"/>
      <c r="BA216" s="86"/>
      <c r="BB216" s="86"/>
      <c r="BC216" s="86"/>
    </row>
    <row r="217" spans="1:55">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c r="AA217" s="40"/>
      <c r="AB217" s="40"/>
      <c r="AC217" s="40"/>
      <c r="AD217" s="40"/>
      <c r="AE217" s="40"/>
      <c r="AF217" s="40"/>
      <c r="AG217" s="40"/>
      <c r="AH217" s="40"/>
      <c r="AI217" s="40"/>
      <c r="AJ217" s="40"/>
      <c r="AK217" s="40"/>
      <c r="AL217" s="40"/>
      <c r="AM217" s="40"/>
      <c r="AN217" s="40"/>
      <c r="AO217" s="40"/>
      <c r="AP217" s="40"/>
      <c r="AQ217" s="40"/>
      <c r="AR217" s="40"/>
      <c r="AS217" s="40"/>
      <c r="AT217" s="40"/>
      <c r="AU217" s="40"/>
      <c r="AV217" s="40"/>
      <c r="AW217" s="86"/>
      <c r="AX217" s="86"/>
      <c r="AY217" s="86"/>
      <c r="AZ217" s="86"/>
      <c r="BA217" s="86"/>
      <c r="BB217" s="86"/>
      <c r="BC217" s="86"/>
    </row>
    <row r="218" spans="1:55">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40"/>
      <c r="AI218" s="40"/>
      <c r="AJ218" s="40"/>
      <c r="AK218" s="40"/>
      <c r="AL218" s="40"/>
      <c r="AM218" s="40"/>
      <c r="AN218" s="40"/>
      <c r="AO218" s="40"/>
      <c r="AP218" s="40"/>
      <c r="AQ218" s="40"/>
      <c r="AR218" s="40"/>
      <c r="AS218" s="40"/>
      <c r="AT218" s="40"/>
      <c r="AU218" s="40"/>
      <c r="AV218" s="40"/>
      <c r="AW218" s="86"/>
      <c r="AX218" s="86"/>
      <c r="AY218" s="86"/>
      <c r="AZ218" s="86"/>
      <c r="BA218" s="86"/>
      <c r="BB218" s="86"/>
      <c r="BC218" s="86"/>
    </row>
    <row r="219" spans="1:55">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c r="AA219" s="40"/>
      <c r="AB219" s="40"/>
      <c r="AC219" s="40"/>
      <c r="AD219" s="40"/>
      <c r="AE219" s="40"/>
      <c r="AF219" s="40"/>
      <c r="AG219" s="40"/>
      <c r="AH219" s="40"/>
      <c r="AI219" s="40"/>
      <c r="AJ219" s="40"/>
      <c r="AK219" s="40"/>
      <c r="AL219" s="40"/>
      <c r="AM219" s="40"/>
      <c r="AN219" s="40"/>
      <c r="AO219" s="40"/>
      <c r="AP219" s="40"/>
      <c r="AQ219" s="40"/>
      <c r="AR219" s="40"/>
      <c r="AS219" s="40"/>
      <c r="AT219" s="40"/>
      <c r="AU219" s="40"/>
      <c r="AV219" s="40"/>
      <c r="AW219" s="86"/>
      <c r="AX219" s="86"/>
      <c r="AY219" s="86"/>
      <c r="AZ219" s="86"/>
      <c r="BA219" s="86"/>
      <c r="BB219" s="86"/>
      <c r="BC219" s="86"/>
    </row>
    <row r="220" spans="1:55">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c r="AA220" s="40"/>
      <c r="AB220" s="40"/>
      <c r="AC220" s="40"/>
      <c r="AD220" s="40"/>
      <c r="AE220" s="40"/>
      <c r="AF220" s="40"/>
      <c r="AG220" s="40"/>
      <c r="AH220" s="40"/>
      <c r="AI220" s="40"/>
      <c r="AJ220" s="40"/>
      <c r="AK220" s="40"/>
      <c r="AL220" s="40"/>
      <c r="AM220" s="40"/>
      <c r="AN220" s="40"/>
      <c r="AO220" s="40"/>
      <c r="AP220" s="40"/>
      <c r="AQ220" s="40"/>
      <c r="AR220" s="40"/>
      <c r="AS220" s="40"/>
      <c r="AT220" s="40"/>
      <c r="AU220" s="40"/>
      <c r="AV220" s="40"/>
      <c r="AW220" s="86"/>
      <c r="AX220" s="86"/>
      <c r="AY220" s="86"/>
      <c r="AZ220" s="86"/>
      <c r="BA220" s="86"/>
      <c r="BB220" s="86"/>
      <c r="BC220" s="86"/>
    </row>
    <row r="221" spans="1:55">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c r="AA221" s="40"/>
      <c r="AB221" s="40"/>
      <c r="AC221" s="40"/>
      <c r="AD221" s="40"/>
      <c r="AE221" s="40"/>
      <c r="AF221" s="40"/>
      <c r="AG221" s="40"/>
      <c r="AH221" s="40"/>
      <c r="AI221" s="40"/>
      <c r="AJ221" s="40"/>
      <c r="AK221" s="40"/>
      <c r="AL221" s="40"/>
      <c r="AM221" s="40"/>
      <c r="AN221" s="40"/>
      <c r="AO221" s="40"/>
      <c r="AP221" s="40"/>
      <c r="AQ221" s="40"/>
      <c r="AR221" s="40"/>
      <c r="AS221" s="40"/>
      <c r="AT221" s="40"/>
      <c r="AU221" s="40"/>
      <c r="AV221" s="40"/>
      <c r="AW221" s="86"/>
      <c r="AX221" s="86"/>
      <c r="AY221" s="86"/>
      <c r="AZ221" s="86"/>
      <c r="BA221" s="86"/>
      <c r="BB221" s="86"/>
      <c r="BC221" s="86"/>
    </row>
    <row r="222" spans="1:55">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c r="AA222" s="40"/>
      <c r="AB222" s="40"/>
      <c r="AC222" s="40"/>
      <c r="AD222" s="40"/>
      <c r="AE222" s="40"/>
      <c r="AF222" s="40"/>
      <c r="AG222" s="40"/>
      <c r="AH222" s="40"/>
      <c r="AI222" s="40"/>
      <c r="AJ222" s="40"/>
      <c r="AK222" s="40"/>
      <c r="AL222" s="40"/>
      <c r="AM222" s="40"/>
      <c r="AN222" s="40"/>
      <c r="AO222" s="40"/>
      <c r="AP222" s="40"/>
      <c r="AQ222" s="40"/>
      <c r="AR222" s="40"/>
      <c r="AS222" s="40"/>
      <c r="AT222" s="40"/>
      <c r="AU222" s="40"/>
      <c r="AV222" s="40"/>
      <c r="AW222" s="86"/>
      <c r="AX222" s="86"/>
      <c r="AY222" s="86"/>
      <c r="AZ222" s="86"/>
      <c r="BA222" s="86"/>
      <c r="BB222" s="86"/>
      <c r="BC222" s="86"/>
    </row>
    <row r="223" spans="1:55">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c r="AA223" s="40"/>
      <c r="AB223" s="40"/>
      <c r="AC223" s="40"/>
      <c r="AD223" s="40"/>
      <c r="AE223" s="40"/>
      <c r="AF223" s="40"/>
      <c r="AG223" s="40"/>
      <c r="AH223" s="40"/>
      <c r="AI223" s="40"/>
      <c r="AJ223" s="40"/>
      <c r="AK223" s="40"/>
      <c r="AL223" s="40"/>
      <c r="AM223" s="40"/>
      <c r="AN223" s="40"/>
      <c r="AO223" s="40"/>
      <c r="AP223" s="40"/>
      <c r="AQ223" s="40"/>
      <c r="AR223" s="40"/>
      <c r="AS223" s="40"/>
      <c r="AT223" s="40"/>
      <c r="AU223" s="40"/>
      <c r="AV223" s="40"/>
      <c r="AW223" s="86"/>
      <c r="AX223" s="86"/>
      <c r="AY223" s="86"/>
      <c r="AZ223" s="86"/>
      <c r="BA223" s="86"/>
      <c r="BB223" s="86"/>
      <c r="BC223" s="86"/>
    </row>
    <row r="224" spans="1:55">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c r="AA224" s="40"/>
      <c r="AB224" s="40"/>
      <c r="AC224" s="40"/>
      <c r="AD224" s="40"/>
      <c r="AE224" s="40"/>
      <c r="AF224" s="40"/>
      <c r="AG224" s="40"/>
      <c r="AH224" s="40"/>
      <c r="AI224" s="40"/>
      <c r="AJ224" s="40"/>
      <c r="AK224" s="40"/>
      <c r="AL224" s="40"/>
      <c r="AM224" s="40"/>
      <c r="AN224" s="40"/>
      <c r="AO224" s="40"/>
      <c r="AP224" s="40"/>
      <c r="AQ224" s="40"/>
      <c r="AR224" s="40"/>
      <c r="AS224" s="40"/>
      <c r="AT224" s="40"/>
      <c r="AU224" s="40"/>
      <c r="AV224" s="40"/>
      <c r="AW224" s="86"/>
      <c r="AX224" s="86"/>
      <c r="AY224" s="86"/>
      <c r="AZ224" s="86"/>
      <c r="BA224" s="86"/>
      <c r="BB224" s="86"/>
      <c r="BC224" s="86"/>
    </row>
    <row r="225" spans="1:5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c r="AA225" s="40"/>
      <c r="AB225" s="40"/>
      <c r="AC225" s="40"/>
      <c r="AD225" s="40"/>
      <c r="AE225" s="40"/>
      <c r="AF225" s="40"/>
      <c r="AG225" s="40"/>
      <c r="AH225" s="40"/>
      <c r="AI225" s="40"/>
      <c r="AJ225" s="40"/>
      <c r="AK225" s="40"/>
      <c r="AL225" s="40"/>
      <c r="AM225" s="40"/>
      <c r="AN225" s="40"/>
      <c r="AO225" s="40"/>
      <c r="AP225" s="40"/>
      <c r="AQ225" s="40"/>
      <c r="AR225" s="40"/>
      <c r="AS225" s="40"/>
      <c r="AT225" s="40"/>
      <c r="AU225" s="40"/>
      <c r="AV225" s="40"/>
      <c r="AW225" s="86"/>
      <c r="AX225" s="86"/>
      <c r="AY225" s="86"/>
      <c r="AZ225" s="86"/>
      <c r="BA225" s="86"/>
      <c r="BB225" s="86"/>
      <c r="BC225" s="86"/>
    </row>
    <row r="226" spans="1:55">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c r="AA226" s="40"/>
      <c r="AB226" s="40"/>
      <c r="AC226" s="40"/>
      <c r="AD226" s="40"/>
      <c r="AE226" s="40"/>
      <c r="AF226" s="40"/>
      <c r="AG226" s="40"/>
      <c r="AH226" s="40"/>
      <c r="AI226" s="40"/>
      <c r="AJ226" s="40"/>
      <c r="AK226" s="40"/>
      <c r="AL226" s="40"/>
      <c r="AM226" s="40"/>
      <c r="AN226" s="40"/>
      <c r="AO226" s="40"/>
      <c r="AP226" s="40"/>
      <c r="AQ226" s="40"/>
      <c r="AR226" s="40"/>
      <c r="AS226" s="40"/>
      <c r="AT226" s="40"/>
      <c r="AU226" s="40"/>
      <c r="AV226" s="40"/>
      <c r="AW226" s="86"/>
      <c r="AX226" s="86"/>
      <c r="AY226" s="86"/>
      <c r="AZ226" s="86"/>
      <c r="BA226" s="86"/>
      <c r="BB226" s="86"/>
      <c r="BC226" s="86"/>
    </row>
    <row r="227" spans="1:55">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c r="AA227" s="40"/>
      <c r="AB227" s="40"/>
      <c r="AC227" s="40"/>
      <c r="AD227" s="40"/>
      <c r="AE227" s="40"/>
      <c r="AF227" s="40"/>
      <c r="AG227" s="40"/>
      <c r="AH227" s="40"/>
      <c r="AI227" s="40"/>
      <c r="AJ227" s="40"/>
      <c r="AK227" s="40"/>
      <c r="AL227" s="40"/>
      <c r="AM227" s="40"/>
      <c r="AN227" s="40"/>
      <c r="AO227" s="40"/>
      <c r="AP227" s="40"/>
      <c r="AQ227" s="40"/>
      <c r="AR227" s="40"/>
      <c r="AS227" s="40"/>
      <c r="AT227" s="40"/>
      <c r="AU227" s="40"/>
      <c r="AV227" s="40"/>
      <c r="AW227" s="86"/>
      <c r="AX227" s="86"/>
      <c r="AY227" s="86"/>
      <c r="AZ227" s="86"/>
      <c r="BA227" s="86"/>
      <c r="BB227" s="86"/>
      <c r="BC227" s="86"/>
    </row>
    <row r="228" spans="1:55">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c r="AA228" s="40"/>
      <c r="AB228" s="40"/>
      <c r="AC228" s="40"/>
      <c r="AD228" s="40"/>
      <c r="AE228" s="40"/>
      <c r="AF228" s="40"/>
      <c r="AG228" s="40"/>
      <c r="AH228" s="40"/>
      <c r="AI228" s="40"/>
      <c r="AJ228" s="40"/>
      <c r="AK228" s="40"/>
      <c r="AL228" s="40"/>
      <c r="AM228" s="40"/>
      <c r="AN228" s="40"/>
      <c r="AO228" s="40"/>
      <c r="AP228" s="40"/>
      <c r="AQ228" s="40"/>
      <c r="AR228" s="40"/>
      <c r="AS228" s="40"/>
      <c r="AT228" s="40"/>
      <c r="AU228" s="40"/>
      <c r="AV228" s="40"/>
      <c r="AW228" s="86"/>
      <c r="AX228" s="86"/>
      <c r="AY228" s="86"/>
      <c r="AZ228" s="86"/>
      <c r="BA228" s="86"/>
      <c r="BB228" s="86"/>
      <c r="BC228" s="86"/>
    </row>
    <row r="229" spans="1:55">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c r="AA229" s="40"/>
      <c r="AB229" s="40"/>
      <c r="AC229" s="40"/>
      <c r="AD229" s="40"/>
      <c r="AE229" s="40"/>
      <c r="AF229" s="40"/>
      <c r="AG229" s="40"/>
      <c r="AH229" s="40"/>
      <c r="AI229" s="40"/>
      <c r="AJ229" s="40"/>
      <c r="AK229" s="40"/>
      <c r="AL229" s="40"/>
      <c r="AM229" s="40"/>
      <c r="AN229" s="40"/>
      <c r="AO229" s="40"/>
      <c r="AP229" s="40"/>
      <c r="AQ229" s="40"/>
      <c r="AR229" s="40"/>
      <c r="AS229" s="40"/>
      <c r="AT229" s="40"/>
      <c r="AU229" s="40"/>
      <c r="AV229" s="40"/>
      <c r="AW229" s="86"/>
      <c r="AX229" s="86"/>
      <c r="AY229" s="86"/>
      <c r="AZ229" s="86"/>
      <c r="BA229" s="86"/>
      <c r="BB229" s="86"/>
      <c r="BC229" s="86"/>
    </row>
    <row r="230" spans="1:55">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c r="AA230" s="40"/>
      <c r="AB230" s="40"/>
      <c r="AC230" s="40"/>
      <c r="AD230" s="40"/>
      <c r="AE230" s="40"/>
      <c r="AF230" s="40"/>
      <c r="AG230" s="40"/>
      <c r="AH230" s="40"/>
      <c r="AI230" s="40"/>
      <c r="AJ230" s="40"/>
      <c r="AK230" s="40"/>
      <c r="AL230" s="40"/>
      <c r="AM230" s="40"/>
      <c r="AN230" s="40"/>
      <c r="AO230" s="40"/>
      <c r="AP230" s="40"/>
      <c r="AQ230" s="40"/>
      <c r="AR230" s="40"/>
      <c r="AS230" s="40"/>
      <c r="AT230" s="40"/>
      <c r="AU230" s="40"/>
      <c r="AV230" s="40"/>
      <c r="AW230" s="86"/>
      <c r="AX230" s="86"/>
      <c r="AY230" s="86"/>
      <c r="AZ230" s="86"/>
      <c r="BA230" s="86"/>
      <c r="BB230" s="86"/>
      <c r="BC230" s="86"/>
    </row>
    <row r="231" spans="1:55">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c r="AA231" s="40"/>
      <c r="AB231" s="40"/>
      <c r="AC231" s="40"/>
      <c r="AD231" s="40"/>
      <c r="AE231" s="40"/>
      <c r="AF231" s="40"/>
      <c r="AG231" s="40"/>
      <c r="AH231" s="40"/>
      <c r="AI231" s="40"/>
      <c r="AJ231" s="40"/>
      <c r="AK231" s="40"/>
      <c r="AL231" s="40"/>
      <c r="AM231" s="40"/>
      <c r="AN231" s="40"/>
      <c r="AO231" s="40"/>
      <c r="AP231" s="40"/>
      <c r="AQ231" s="40"/>
      <c r="AR231" s="40"/>
      <c r="AS231" s="40"/>
      <c r="AT231" s="40"/>
      <c r="AU231" s="40"/>
      <c r="AV231" s="40"/>
      <c r="AW231" s="86"/>
      <c r="AX231" s="86"/>
      <c r="AY231" s="86"/>
      <c r="AZ231" s="86"/>
      <c r="BA231" s="86"/>
      <c r="BB231" s="86"/>
      <c r="BC231" s="86"/>
    </row>
    <row r="232" spans="1:55">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c r="AA232" s="40"/>
      <c r="AB232" s="40"/>
      <c r="AC232" s="40"/>
      <c r="AD232" s="40"/>
      <c r="AE232" s="40"/>
      <c r="AF232" s="40"/>
      <c r="AG232" s="40"/>
      <c r="AH232" s="40"/>
      <c r="AI232" s="40"/>
      <c r="AJ232" s="40"/>
      <c r="AK232" s="40"/>
      <c r="AL232" s="40"/>
      <c r="AM232" s="40"/>
      <c r="AN232" s="40"/>
      <c r="AO232" s="40"/>
      <c r="AP232" s="40"/>
      <c r="AQ232" s="40"/>
      <c r="AR232" s="40"/>
      <c r="AS232" s="40"/>
      <c r="AT232" s="40"/>
      <c r="AU232" s="40"/>
      <c r="AV232" s="40"/>
      <c r="AW232" s="86"/>
      <c r="AX232" s="86"/>
      <c r="AY232" s="86"/>
      <c r="AZ232" s="86"/>
      <c r="BA232" s="86"/>
      <c r="BB232" s="86"/>
      <c r="BC232" s="86"/>
    </row>
    <row r="233" spans="1:55">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c r="AA233" s="40"/>
      <c r="AB233" s="40"/>
      <c r="AC233" s="40"/>
      <c r="AD233" s="40"/>
      <c r="AE233" s="40"/>
      <c r="AF233" s="40"/>
      <c r="AG233" s="40"/>
      <c r="AH233" s="40"/>
      <c r="AI233" s="40"/>
      <c r="AJ233" s="40"/>
      <c r="AK233" s="40"/>
      <c r="AL233" s="40"/>
      <c r="AM233" s="40"/>
      <c r="AN233" s="40"/>
      <c r="AO233" s="40"/>
      <c r="AP233" s="40"/>
      <c r="AQ233" s="40"/>
      <c r="AR233" s="40"/>
      <c r="AS233" s="40"/>
      <c r="AT233" s="40"/>
      <c r="AU233" s="40"/>
      <c r="AV233" s="40"/>
      <c r="AW233" s="86"/>
      <c r="AX233" s="86"/>
      <c r="AY233" s="86"/>
      <c r="AZ233" s="86"/>
      <c r="BA233" s="86"/>
      <c r="BB233" s="86"/>
      <c r="BC233" s="86"/>
    </row>
    <row r="234" spans="1:55">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c r="AA234" s="40"/>
      <c r="AB234" s="40"/>
      <c r="AC234" s="40"/>
      <c r="AD234" s="40"/>
      <c r="AE234" s="40"/>
      <c r="AF234" s="40"/>
      <c r="AG234" s="40"/>
      <c r="AH234" s="40"/>
      <c r="AI234" s="40"/>
      <c r="AJ234" s="40"/>
      <c r="AK234" s="40"/>
      <c r="AL234" s="40"/>
      <c r="AM234" s="40"/>
      <c r="AN234" s="40"/>
      <c r="AO234" s="40"/>
      <c r="AP234" s="40"/>
      <c r="AQ234" s="40"/>
      <c r="AR234" s="40"/>
      <c r="AS234" s="40"/>
      <c r="AT234" s="40"/>
      <c r="AU234" s="40"/>
      <c r="AV234" s="40"/>
      <c r="AW234" s="86"/>
      <c r="AX234" s="86"/>
      <c r="AY234" s="86"/>
      <c r="AZ234" s="86"/>
      <c r="BA234" s="86"/>
      <c r="BB234" s="86"/>
      <c r="BC234" s="86"/>
    </row>
    <row r="235" spans="1:5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c r="AA235" s="40"/>
      <c r="AB235" s="40"/>
      <c r="AC235" s="40"/>
      <c r="AD235" s="40"/>
      <c r="AE235" s="40"/>
      <c r="AF235" s="40"/>
      <c r="AG235" s="40"/>
      <c r="AH235" s="40"/>
      <c r="AI235" s="40"/>
      <c r="AJ235" s="40"/>
      <c r="AK235" s="40"/>
      <c r="AL235" s="40"/>
      <c r="AM235" s="40"/>
      <c r="AN235" s="40"/>
      <c r="AO235" s="40"/>
      <c r="AP235" s="40"/>
      <c r="AQ235" s="40"/>
      <c r="AR235" s="40"/>
      <c r="AS235" s="40"/>
      <c r="AT235" s="40"/>
      <c r="AU235" s="40"/>
      <c r="AV235" s="40"/>
      <c r="AW235" s="86"/>
      <c r="AX235" s="86"/>
      <c r="AY235" s="86"/>
      <c r="AZ235" s="86"/>
      <c r="BA235" s="86"/>
      <c r="BB235" s="86"/>
      <c r="BC235" s="86"/>
    </row>
    <row r="236" spans="1:55">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c r="AA236" s="40"/>
      <c r="AB236" s="40"/>
      <c r="AC236" s="40"/>
      <c r="AD236" s="40"/>
      <c r="AE236" s="40"/>
      <c r="AF236" s="40"/>
      <c r="AG236" s="40"/>
      <c r="AH236" s="40"/>
      <c r="AI236" s="40"/>
      <c r="AJ236" s="40"/>
      <c r="AK236" s="40"/>
      <c r="AL236" s="40"/>
      <c r="AM236" s="40"/>
      <c r="AN236" s="40"/>
      <c r="AO236" s="40"/>
      <c r="AP236" s="40"/>
      <c r="AQ236" s="40"/>
      <c r="AR236" s="40"/>
      <c r="AS236" s="40"/>
      <c r="AT236" s="40"/>
      <c r="AU236" s="40"/>
      <c r="AV236" s="40"/>
      <c r="AW236" s="86"/>
      <c r="AX236" s="86"/>
      <c r="AY236" s="86"/>
      <c r="AZ236" s="86"/>
      <c r="BA236" s="86"/>
      <c r="BB236" s="86"/>
      <c r="BC236" s="86"/>
    </row>
    <row r="237" spans="1:55">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c r="AA237" s="40"/>
      <c r="AB237" s="40"/>
      <c r="AC237" s="40"/>
      <c r="AD237" s="40"/>
      <c r="AE237" s="40"/>
      <c r="AF237" s="40"/>
      <c r="AG237" s="40"/>
      <c r="AH237" s="40"/>
      <c r="AI237" s="40"/>
      <c r="AJ237" s="40"/>
      <c r="AK237" s="40"/>
      <c r="AL237" s="40"/>
      <c r="AM237" s="40"/>
      <c r="AN237" s="40"/>
      <c r="AO237" s="40"/>
      <c r="AP237" s="40"/>
      <c r="AQ237" s="40"/>
      <c r="AR237" s="40"/>
      <c r="AS237" s="40"/>
      <c r="AT237" s="40"/>
      <c r="AU237" s="40"/>
      <c r="AV237" s="40"/>
      <c r="AW237" s="86"/>
      <c r="AX237" s="86"/>
      <c r="AY237" s="86"/>
      <c r="AZ237" s="86"/>
      <c r="BA237" s="86"/>
      <c r="BB237" s="86"/>
      <c r="BC237" s="86"/>
    </row>
    <row r="238" spans="1:55">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c r="AA238" s="40"/>
      <c r="AB238" s="40"/>
      <c r="AC238" s="40"/>
      <c r="AD238" s="40"/>
      <c r="AE238" s="40"/>
      <c r="AF238" s="40"/>
      <c r="AG238" s="40"/>
      <c r="AH238" s="40"/>
      <c r="AI238" s="40"/>
      <c r="AJ238" s="40"/>
      <c r="AK238" s="40"/>
      <c r="AL238" s="40"/>
      <c r="AM238" s="40"/>
      <c r="AN238" s="40"/>
      <c r="AO238" s="40"/>
      <c r="AP238" s="40"/>
      <c r="AQ238" s="40"/>
      <c r="AR238" s="40"/>
      <c r="AS238" s="40"/>
      <c r="AT238" s="40"/>
      <c r="AU238" s="40"/>
      <c r="AV238" s="40"/>
      <c r="AW238" s="86"/>
      <c r="AX238" s="86"/>
      <c r="AY238" s="86"/>
      <c r="AZ238" s="86"/>
      <c r="BA238" s="86"/>
      <c r="BB238" s="86"/>
      <c r="BC238" s="86"/>
    </row>
    <row r="239" spans="1:55">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c r="AA239" s="40"/>
      <c r="AB239" s="40"/>
      <c r="AC239" s="40"/>
      <c r="AD239" s="40"/>
      <c r="AE239" s="40"/>
      <c r="AF239" s="40"/>
      <c r="AG239" s="40"/>
      <c r="AH239" s="40"/>
      <c r="AI239" s="40"/>
      <c r="AJ239" s="40"/>
      <c r="AK239" s="40"/>
      <c r="AL239" s="40"/>
      <c r="AM239" s="40"/>
      <c r="AN239" s="40"/>
      <c r="AO239" s="40"/>
      <c r="AP239" s="40"/>
      <c r="AQ239" s="40"/>
      <c r="AR239" s="40"/>
      <c r="AS239" s="40"/>
      <c r="AT239" s="40"/>
      <c r="AU239" s="40"/>
      <c r="AV239" s="40"/>
      <c r="AW239" s="86"/>
      <c r="AX239" s="86"/>
      <c r="AY239" s="86"/>
      <c r="AZ239" s="86"/>
      <c r="BA239" s="86"/>
      <c r="BB239" s="86"/>
      <c r="BC239" s="86"/>
    </row>
    <row r="240" spans="1:55">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c r="AA240" s="40"/>
      <c r="AB240" s="40"/>
      <c r="AC240" s="40"/>
      <c r="AD240" s="40"/>
      <c r="AE240" s="40"/>
      <c r="AF240" s="40"/>
      <c r="AG240" s="40"/>
      <c r="AH240" s="40"/>
      <c r="AI240" s="40"/>
      <c r="AJ240" s="40"/>
      <c r="AK240" s="40"/>
      <c r="AL240" s="40"/>
      <c r="AM240" s="40"/>
      <c r="AN240" s="40"/>
      <c r="AO240" s="40"/>
      <c r="AP240" s="40"/>
      <c r="AQ240" s="40"/>
      <c r="AR240" s="40"/>
      <c r="AS240" s="40"/>
      <c r="AT240" s="40"/>
      <c r="AU240" s="40"/>
      <c r="AV240" s="40"/>
      <c r="AW240" s="86"/>
      <c r="AX240" s="86"/>
      <c r="AY240" s="86"/>
      <c r="AZ240" s="86"/>
      <c r="BA240" s="86"/>
      <c r="BB240" s="86"/>
      <c r="BC240" s="86"/>
    </row>
    <row r="241" spans="1:55">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c r="AA241" s="40"/>
      <c r="AB241" s="40"/>
      <c r="AC241" s="40"/>
      <c r="AD241" s="40"/>
      <c r="AE241" s="40"/>
      <c r="AF241" s="40"/>
      <c r="AG241" s="40"/>
      <c r="AH241" s="40"/>
      <c r="AI241" s="40"/>
      <c r="AJ241" s="40"/>
      <c r="AK241" s="40"/>
      <c r="AL241" s="40"/>
      <c r="AM241" s="40"/>
      <c r="AN241" s="40"/>
      <c r="AO241" s="40"/>
      <c r="AP241" s="40"/>
      <c r="AQ241" s="40"/>
      <c r="AR241" s="40"/>
      <c r="AS241" s="40"/>
      <c r="AT241" s="40"/>
      <c r="AU241" s="40"/>
      <c r="AV241" s="40"/>
      <c r="AW241" s="86"/>
      <c r="AX241" s="86"/>
      <c r="AY241" s="86"/>
      <c r="AZ241" s="86"/>
      <c r="BA241" s="86"/>
      <c r="BB241" s="86"/>
      <c r="BC241" s="86"/>
    </row>
    <row r="242" spans="1:55">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c r="AA242" s="40"/>
      <c r="AB242" s="40"/>
      <c r="AC242" s="40"/>
      <c r="AD242" s="40"/>
      <c r="AE242" s="40"/>
      <c r="AF242" s="40"/>
      <c r="AG242" s="40"/>
      <c r="AH242" s="40"/>
      <c r="AI242" s="40"/>
      <c r="AJ242" s="40"/>
      <c r="AK242" s="40"/>
      <c r="AL242" s="40"/>
      <c r="AM242" s="40"/>
      <c r="AN242" s="40"/>
      <c r="AO242" s="40"/>
      <c r="AP242" s="40"/>
      <c r="AQ242" s="40"/>
      <c r="AR242" s="40"/>
      <c r="AS242" s="40"/>
      <c r="AT242" s="40"/>
      <c r="AU242" s="40"/>
      <c r="AV242" s="40"/>
      <c r="AW242" s="86"/>
      <c r="AX242" s="86"/>
      <c r="AY242" s="86"/>
      <c r="AZ242" s="86"/>
      <c r="BA242" s="86"/>
      <c r="BB242" s="86"/>
      <c r="BC242" s="86"/>
    </row>
    <row r="243" spans="1:55">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c r="AA243" s="40"/>
      <c r="AB243" s="40"/>
      <c r="AC243" s="40"/>
      <c r="AD243" s="40"/>
      <c r="AE243" s="40"/>
      <c r="AF243" s="40"/>
      <c r="AG243" s="40"/>
      <c r="AH243" s="40"/>
      <c r="AI243" s="40"/>
      <c r="AJ243" s="40"/>
      <c r="AK243" s="40"/>
      <c r="AL243" s="40"/>
      <c r="AM243" s="40"/>
      <c r="AN243" s="40"/>
      <c r="AO243" s="40"/>
      <c r="AP243" s="40"/>
      <c r="AQ243" s="40"/>
      <c r="AR243" s="40"/>
      <c r="AS243" s="40"/>
      <c r="AT243" s="40"/>
      <c r="AU243" s="40"/>
      <c r="AV243" s="40"/>
      <c r="AW243" s="86"/>
      <c r="AX243" s="86"/>
      <c r="AY243" s="86"/>
      <c r="AZ243" s="86"/>
      <c r="BA243" s="86"/>
      <c r="BB243" s="86"/>
      <c r="BC243" s="86"/>
    </row>
    <row r="244" spans="1:55">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c r="AA244" s="40"/>
      <c r="AB244" s="40"/>
      <c r="AC244" s="40"/>
      <c r="AD244" s="40"/>
      <c r="AE244" s="40"/>
      <c r="AF244" s="40"/>
      <c r="AG244" s="40"/>
      <c r="AH244" s="40"/>
      <c r="AI244" s="40"/>
      <c r="AJ244" s="40"/>
      <c r="AK244" s="40"/>
      <c r="AL244" s="40"/>
      <c r="AM244" s="40"/>
      <c r="AN244" s="40"/>
      <c r="AO244" s="40"/>
      <c r="AP244" s="40"/>
      <c r="AQ244" s="40"/>
      <c r="AR244" s="40"/>
      <c r="AS244" s="40"/>
      <c r="AT244" s="40"/>
      <c r="AU244" s="40"/>
      <c r="AV244" s="40"/>
      <c r="AW244" s="86"/>
      <c r="AX244" s="86"/>
      <c r="AY244" s="86"/>
      <c r="AZ244" s="86"/>
      <c r="BA244" s="86"/>
      <c r="BB244" s="86"/>
      <c r="BC244" s="86"/>
    </row>
    <row r="245" spans="1:5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c r="AA245" s="40"/>
      <c r="AB245" s="40"/>
      <c r="AC245" s="40"/>
      <c r="AD245" s="40"/>
      <c r="AE245" s="40"/>
      <c r="AF245" s="40"/>
      <c r="AG245" s="40"/>
      <c r="AH245" s="40"/>
      <c r="AI245" s="40"/>
      <c r="AJ245" s="40"/>
      <c r="AK245" s="40"/>
      <c r="AL245" s="40"/>
      <c r="AM245" s="40"/>
      <c r="AN245" s="40"/>
      <c r="AO245" s="40"/>
      <c r="AP245" s="40"/>
      <c r="AQ245" s="40"/>
      <c r="AR245" s="40"/>
      <c r="AS245" s="40"/>
      <c r="AT245" s="40"/>
      <c r="AU245" s="40"/>
      <c r="AV245" s="40"/>
      <c r="AW245" s="86"/>
      <c r="AX245" s="86"/>
      <c r="AY245" s="86"/>
      <c r="AZ245" s="86"/>
      <c r="BA245" s="86"/>
      <c r="BB245" s="86"/>
      <c r="BC245" s="86"/>
    </row>
    <row r="246" spans="1:55">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c r="AA246" s="40"/>
      <c r="AB246" s="40"/>
      <c r="AC246" s="40"/>
      <c r="AD246" s="40"/>
      <c r="AE246" s="40"/>
      <c r="AF246" s="40"/>
      <c r="AG246" s="40"/>
      <c r="AH246" s="40"/>
      <c r="AI246" s="40"/>
      <c r="AJ246" s="40"/>
      <c r="AK246" s="40"/>
      <c r="AL246" s="40"/>
      <c r="AM246" s="40"/>
      <c r="AN246" s="40"/>
      <c r="AO246" s="40"/>
      <c r="AP246" s="40"/>
      <c r="AQ246" s="40"/>
      <c r="AR246" s="40"/>
      <c r="AS246" s="40"/>
      <c r="AT246" s="40"/>
      <c r="AU246" s="40"/>
      <c r="AV246" s="40"/>
      <c r="AW246" s="86"/>
      <c r="AX246" s="86"/>
      <c r="AY246" s="86"/>
      <c r="AZ246" s="86"/>
      <c r="BA246" s="86"/>
      <c r="BB246" s="86"/>
      <c r="BC246" s="86"/>
    </row>
    <row r="247" spans="1:55">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c r="AA247" s="40"/>
      <c r="AB247" s="40"/>
      <c r="AC247" s="40"/>
      <c r="AD247" s="40"/>
      <c r="AE247" s="40"/>
      <c r="AF247" s="40"/>
      <c r="AG247" s="40"/>
      <c r="AH247" s="40"/>
      <c r="AI247" s="40"/>
      <c r="AJ247" s="40"/>
      <c r="AK247" s="40"/>
      <c r="AL247" s="40"/>
      <c r="AM247" s="40"/>
      <c r="AN247" s="40"/>
      <c r="AO247" s="40"/>
      <c r="AP247" s="40"/>
      <c r="AQ247" s="40"/>
      <c r="AR247" s="40"/>
      <c r="AS247" s="40"/>
      <c r="AT247" s="40"/>
      <c r="AU247" s="40"/>
      <c r="AV247" s="40"/>
      <c r="AW247" s="86"/>
      <c r="AX247" s="86"/>
      <c r="AY247" s="86"/>
      <c r="AZ247" s="86"/>
      <c r="BA247" s="86"/>
      <c r="BB247" s="86"/>
      <c r="BC247" s="86"/>
    </row>
    <row r="248" spans="1:55">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c r="AA248" s="40"/>
      <c r="AB248" s="40"/>
      <c r="AC248" s="40"/>
      <c r="AD248" s="40"/>
      <c r="AE248" s="40"/>
      <c r="AF248" s="40"/>
      <c r="AG248" s="40"/>
      <c r="AH248" s="40"/>
      <c r="AI248" s="40"/>
      <c r="AJ248" s="40"/>
      <c r="AK248" s="40"/>
      <c r="AL248" s="40"/>
      <c r="AM248" s="40"/>
      <c r="AN248" s="40"/>
      <c r="AO248" s="40"/>
      <c r="AP248" s="40"/>
      <c r="AQ248" s="40"/>
      <c r="AR248" s="40"/>
      <c r="AS248" s="40"/>
      <c r="AT248" s="40"/>
      <c r="AU248" s="40"/>
      <c r="AV248" s="40"/>
      <c r="AW248" s="86"/>
      <c r="AX248" s="86"/>
      <c r="AY248" s="86"/>
      <c r="AZ248" s="86"/>
      <c r="BA248" s="86"/>
      <c r="BB248" s="86"/>
      <c r="BC248" s="86"/>
    </row>
    <row r="249" spans="1:55">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c r="AA249" s="40"/>
      <c r="AB249" s="40"/>
      <c r="AC249" s="40"/>
      <c r="AD249" s="40"/>
      <c r="AE249" s="40"/>
      <c r="AF249" s="40"/>
      <c r="AG249" s="40"/>
      <c r="AH249" s="40"/>
      <c r="AI249" s="40"/>
      <c r="AJ249" s="40"/>
      <c r="AK249" s="40"/>
      <c r="AL249" s="40"/>
      <c r="AM249" s="40"/>
      <c r="AN249" s="40"/>
      <c r="AO249" s="40"/>
      <c r="AP249" s="40"/>
      <c r="AQ249" s="40"/>
      <c r="AR249" s="40"/>
      <c r="AS249" s="40"/>
      <c r="AT249" s="40"/>
      <c r="AU249" s="40"/>
      <c r="AV249" s="40"/>
      <c r="AW249" s="86"/>
      <c r="AX249" s="86"/>
      <c r="AY249" s="86"/>
      <c r="AZ249" s="86"/>
      <c r="BA249" s="86"/>
      <c r="BB249" s="86"/>
      <c r="BC249" s="86"/>
    </row>
    <row r="250" spans="1:55">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c r="AA250" s="40"/>
      <c r="AB250" s="40"/>
      <c r="AC250" s="40"/>
      <c r="AD250" s="40"/>
      <c r="AE250" s="40"/>
      <c r="AF250" s="40"/>
      <c r="AG250" s="40"/>
      <c r="AH250" s="40"/>
      <c r="AI250" s="40"/>
      <c r="AJ250" s="40"/>
      <c r="AK250" s="40"/>
      <c r="AL250" s="40"/>
      <c r="AM250" s="40"/>
      <c r="AN250" s="40"/>
      <c r="AO250" s="40"/>
      <c r="AP250" s="40"/>
      <c r="AQ250" s="40"/>
      <c r="AR250" s="40"/>
      <c r="AS250" s="40"/>
      <c r="AT250" s="40"/>
      <c r="AU250" s="40"/>
      <c r="AV250" s="40"/>
      <c r="AW250" s="86"/>
      <c r="AX250" s="86"/>
      <c r="AY250" s="86"/>
      <c r="AZ250" s="86"/>
      <c r="BA250" s="86"/>
      <c r="BB250" s="86"/>
      <c r="BC250" s="86"/>
    </row>
    <row r="251" spans="1:55">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c r="AA251" s="40"/>
      <c r="AB251" s="40"/>
      <c r="AC251" s="40"/>
      <c r="AD251" s="40"/>
      <c r="AE251" s="40"/>
      <c r="AF251" s="40"/>
      <c r="AG251" s="40"/>
      <c r="AH251" s="40"/>
      <c r="AI251" s="40"/>
      <c r="AJ251" s="40"/>
      <c r="AK251" s="40"/>
      <c r="AL251" s="40"/>
      <c r="AM251" s="40"/>
      <c r="AN251" s="40"/>
      <c r="AO251" s="40"/>
      <c r="AP251" s="40"/>
      <c r="AQ251" s="40"/>
      <c r="AR251" s="40"/>
      <c r="AS251" s="40"/>
      <c r="AT251" s="40"/>
      <c r="AU251" s="40"/>
      <c r="AV251" s="40"/>
      <c r="AW251" s="86"/>
      <c r="AX251" s="86"/>
      <c r="AY251" s="86"/>
      <c r="AZ251" s="86"/>
      <c r="BA251" s="86"/>
      <c r="BB251" s="86"/>
      <c r="BC251" s="86"/>
    </row>
    <row r="252" spans="1:55">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c r="AA252" s="40"/>
      <c r="AB252" s="40"/>
      <c r="AC252" s="40"/>
      <c r="AD252" s="40"/>
      <c r="AE252" s="40"/>
      <c r="AF252" s="40"/>
      <c r="AG252" s="40"/>
      <c r="AH252" s="40"/>
      <c r="AI252" s="40"/>
      <c r="AJ252" s="40"/>
      <c r="AK252" s="40"/>
      <c r="AL252" s="40"/>
      <c r="AM252" s="40"/>
      <c r="AN252" s="40"/>
      <c r="AO252" s="40"/>
      <c r="AP252" s="40"/>
      <c r="AQ252" s="40"/>
      <c r="AR252" s="40"/>
      <c r="AS252" s="40"/>
      <c r="AT252" s="40"/>
      <c r="AU252" s="40"/>
      <c r="AV252" s="40"/>
      <c r="AW252" s="86"/>
      <c r="AX252" s="86"/>
      <c r="AY252" s="86"/>
      <c r="AZ252" s="86"/>
      <c r="BA252" s="86"/>
      <c r="BB252" s="86"/>
      <c r="BC252" s="86"/>
    </row>
    <row r="253" spans="1:55">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c r="AA253" s="40"/>
      <c r="AB253" s="40"/>
      <c r="AC253" s="40"/>
      <c r="AD253" s="40"/>
      <c r="AE253" s="40"/>
      <c r="AF253" s="40"/>
      <c r="AG253" s="40"/>
      <c r="AH253" s="40"/>
      <c r="AI253" s="40"/>
      <c r="AJ253" s="40"/>
      <c r="AK253" s="40"/>
      <c r="AL253" s="40"/>
      <c r="AM253" s="40"/>
      <c r="AN253" s="40"/>
      <c r="AO253" s="40"/>
      <c r="AP253" s="40"/>
      <c r="AQ253" s="40"/>
      <c r="AR253" s="40"/>
      <c r="AS253" s="40"/>
      <c r="AT253" s="40"/>
      <c r="AU253" s="40"/>
      <c r="AV253" s="40"/>
      <c r="AW253" s="86"/>
      <c r="AX253" s="86"/>
      <c r="AY253" s="86"/>
      <c r="AZ253" s="86"/>
      <c r="BA253" s="86"/>
      <c r="BB253" s="86"/>
      <c r="BC253" s="86"/>
    </row>
    <row r="254" spans="1:55">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c r="AA254" s="40"/>
      <c r="AB254" s="40"/>
      <c r="AC254" s="40"/>
      <c r="AD254" s="40"/>
      <c r="AE254" s="40"/>
      <c r="AF254" s="40"/>
      <c r="AG254" s="40"/>
      <c r="AH254" s="40"/>
      <c r="AI254" s="40"/>
      <c r="AJ254" s="40"/>
      <c r="AK254" s="40"/>
      <c r="AL254" s="40"/>
      <c r="AM254" s="40"/>
      <c r="AN254" s="40"/>
      <c r="AO254" s="40"/>
      <c r="AP254" s="40"/>
      <c r="AQ254" s="40"/>
      <c r="AR254" s="40"/>
      <c r="AS254" s="40"/>
      <c r="AT254" s="40"/>
      <c r="AU254" s="40"/>
      <c r="AV254" s="40"/>
      <c r="AW254" s="86"/>
      <c r="AX254" s="86"/>
      <c r="AY254" s="86"/>
      <c r="AZ254" s="86"/>
      <c r="BA254" s="86"/>
      <c r="BB254" s="86"/>
      <c r="BC254" s="86"/>
    </row>
    <row r="255" spans="1: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c r="AA255" s="40"/>
      <c r="AB255" s="40"/>
      <c r="AC255" s="40"/>
      <c r="AD255" s="40"/>
      <c r="AE255" s="40"/>
      <c r="AF255" s="40"/>
      <c r="AG255" s="40"/>
      <c r="AH255" s="40"/>
      <c r="AI255" s="40"/>
      <c r="AJ255" s="40"/>
      <c r="AK255" s="40"/>
      <c r="AL255" s="40"/>
      <c r="AM255" s="40"/>
      <c r="AN255" s="40"/>
      <c r="AO255" s="40"/>
      <c r="AP255" s="40"/>
      <c r="AQ255" s="40"/>
      <c r="AR255" s="40"/>
      <c r="AS255" s="40"/>
      <c r="AT255" s="40"/>
      <c r="AU255" s="40"/>
      <c r="AV255" s="40"/>
      <c r="AW255" s="86"/>
      <c r="AX255" s="86"/>
      <c r="AY255" s="86"/>
      <c r="AZ255" s="86"/>
      <c r="BA255" s="86"/>
      <c r="BB255" s="86"/>
      <c r="BC255" s="86"/>
    </row>
    <row r="256" spans="1:55">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c r="AA256" s="40"/>
      <c r="AB256" s="40"/>
      <c r="AC256" s="40"/>
      <c r="AD256" s="40"/>
      <c r="AE256" s="40"/>
      <c r="AF256" s="40"/>
      <c r="AG256" s="40"/>
      <c r="AH256" s="40"/>
      <c r="AI256" s="40"/>
      <c r="AJ256" s="40"/>
      <c r="AK256" s="40"/>
      <c r="AL256" s="40"/>
      <c r="AM256" s="40"/>
      <c r="AN256" s="40"/>
      <c r="AO256" s="40"/>
      <c r="AP256" s="40"/>
      <c r="AQ256" s="40"/>
      <c r="AR256" s="40"/>
      <c r="AS256" s="40"/>
      <c r="AT256" s="40"/>
      <c r="AU256" s="40"/>
      <c r="AV256" s="40"/>
      <c r="AW256" s="86"/>
      <c r="AX256" s="86"/>
      <c r="AY256" s="86"/>
      <c r="AZ256" s="86"/>
      <c r="BA256" s="86"/>
      <c r="BB256" s="86"/>
      <c r="BC256" s="86"/>
    </row>
    <row r="257" spans="1:55">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c r="AA257" s="40"/>
      <c r="AB257" s="40"/>
      <c r="AC257" s="40"/>
      <c r="AD257" s="40"/>
      <c r="AE257" s="40"/>
      <c r="AF257" s="40"/>
      <c r="AG257" s="40"/>
      <c r="AH257" s="40"/>
      <c r="AI257" s="40"/>
      <c r="AJ257" s="40"/>
      <c r="AK257" s="40"/>
      <c r="AL257" s="40"/>
      <c r="AM257" s="40"/>
      <c r="AN257" s="40"/>
      <c r="AO257" s="40"/>
      <c r="AP257" s="40"/>
      <c r="AQ257" s="40"/>
      <c r="AR257" s="40"/>
      <c r="AS257" s="40"/>
      <c r="AT257" s="40"/>
      <c r="AU257" s="40"/>
      <c r="AV257" s="40"/>
      <c r="AW257" s="86"/>
      <c r="AX257" s="86"/>
      <c r="AY257" s="86"/>
      <c r="AZ257" s="86"/>
      <c r="BA257" s="86"/>
      <c r="BB257" s="86"/>
      <c r="BC257" s="86"/>
    </row>
    <row r="258" spans="1:55">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c r="AA258" s="40"/>
      <c r="AB258" s="40"/>
      <c r="AC258" s="40"/>
      <c r="AD258" s="40"/>
      <c r="AE258" s="40"/>
      <c r="AF258" s="40"/>
      <c r="AG258" s="40"/>
      <c r="AH258" s="40"/>
      <c r="AI258" s="40"/>
      <c r="AJ258" s="40"/>
      <c r="AK258" s="40"/>
      <c r="AL258" s="40"/>
      <c r="AM258" s="40"/>
      <c r="AN258" s="40"/>
      <c r="AO258" s="40"/>
      <c r="AP258" s="40"/>
      <c r="AQ258" s="40"/>
      <c r="AR258" s="40"/>
      <c r="AS258" s="40"/>
      <c r="AT258" s="40"/>
      <c r="AU258" s="40"/>
      <c r="AV258" s="40"/>
      <c r="AW258" s="86"/>
      <c r="AX258" s="86"/>
      <c r="AY258" s="86"/>
      <c r="AZ258" s="86"/>
      <c r="BA258" s="86"/>
      <c r="BB258" s="86"/>
      <c r="BC258" s="86"/>
    </row>
    <row r="259" spans="1:55">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c r="AA259" s="40"/>
      <c r="AB259" s="40"/>
      <c r="AC259" s="40"/>
      <c r="AD259" s="40"/>
      <c r="AE259" s="40"/>
      <c r="AF259" s="40"/>
      <c r="AG259" s="40"/>
      <c r="AH259" s="40"/>
      <c r="AI259" s="40"/>
      <c r="AJ259" s="40"/>
      <c r="AK259" s="40"/>
      <c r="AL259" s="40"/>
      <c r="AM259" s="40"/>
      <c r="AN259" s="40"/>
      <c r="AO259" s="40"/>
      <c r="AP259" s="40"/>
      <c r="AQ259" s="40"/>
      <c r="AR259" s="40"/>
      <c r="AS259" s="40"/>
      <c r="AT259" s="40"/>
      <c r="AU259" s="40"/>
      <c r="AV259" s="40"/>
      <c r="AW259" s="86"/>
      <c r="AX259" s="86"/>
      <c r="AY259" s="86"/>
      <c r="AZ259" s="86"/>
      <c r="BA259" s="86"/>
      <c r="BB259" s="86"/>
      <c r="BC259" s="86"/>
    </row>
    <row r="260" spans="1:55">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c r="AA260" s="40"/>
      <c r="AB260" s="40"/>
      <c r="AC260" s="40"/>
      <c r="AD260" s="40"/>
      <c r="AE260" s="40"/>
      <c r="AF260" s="40"/>
      <c r="AG260" s="40"/>
      <c r="AH260" s="40"/>
      <c r="AI260" s="40"/>
      <c r="AJ260" s="40"/>
      <c r="AK260" s="40"/>
      <c r="AL260" s="40"/>
      <c r="AM260" s="40"/>
      <c r="AN260" s="40"/>
      <c r="AO260" s="40"/>
      <c r="AP260" s="40"/>
      <c r="AQ260" s="40"/>
      <c r="AR260" s="40"/>
      <c r="AS260" s="40"/>
      <c r="AT260" s="40"/>
      <c r="AU260" s="40"/>
      <c r="AV260" s="40"/>
      <c r="AW260" s="86"/>
      <c r="AX260" s="86"/>
      <c r="AY260" s="86"/>
      <c r="AZ260" s="86"/>
      <c r="BA260" s="86"/>
      <c r="BB260" s="86"/>
      <c r="BC260" s="86"/>
    </row>
    <row r="261" spans="1:55">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c r="AA261" s="40"/>
      <c r="AB261" s="40"/>
      <c r="AC261" s="40"/>
      <c r="AD261" s="40"/>
      <c r="AE261" s="40"/>
      <c r="AF261" s="40"/>
      <c r="AG261" s="40"/>
      <c r="AH261" s="40"/>
      <c r="AI261" s="40"/>
      <c r="AJ261" s="40"/>
      <c r="AK261" s="40"/>
      <c r="AL261" s="40"/>
      <c r="AM261" s="40"/>
      <c r="AN261" s="40"/>
      <c r="AO261" s="40"/>
      <c r="AP261" s="40"/>
      <c r="AQ261" s="40"/>
      <c r="AR261" s="40"/>
      <c r="AS261" s="40"/>
      <c r="AT261" s="40"/>
      <c r="AU261" s="40"/>
      <c r="AV261" s="40"/>
      <c r="AW261" s="86"/>
      <c r="AX261" s="86"/>
      <c r="AY261" s="86"/>
      <c r="AZ261" s="86"/>
      <c r="BA261" s="86"/>
      <c r="BB261" s="86"/>
      <c r="BC261" s="86"/>
    </row>
    <row r="262" spans="1:55">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c r="AH262" s="40"/>
      <c r="AI262" s="40"/>
      <c r="AJ262" s="40"/>
      <c r="AK262" s="40"/>
      <c r="AL262" s="40"/>
      <c r="AM262" s="40"/>
      <c r="AN262" s="40"/>
      <c r="AO262" s="40"/>
      <c r="AP262" s="40"/>
      <c r="AQ262" s="40"/>
      <c r="AR262" s="40"/>
      <c r="AS262" s="40"/>
      <c r="AT262" s="40"/>
      <c r="AU262" s="40"/>
      <c r="AV262" s="40"/>
      <c r="AW262" s="86"/>
      <c r="AX262" s="86"/>
      <c r="AY262" s="86"/>
      <c r="AZ262" s="86"/>
      <c r="BA262" s="86"/>
      <c r="BB262" s="86"/>
      <c r="BC262" s="86"/>
    </row>
    <row r="263" spans="1:55">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c r="AA263" s="40"/>
      <c r="AB263" s="40"/>
      <c r="AC263" s="40"/>
      <c r="AD263" s="40"/>
      <c r="AE263" s="40"/>
      <c r="AF263" s="40"/>
      <c r="AG263" s="40"/>
      <c r="AH263" s="40"/>
      <c r="AI263" s="40"/>
      <c r="AJ263" s="40"/>
      <c r="AK263" s="40"/>
      <c r="AL263" s="40"/>
      <c r="AM263" s="40"/>
      <c r="AN263" s="40"/>
      <c r="AO263" s="40"/>
      <c r="AP263" s="40"/>
      <c r="AQ263" s="40"/>
      <c r="AR263" s="40"/>
      <c r="AS263" s="40"/>
      <c r="AT263" s="40"/>
      <c r="AU263" s="40"/>
      <c r="AV263" s="40"/>
      <c r="AW263" s="86"/>
      <c r="AX263" s="86"/>
      <c r="AY263" s="86"/>
      <c r="AZ263" s="86"/>
      <c r="BA263" s="86"/>
      <c r="BB263" s="86"/>
      <c r="BC263" s="86"/>
    </row>
    <row r="264" spans="1:55">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c r="AA264" s="40"/>
      <c r="AB264" s="40"/>
      <c r="AC264" s="40"/>
      <c r="AD264" s="40"/>
      <c r="AE264" s="40"/>
      <c r="AF264" s="40"/>
      <c r="AG264" s="40"/>
      <c r="AH264" s="40"/>
      <c r="AI264" s="40"/>
      <c r="AJ264" s="40"/>
      <c r="AK264" s="40"/>
      <c r="AL264" s="40"/>
      <c r="AM264" s="40"/>
      <c r="AN264" s="40"/>
      <c r="AO264" s="40"/>
      <c r="AP264" s="40"/>
      <c r="AQ264" s="40"/>
      <c r="AR264" s="40"/>
      <c r="AS264" s="40"/>
      <c r="AT264" s="40"/>
      <c r="AU264" s="40"/>
      <c r="AV264" s="40"/>
      <c r="AW264" s="86"/>
      <c r="AX264" s="86"/>
      <c r="AY264" s="86"/>
      <c r="AZ264" s="86"/>
      <c r="BA264" s="86"/>
      <c r="BB264" s="86"/>
      <c r="BC264" s="86"/>
    </row>
    <row r="265" spans="1:5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0"/>
      <c r="AB265" s="40"/>
      <c r="AC265" s="40"/>
      <c r="AD265" s="40"/>
      <c r="AE265" s="40"/>
      <c r="AF265" s="40"/>
      <c r="AG265" s="40"/>
      <c r="AH265" s="40"/>
      <c r="AI265" s="40"/>
      <c r="AJ265" s="40"/>
      <c r="AK265" s="40"/>
      <c r="AL265" s="40"/>
      <c r="AM265" s="40"/>
      <c r="AN265" s="40"/>
      <c r="AO265" s="40"/>
      <c r="AP265" s="40"/>
      <c r="AQ265" s="40"/>
      <c r="AR265" s="40"/>
      <c r="AS265" s="40"/>
      <c r="AT265" s="40"/>
      <c r="AU265" s="40"/>
      <c r="AV265" s="40"/>
      <c r="AW265" s="86"/>
      <c r="AX265" s="86"/>
      <c r="AY265" s="86"/>
      <c r="AZ265" s="86"/>
      <c r="BA265" s="86"/>
      <c r="BB265" s="86"/>
      <c r="BC265" s="86"/>
    </row>
    <row r="266" spans="1:55">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c r="AB266" s="40"/>
      <c r="AC266" s="40"/>
      <c r="AD266" s="40"/>
      <c r="AE266" s="40"/>
      <c r="AF266" s="40"/>
      <c r="AG266" s="40"/>
      <c r="AH266" s="40"/>
      <c r="AI266" s="40"/>
      <c r="AJ266" s="40"/>
      <c r="AK266" s="40"/>
      <c r="AL266" s="40"/>
      <c r="AM266" s="40"/>
      <c r="AN266" s="40"/>
      <c r="AO266" s="40"/>
      <c r="AP266" s="40"/>
      <c r="AQ266" s="40"/>
      <c r="AR266" s="40"/>
      <c r="AS266" s="40"/>
      <c r="AT266" s="40"/>
      <c r="AU266" s="40"/>
      <c r="AV266" s="40"/>
      <c r="AW266" s="86"/>
      <c r="AX266" s="86"/>
      <c r="AY266" s="86"/>
      <c r="AZ266" s="86"/>
      <c r="BA266" s="86"/>
      <c r="BB266" s="86"/>
      <c r="BC266" s="86"/>
    </row>
    <row r="267" spans="1:55">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c r="AA267" s="40"/>
      <c r="AB267" s="40"/>
      <c r="AC267" s="40"/>
      <c r="AD267" s="40"/>
      <c r="AE267" s="40"/>
      <c r="AF267" s="40"/>
      <c r="AG267" s="40"/>
      <c r="AH267" s="40"/>
      <c r="AI267" s="40"/>
      <c r="AJ267" s="40"/>
      <c r="AK267" s="40"/>
      <c r="AL267" s="40"/>
      <c r="AM267" s="40"/>
      <c r="AN267" s="40"/>
      <c r="AO267" s="40"/>
      <c r="AP267" s="40"/>
      <c r="AQ267" s="40"/>
      <c r="AR267" s="40"/>
      <c r="AS267" s="40"/>
      <c r="AT267" s="40"/>
      <c r="AU267" s="40"/>
      <c r="AV267" s="40"/>
      <c r="AW267" s="86"/>
      <c r="AX267" s="86"/>
      <c r="AY267" s="86"/>
      <c r="AZ267" s="86"/>
      <c r="BA267" s="86"/>
      <c r="BB267" s="86"/>
      <c r="BC267" s="86"/>
    </row>
    <row r="268" spans="1:55">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c r="AA268" s="40"/>
      <c r="AB268" s="40"/>
      <c r="AC268" s="40"/>
      <c r="AD268" s="40"/>
      <c r="AE268" s="40"/>
      <c r="AF268" s="40"/>
      <c r="AG268" s="40"/>
      <c r="AH268" s="40"/>
      <c r="AI268" s="40"/>
      <c r="AJ268" s="40"/>
      <c r="AK268" s="40"/>
      <c r="AL268" s="40"/>
      <c r="AM268" s="40"/>
      <c r="AN268" s="40"/>
      <c r="AO268" s="40"/>
      <c r="AP268" s="40"/>
      <c r="AQ268" s="40"/>
      <c r="AR268" s="40"/>
      <c r="AS268" s="40"/>
      <c r="AT268" s="40"/>
      <c r="AU268" s="40"/>
      <c r="AV268" s="40"/>
      <c r="AW268" s="86"/>
      <c r="AX268" s="86"/>
      <c r="AY268" s="86"/>
      <c r="AZ268" s="86"/>
      <c r="BA268" s="86"/>
      <c r="BB268" s="86"/>
      <c r="BC268" s="86"/>
    </row>
    <row r="269" spans="1:55">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c r="AA269" s="40"/>
      <c r="AB269" s="40"/>
      <c r="AC269" s="40"/>
      <c r="AD269" s="40"/>
      <c r="AE269" s="40"/>
      <c r="AF269" s="40"/>
      <c r="AG269" s="40"/>
      <c r="AH269" s="40"/>
      <c r="AI269" s="40"/>
      <c r="AJ269" s="40"/>
      <c r="AK269" s="40"/>
      <c r="AL269" s="40"/>
      <c r="AM269" s="40"/>
      <c r="AN269" s="40"/>
      <c r="AO269" s="40"/>
      <c r="AP269" s="40"/>
      <c r="AQ269" s="40"/>
      <c r="AR269" s="40"/>
      <c r="AS269" s="40"/>
      <c r="AT269" s="40"/>
      <c r="AU269" s="40"/>
      <c r="AV269" s="40"/>
      <c r="AW269" s="86"/>
      <c r="AX269" s="86"/>
      <c r="AY269" s="86"/>
      <c r="AZ269" s="86"/>
      <c r="BA269" s="86"/>
      <c r="BB269" s="86"/>
      <c r="BC269" s="86"/>
    </row>
    <row r="270" spans="1:55">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c r="AA270" s="40"/>
      <c r="AB270" s="40"/>
      <c r="AC270" s="40"/>
      <c r="AD270" s="40"/>
      <c r="AE270" s="40"/>
      <c r="AF270" s="40"/>
      <c r="AG270" s="40"/>
      <c r="AH270" s="40"/>
      <c r="AI270" s="40"/>
      <c r="AJ270" s="40"/>
      <c r="AK270" s="40"/>
      <c r="AL270" s="40"/>
      <c r="AM270" s="40"/>
      <c r="AN270" s="40"/>
      <c r="AO270" s="40"/>
      <c r="AP270" s="40"/>
      <c r="AQ270" s="40"/>
      <c r="AR270" s="40"/>
      <c r="AS270" s="40"/>
      <c r="AT270" s="40"/>
      <c r="AU270" s="40"/>
      <c r="AV270" s="40"/>
      <c r="AW270" s="86"/>
      <c r="AX270" s="86"/>
      <c r="AY270" s="86"/>
      <c r="AZ270" s="86"/>
      <c r="BA270" s="86"/>
      <c r="BB270" s="86"/>
      <c r="BC270" s="86"/>
    </row>
    <row r="271" spans="1:55">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c r="AA271" s="40"/>
      <c r="AB271" s="40"/>
      <c r="AC271" s="40"/>
      <c r="AD271" s="40"/>
      <c r="AE271" s="40"/>
      <c r="AF271" s="40"/>
      <c r="AG271" s="40"/>
      <c r="AH271" s="40"/>
      <c r="AI271" s="40"/>
      <c r="AJ271" s="40"/>
      <c r="AK271" s="40"/>
      <c r="AL271" s="40"/>
      <c r="AM271" s="40"/>
      <c r="AN271" s="40"/>
      <c r="AO271" s="40"/>
      <c r="AP271" s="40"/>
      <c r="AQ271" s="40"/>
      <c r="AR271" s="40"/>
      <c r="AS271" s="40"/>
      <c r="AT271" s="40"/>
      <c r="AU271" s="40"/>
      <c r="AV271" s="40"/>
      <c r="AW271" s="86"/>
      <c r="AX271" s="86"/>
      <c r="AY271" s="86"/>
      <c r="AZ271" s="86"/>
      <c r="BA271" s="86"/>
      <c r="BB271" s="86"/>
      <c r="BC271" s="86"/>
    </row>
    <row r="272" spans="1:55">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c r="AA272" s="40"/>
      <c r="AB272" s="40"/>
      <c r="AC272" s="40"/>
      <c r="AD272" s="40"/>
      <c r="AE272" s="40"/>
      <c r="AF272" s="40"/>
      <c r="AG272" s="40"/>
      <c r="AH272" s="40"/>
      <c r="AI272" s="40"/>
      <c r="AJ272" s="40"/>
      <c r="AK272" s="40"/>
      <c r="AL272" s="40"/>
      <c r="AM272" s="40"/>
      <c r="AN272" s="40"/>
      <c r="AO272" s="40"/>
      <c r="AP272" s="40"/>
      <c r="AQ272" s="40"/>
      <c r="AR272" s="40"/>
      <c r="AS272" s="40"/>
      <c r="AT272" s="40"/>
      <c r="AU272" s="40"/>
      <c r="AV272" s="40"/>
      <c r="AW272" s="86"/>
      <c r="AX272" s="86"/>
      <c r="AY272" s="86"/>
      <c r="AZ272" s="86"/>
      <c r="BA272" s="86"/>
      <c r="BB272" s="86"/>
      <c r="BC272" s="86"/>
    </row>
    <row r="273" spans="1:55">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c r="AA273" s="40"/>
      <c r="AB273" s="40"/>
      <c r="AC273" s="40"/>
      <c r="AD273" s="40"/>
      <c r="AE273" s="40"/>
      <c r="AF273" s="40"/>
      <c r="AG273" s="40"/>
      <c r="AH273" s="40"/>
      <c r="AI273" s="40"/>
      <c r="AJ273" s="40"/>
      <c r="AK273" s="40"/>
      <c r="AL273" s="40"/>
      <c r="AM273" s="40"/>
      <c r="AN273" s="40"/>
      <c r="AO273" s="40"/>
      <c r="AP273" s="40"/>
      <c r="AQ273" s="40"/>
      <c r="AR273" s="40"/>
      <c r="AS273" s="40"/>
      <c r="AT273" s="40"/>
      <c r="AU273" s="40"/>
      <c r="AV273" s="40"/>
      <c r="AW273" s="86"/>
      <c r="AX273" s="86"/>
      <c r="AY273" s="86"/>
      <c r="AZ273" s="86"/>
      <c r="BA273" s="86"/>
      <c r="BB273" s="86"/>
      <c r="BC273" s="86"/>
    </row>
    <row r="274" spans="1:55">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c r="AA274" s="40"/>
      <c r="AB274" s="40"/>
      <c r="AC274" s="40"/>
      <c r="AD274" s="40"/>
      <c r="AE274" s="40"/>
      <c r="AF274" s="40"/>
      <c r="AG274" s="40"/>
      <c r="AH274" s="40"/>
      <c r="AI274" s="40"/>
      <c r="AJ274" s="40"/>
      <c r="AK274" s="40"/>
      <c r="AL274" s="40"/>
      <c r="AM274" s="40"/>
      <c r="AN274" s="40"/>
      <c r="AO274" s="40"/>
      <c r="AP274" s="40"/>
      <c r="AQ274" s="40"/>
      <c r="AR274" s="40"/>
      <c r="AS274" s="40"/>
      <c r="AT274" s="40"/>
      <c r="AU274" s="40"/>
      <c r="AV274" s="40"/>
      <c r="AW274" s="86"/>
      <c r="AX274" s="86"/>
      <c r="AY274" s="86"/>
      <c r="AZ274" s="86"/>
      <c r="BA274" s="86"/>
      <c r="BB274" s="86"/>
      <c r="BC274" s="86"/>
    </row>
    <row r="275" spans="1:5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c r="AA275" s="40"/>
      <c r="AB275" s="40"/>
      <c r="AC275" s="40"/>
      <c r="AD275" s="40"/>
      <c r="AE275" s="40"/>
      <c r="AF275" s="40"/>
      <c r="AG275" s="40"/>
      <c r="AH275" s="40"/>
      <c r="AI275" s="40"/>
      <c r="AJ275" s="40"/>
      <c r="AK275" s="40"/>
      <c r="AL275" s="40"/>
      <c r="AM275" s="40"/>
      <c r="AN275" s="40"/>
      <c r="AO275" s="40"/>
      <c r="AP275" s="40"/>
      <c r="AQ275" s="40"/>
      <c r="AR275" s="40"/>
      <c r="AS275" s="40"/>
      <c r="AT275" s="40"/>
      <c r="AU275" s="40"/>
      <c r="AV275" s="40"/>
      <c r="AW275" s="86"/>
      <c r="AX275" s="86"/>
      <c r="AY275" s="86"/>
      <c r="AZ275" s="86"/>
      <c r="BA275" s="86"/>
      <c r="BB275" s="86"/>
      <c r="BC275" s="86"/>
    </row>
    <row r="276" spans="1:55">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c r="AA276" s="40"/>
      <c r="AB276" s="40"/>
      <c r="AC276" s="40"/>
      <c r="AD276" s="40"/>
      <c r="AE276" s="40"/>
      <c r="AF276" s="40"/>
      <c r="AG276" s="40"/>
      <c r="AH276" s="40"/>
      <c r="AI276" s="40"/>
      <c r="AJ276" s="40"/>
      <c r="AK276" s="40"/>
      <c r="AL276" s="40"/>
      <c r="AM276" s="40"/>
      <c r="AN276" s="40"/>
      <c r="AO276" s="40"/>
      <c r="AP276" s="40"/>
      <c r="AQ276" s="40"/>
      <c r="AR276" s="40"/>
      <c r="AS276" s="40"/>
      <c r="AT276" s="40"/>
      <c r="AU276" s="40"/>
      <c r="AV276" s="40"/>
      <c r="AW276" s="86"/>
      <c r="AX276" s="86"/>
      <c r="AY276" s="86"/>
      <c r="AZ276" s="86"/>
      <c r="BA276" s="86"/>
      <c r="BB276" s="86"/>
      <c r="BC276" s="86"/>
    </row>
    <row r="277" spans="1:55">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c r="AA277" s="40"/>
      <c r="AB277" s="40"/>
      <c r="AC277" s="40"/>
      <c r="AD277" s="40"/>
      <c r="AE277" s="40"/>
      <c r="AF277" s="40"/>
      <c r="AG277" s="40"/>
      <c r="AH277" s="40"/>
      <c r="AI277" s="40"/>
      <c r="AJ277" s="40"/>
      <c r="AK277" s="40"/>
      <c r="AL277" s="40"/>
      <c r="AM277" s="40"/>
      <c r="AN277" s="40"/>
      <c r="AO277" s="40"/>
      <c r="AP277" s="40"/>
      <c r="AQ277" s="40"/>
      <c r="AR277" s="40"/>
      <c r="AS277" s="40"/>
      <c r="AT277" s="40"/>
      <c r="AU277" s="40"/>
      <c r="AV277" s="40"/>
      <c r="AW277" s="86"/>
      <c r="AX277" s="86"/>
      <c r="AY277" s="86"/>
      <c r="AZ277" s="86"/>
      <c r="BA277" s="86"/>
      <c r="BB277" s="86"/>
      <c r="BC277" s="86"/>
    </row>
    <row r="278" spans="1:55">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c r="AA278" s="40"/>
      <c r="AB278" s="40"/>
      <c r="AC278" s="40"/>
      <c r="AD278" s="40"/>
      <c r="AE278" s="40"/>
      <c r="AF278" s="40"/>
      <c r="AG278" s="40"/>
      <c r="AH278" s="40"/>
      <c r="AI278" s="40"/>
      <c r="AJ278" s="40"/>
      <c r="AK278" s="40"/>
      <c r="AL278" s="40"/>
      <c r="AM278" s="40"/>
      <c r="AN278" s="40"/>
      <c r="AO278" s="40"/>
      <c r="AP278" s="40"/>
      <c r="AQ278" s="40"/>
      <c r="AR278" s="40"/>
      <c r="AS278" s="40"/>
      <c r="AT278" s="40"/>
      <c r="AU278" s="40"/>
      <c r="AV278" s="40"/>
      <c r="AW278" s="86"/>
      <c r="AX278" s="86"/>
      <c r="AY278" s="86"/>
      <c r="AZ278" s="86"/>
      <c r="BA278" s="86"/>
      <c r="BB278" s="86"/>
      <c r="BC278" s="86"/>
    </row>
    <row r="279" spans="1:55">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0"/>
      <c r="AB279" s="40"/>
      <c r="AC279" s="40"/>
      <c r="AD279" s="40"/>
      <c r="AE279" s="40"/>
      <c r="AF279" s="40"/>
      <c r="AG279" s="40"/>
      <c r="AH279" s="40"/>
      <c r="AI279" s="40"/>
      <c r="AJ279" s="40"/>
      <c r="AK279" s="40"/>
      <c r="AL279" s="40"/>
      <c r="AM279" s="40"/>
      <c r="AN279" s="40"/>
      <c r="AO279" s="40"/>
      <c r="AP279" s="40"/>
      <c r="AQ279" s="40"/>
      <c r="AR279" s="40"/>
      <c r="AS279" s="40"/>
      <c r="AT279" s="40"/>
      <c r="AU279" s="40"/>
      <c r="AV279" s="40"/>
      <c r="AW279" s="86"/>
      <c r="AX279" s="86"/>
      <c r="AY279" s="86"/>
      <c r="AZ279" s="86"/>
      <c r="BA279" s="86"/>
      <c r="BB279" s="86"/>
      <c r="BC279" s="86"/>
    </row>
    <row r="280" spans="1:55">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c r="AA280" s="40"/>
      <c r="AB280" s="40"/>
      <c r="AC280" s="40"/>
      <c r="AD280" s="40"/>
      <c r="AE280" s="40"/>
      <c r="AF280" s="40"/>
      <c r="AG280" s="40"/>
      <c r="AH280" s="40"/>
      <c r="AI280" s="40"/>
      <c r="AJ280" s="40"/>
      <c r="AK280" s="40"/>
      <c r="AL280" s="40"/>
      <c r="AM280" s="40"/>
      <c r="AN280" s="40"/>
      <c r="AO280" s="40"/>
      <c r="AP280" s="40"/>
      <c r="AQ280" s="40"/>
      <c r="AR280" s="40"/>
      <c r="AS280" s="40"/>
      <c r="AT280" s="40"/>
      <c r="AU280" s="40"/>
      <c r="AV280" s="40"/>
      <c r="AW280" s="86"/>
      <c r="AX280" s="86"/>
      <c r="AY280" s="86"/>
      <c r="AZ280" s="86"/>
      <c r="BA280" s="86"/>
      <c r="BB280" s="86"/>
      <c r="BC280" s="86"/>
    </row>
    <row r="281" spans="1:55">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c r="AA281" s="40"/>
      <c r="AB281" s="40"/>
      <c r="AC281" s="40"/>
      <c r="AD281" s="40"/>
      <c r="AE281" s="40"/>
      <c r="AF281" s="40"/>
      <c r="AG281" s="40"/>
      <c r="AH281" s="40"/>
      <c r="AI281" s="40"/>
      <c r="AJ281" s="40"/>
      <c r="AK281" s="40"/>
      <c r="AL281" s="40"/>
      <c r="AM281" s="40"/>
      <c r="AN281" s="40"/>
      <c r="AO281" s="40"/>
      <c r="AP281" s="40"/>
      <c r="AQ281" s="40"/>
      <c r="AR281" s="40"/>
      <c r="AS281" s="40"/>
      <c r="AT281" s="40"/>
      <c r="AU281" s="40"/>
      <c r="AV281" s="40"/>
      <c r="AW281" s="86"/>
      <c r="AX281" s="86"/>
      <c r="AY281" s="86"/>
      <c r="AZ281" s="86"/>
      <c r="BA281" s="86"/>
      <c r="BB281" s="86"/>
      <c r="BC281" s="86"/>
    </row>
    <row r="282" spans="1:55">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c r="AA282" s="40"/>
      <c r="AB282" s="40"/>
      <c r="AC282" s="40"/>
      <c r="AD282" s="40"/>
      <c r="AE282" s="40"/>
      <c r="AF282" s="40"/>
      <c r="AG282" s="40"/>
      <c r="AH282" s="40"/>
      <c r="AI282" s="40"/>
      <c r="AJ282" s="40"/>
      <c r="AK282" s="40"/>
      <c r="AL282" s="40"/>
      <c r="AM282" s="40"/>
      <c r="AN282" s="40"/>
      <c r="AO282" s="40"/>
      <c r="AP282" s="40"/>
      <c r="AQ282" s="40"/>
      <c r="AR282" s="40"/>
      <c r="AS282" s="40"/>
      <c r="AT282" s="40"/>
      <c r="AU282" s="40"/>
      <c r="AV282" s="40"/>
      <c r="AW282" s="86"/>
      <c r="AX282" s="86"/>
      <c r="AY282" s="86"/>
      <c r="AZ282" s="86"/>
      <c r="BA282" s="86"/>
      <c r="BB282" s="86"/>
      <c r="BC282" s="86"/>
    </row>
    <row r="283" spans="1:55">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c r="AA283" s="40"/>
      <c r="AB283" s="40"/>
      <c r="AC283" s="40"/>
      <c r="AD283" s="40"/>
      <c r="AE283" s="40"/>
      <c r="AF283" s="40"/>
      <c r="AG283" s="40"/>
      <c r="AH283" s="40"/>
      <c r="AI283" s="40"/>
      <c r="AJ283" s="40"/>
      <c r="AK283" s="40"/>
      <c r="AL283" s="40"/>
      <c r="AM283" s="40"/>
      <c r="AN283" s="40"/>
      <c r="AO283" s="40"/>
      <c r="AP283" s="40"/>
      <c r="AQ283" s="40"/>
      <c r="AR283" s="40"/>
      <c r="AS283" s="40"/>
      <c r="AT283" s="40"/>
      <c r="AU283" s="40"/>
      <c r="AV283" s="40"/>
      <c r="AW283" s="86"/>
      <c r="AX283" s="86"/>
      <c r="AY283" s="86"/>
      <c r="AZ283" s="86"/>
      <c r="BA283" s="86"/>
      <c r="BB283" s="86"/>
      <c r="BC283" s="86"/>
    </row>
    <row r="284" spans="1:55">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c r="AA284" s="40"/>
      <c r="AB284" s="40"/>
      <c r="AC284" s="40"/>
      <c r="AD284" s="40"/>
      <c r="AE284" s="40"/>
      <c r="AF284" s="40"/>
      <c r="AG284" s="40"/>
      <c r="AH284" s="40"/>
      <c r="AI284" s="40"/>
      <c r="AJ284" s="40"/>
      <c r="AK284" s="40"/>
      <c r="AL284" s="40"/>
      <c r="AM284" s="40"/>
      <c r="AN284" s="40"/>
      <c r="AO284" s="40"/>
      <c r="AP284" s="40"/>
      <c r="AQ284" s="40"/>
      <c r="AR284" s="40"/>
      <c r="AS284" s="40"/>
      <c r="AT284" s="40"/>
      <c r="AU284" s="40"/>
      <c r="AV284" s="40"/>
      <c r="AW284" s="86"/>
      <c r="AX284" s="86"/>
      <c r="AY284" s="86"/>
      <c r="AZ284" s="86"/>
      <c r="BA284" s="86"/>
      <c r="BB284" s="86"/>
      <c r="BC284" s="86"/>
    </row>
    <row r="285" spans="1:5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c r="AA285" s="40"/>
      <c r="AB285" s="40"/>
      <c r="AC285" s="40"/>
      <c r="AD285" s="40"/>
      <c r="AE285" s="40"/>
      <c r="AF285" s="40"/>
      <c r="AG285" s="40"/>
      <c r="AH285" s="40"/>
      <c r="AI285" s="40"/>
      <c r="AJ285" s="40"/>
      <c r="AK285" s="40"/>
      <c r="AL285" s="40"/>
      <c r="AM285" s="40"/>
      <c r="AN285" s="40"/>
      <c r="AO285" s="40"/>
      <c r="AP285" s="40"/>
      <c r="AQ285" s="40"/>
      <c r="AR285" s="40"/>
      <c r="AS285" s="40"/>
      <c r="AT285" s="40"/>
      <c r="AU285" s="40"/>
      <c r="AV285" s="40"/>
      <c r="AW285" s="86"/>
      <c r="AX285" s="86"/>
      <c r="AY285" s="86"/>
      <c r="AZ285" s="86"/>
      <c r="BA285" s="86"/>
      <c r="BB285" s="86"/>
      <c r="BC285" s="86"/>
    </row>
    <row r="286" spans="1:55">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c r="AA286" s="40"/>
      <c r="AB286" s="40"/>
      <c r="AC286" s="40"/>
      <c r="AD286" s="40"/>
      <c r="AE286" s="40"/>
      <c r="AF286" s="40"/>
      <c r="AG286" s="40"/>
      <c r="AH286" s="40"/>
      <c r="AI286" s="40"/>
      <c r="AJ286" s="40"/>
      <c r="AK286" s="40"/>
      <c r="AL286" s="40"/>
      <c r="AM286" s="40"/>
      <c r="AN286" s="40"/>
      <c r="AO286" s="40"/>
      <c r="AP286" s="40"/>
      <c r="AQ286" s="40"/>
      <c r="AR286" s="40"/>
      <c r="AS286" s="40"/>
      <c r="AT286" s="40"/>
      <c r="AU286" s="40"/>
      <c r="AV286" s="40"/>
      <c r="AW286" s="86"/>
      <c r="AX286" s="86"/>
      <c r="AY286" s="86"/>
      <c r="AZ286" s="86"/>
      <c r="BA286" s="86"/>
      <c r="BB286" s="86"/>
      <c r="BC286" s="86"/>
    </row>
    <row r="287" spans="1:55">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c r="AA287" s="40"/>
      <c r="AB287" s="40"/>
      <c r="AC287" s="40"/>
      <c r="AD287" s="40"/>
      <c r="AE287" s="40"/>
      <c r="AF287" s="40"/>
      <c r="AG287" s="40"/>
      <c r="AH287" s="40"/>
      <c r="AI287" s="40"/>
      <c r="AJ287" s="40"/>
      <c r="AK287" s="40"/>
      <c r="AL287" s="40"/>
      <c r="AM287" s="40"/>
      <c r="AN287" s="40"/>
      <c r="AO287" s="40"/>
      <c r="AP287" s="40"/>
      <c r="AQ287" s="40"/>
      <c r="AR287" s="40"/>
      <c r="AS287" s="40"/>
      <c r="AT287" s="40"/>
      <c r="AU287" s="40"/>
      <c r="AV287" s="40"/>
      <c r="AW287" s="86"/>
      <c r="AX287" s="86"/>
      <c r="AY287" s="86"/>
      <c r="AZ287" s="86"/>
      <c r="BA287" s="86"/>
      <c r="BB287" s="86"/>
      <c r="BC287" s="86"/>
    </row>
    <row r="288" spans="1:55">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c r="AA288" s="40"/>
      <c r="AB288" s="40"/>
      <c r="AC288" s="40"/>
      <c r="AD288" s="40"/>
      <c r="AE288" s="40"/>
      <c r="AF288" s="40"/>
      <c r="AG288" s="40"/>
      <c r="AH288" s="40"/>
      <c r="AI288" s="40"/>
      <c r="AJ288" s="40"/>
      <c r="AK288" s="40"/>
      <c r="AL288" s="40"/>
      <c r="AM288" s="40"/>
      <c r="AN288" s="40"/>
      <c r="AO288" s="40"/>
      <c r="AP288" s="40"/>
      <c r="AQ288" s="40"/>
      <c r="AR288" s="40"/>
      <c r="AS288" s="40"/>
      <c r="AT288" s="40"/>
      <c r="AU288" s="40"/>
      <c r="AV288" s="40"/>
      <c r="AW288" s="86"/>
      <c r="AX288" s="86"/>
      <c r="AY288" s="86"/>
      <c r="AZ288" s="86"/>
      <c r="BA288" s="86"/>
      <c r="BB288" s="86"/>
      <c r="BC288" s="86"/>
    </row>
    <row r="289" spans="1:55">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c r="AA289" s="40"/>
      <c r="AB289" s="40"/>
      <c r="AC289" s="40"/>
      <c r="AD289" s="40"/>
      <c r="AE289" s="40"/>
      <c r="AF289" s="40"/>
      <c r="AG289" s="40"/>
      <c r="AH289" s="40"/>
      <c r="AI289" s="40"/>
      <c r="AJ289" s="40"/>
      <c r="AK289" s="40"/>
      <c r="AL289" s="40"/>
      <c r="AM289" s="40"/>
      <c r="AN289" s="40"/>
      <c r="AO289" s="40"/>
      <c r="AP289" s="40"/>
      <c r="AQ289" s="40"/>
      <c r="AR289" s="40"/>
      <c r="AS289" s="40"/>
      <c r="AT289" s="40"/>
      <c r="AU289" s="40"/>
      <c r="AV289" s="40"/>
      <c r="AW289" s="86"/>
      <c r="AX289" s="86"/>
      <c r="AY289" s="86"/>
      <c r="AZ289" s="86"/>
      <c r="BA289" s="86"/>
      <c r="BB289" s="86"/>
      <c r="BC289" s="86"/>
    </row>
    <row r="290" spans="1:55">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c r="AA290" s="40"/>
      <c r="AB290" s="40"/>
      <c r="AC290" s="40"/>
      <c r="AD290" s="40"/>
      <c r="AE290" s="40"/>
      <c r="AF290" s="40"/>
      <c r="AG290" s="40"/>
      <c r="AH290" s="40"/>
      <c r="AI290" s="40"/>
      <c r="AJ290" s="40"/>
      <c r="AK290" s="40"/>
      <c r="AL290" s="40"/>
      <c r="AM290" s="40"/>
      <c r="AN290" s="40"/>
      <c r="AO290" s="40"/>
      <c r="AP290" s="40"/>
      <c r="AQ290" s="40"/>
      <c r="AR290" s="40"/>
      <c r="AS290" s="40"/>
      <c r="AT290" s="40"/>
      <c r="AU290" s="40"/>
      <c r="AV290" s="40"/>
      <c r="AW290" s="86"/>
      <c r="AX290" s="86"/>
      <c r="AY290" s="86"/>
      <c r="AZ290" s="86"/>
      <c r="BA290" s="86"/>
      <c r="BB290" s="86"/>
      <c r="BC290" s="86"/>
    </row>
    <row r="291" spans="1:55">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c r="AA291" s="40"/>
      <c r="AB291" s="40"/>
      <c r="AC291" s="40"/>
      <c r="AD291" s="40"/>
      <c r="AE291" s="40"/>
      <c r="AF291" s="40"/>
      <c r="AG291" s="40"/>
      <c r="AH291" s="40"/>
      <c r="AI291" s="40"/>
      <c r="AJ291" s="40"/>
      <c r="AK291" s="40"/>
      <c r="AL291" s="40"/>
      <c r="AM291" s="40"/>
      <c r="AN291" s="40"/>
      <c r="AO291" s="40"/>
      <c r="AP291" s="40"/>
      <c r="AQ291" s="40"/>
      <c r="AR291" s="40"/>
      <c r="AS291" s="40"/>
      <c r="AT291" s="40"/>
      <c r="AU291" s="40"/>
      <c r="AV291" s="40"/>
      <c r="AW291" s="86"/>
      <c r="AX291" s="86"/>
      <c r="AY291" s="86"/>
      <c r="AZ291" s="86"/>
      <c r="BA291" s="86"/>
      <c r="BB291" s="86"/>
      <c r="BC291" s="86"/>
    </row>
    <row r="292" spans="1:55">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c r="AA292" s="40"/>
      <c r="AB292" s="40"/>
      <c r="AC292" s="40"/>
      <c r="AD292" s="40"/>
      <c r="AE292" s="40"/>
      <c r="AF292" s="40"/>
      <c r="AG292" s="40"/>
      <c r="AH292" s="40"/>
      <c r="AI292" s="40"/>
      <c r="AJ292" s="40"/>
      <c r="AK292" s="40"/>
      <c r="AL292" s="40"/>
      <c r="AM292" s="40"/>
      <c r="AN292" s="40"/>
      <c r="AO292" s="40"/>
      <c r="AP292" s="40"/>
      <c r="AQ292" s="40"/>
      <c r="AR292" s="40"/>
      <c r="AS292" s="40"/>
      <c r="AT292" s="40"/>
      <c r="AU292" s="40"/>
      <c r="AV292" s="40"/>
      <c r="AW292" s="86"/>
      <c r="AX292" s="86"/>
      <c r="AY292" s="86"/>
      <c r="AZ292" s="86"/>
      <c r="BA292" s="86"/>
      <c r="BB292" s="86"/>
      <c r="BC292" s="86"/>
    </row>
    <row r="293" spans="1:55">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c r="AA293" s="40"/>
      <c r="AB293" s="40"/>
      <c r="AC293" s="40"/>
      <c r="AD293" s="40"/>
      <c r="AE293" s="40"/>
      <c r="AF293" s="40"/>
      <c r="AG293" s="40"/>
      <c r="AH293" s="40"/>
      <c r="AI293" s="40"/>
      <c r="AJ293" s="40"/>
      <c r="AK293" s="40"/>
      <c r="AL293" s="40"/>
      <c r="AM293" s="40"/>
      <c r="AN293" s="40"/>
      <c r="AO293" s="40"/>
      <c r="AP293" s="40"/>
      <c r="AQ293" s="40"/>
      <c r="AR293" s="40"/>
      <c r="AS293" s="40"/>
      <c r="AT293" s="40"/>
      <c r="AU293" s="40"/>
      <c r="AV293" s="40"/>
      <c r="AW293" s="86"/>
      <c r="AX293" s="86"/>
      <c r="AY293" s="86"/>
      <c r="AZ293" s="86"/>
      <c r="BA293" s="86"/>
      <c r="BB293" s="86"/>
      <c r="BC293" s="86"/>
    </row>
    <row r="294" spans="1:55">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c r="AA294" s="40"/>
      <c r="AB294" s="40"/>
      <c r="AC294" s="40"/>
      <c r="AD294" s="40"/>
      <c r="AE294" s="40"/>
      <c r="AF294" s="40"/>
      <c r="AG294" s="40"/>
      <c r="AH294" s="40"/>
      <c r="AI294" s="40"/>
      <c r="AJ294" s="40"/>
      <c r="AK294" s="40"/>
      <c r="AL294" s="40"/>
      <c r="AM294" s="40"/>
      <c r="AN294" s="40"/>
      <c r="AO294" s="40"/>
      <c r="AP294" s="40"/>
      <c r="AQ294" s="40"/>
      <c r="AR294" s="40"/>
      <c r="AS294" s="40"/>
      <c r="AT294" s="40"/>
      <c r="AU294" s="40"/>
      <c r="AV294" s="40"/>
      <c r="AW294" s="86"/>
      <c r="AX294" s="86"/>
      <c r="AY294" s="86"/>
      <c r="AZ294" s="86"/>
      <c r="BA294" s="86"/>
      <c r="BB294" s="86"/>
      <c r="BC294" s="86"/>
    </row>
    <row r="295" spans="1:5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c r="AA295" s="40"/>
      <c r="AB295" s="40"/>
      <c r="AC295" s="40"/>
      <c r="AD295" s="40"/>
      <c r="AE295" s="40"/>
      <c r="AF295" s="40"/>
      <c r="AG295" s="40"/>
      <c r="AH295" s="40"/>
      <c r="AI295" s="40"/>
      <c r="AJ295" s="40"/>
      <c r="AK295" s="40"/>
      <c r="AL295" s="40"/>
      <c r="AM295" s="40"/>
      <c r="AN295" s="40"/>
      <c r="AO295" s="40"/>
      <c r="AP295" s="40"/>
      <c r="AQ295" s="40"/>
      <c r="AR295" s="40"/>
      <c r="AS295" s="40"/>
      <c r="AT295" s="40"/>
      <c r="AU295" s="40"/>
      <c r="AV295" s="40"/>
      <c r="AW295" s="86"/>
      <c r="AX295" s="86"/>
      <c r="AY295" s="86"/>
      <c r="AZ295" s="86"/>
      <c r="BA295" s="86"/>
      <c r="BB295" s="86"/>
      <c r="BC295" s="86"/>
    </row>
    <row r="296" spans="1:55">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c r="AA296" s="40"/>
      <c r="AB296" s="40"/>
      <c r="AC296" s="40"/>
      <c r="AD296" s="40"/>
      <c r="AE296" s="40"/>
      <c r="AF296" s="40"/>
      <c r="AG296" s="40"/>
      <c r="AH296" s="40"/>
      <c r="AI296" s="40"/>
      <c r="AJ296" s="40"/>
      <c r="AK296" s="40"/>
      <c r="AL296" s="40"/>
      <c r="AM296" s="40"/>
      <c r="AN296" s="40"/>
      <c r="AO296" s="40"/>
      <c r="AP296" s="40"/>
      <c r="AQ296" s="40"/>
      <c r="AR296" s="40"/>
      <c r="AS296" s="40"/>
      <c r="AT296" s="40"/>
      <c r="AU296" s="40"/>
      <c r="AV296" s="40"/>
      <c r="AW296" s="86"/>
      <c r="AX296" s="86"/>
      <c r="AY296" s="86"/>
      <c r="AZ296" s="86"/>
      <c r="BA296" s="86"/>
      <c r="BB296" s="86"/>
      <c r="BC296" s="86"/>
    </row>
    <row r="297" spans="1:55">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c r="AA297" s="40"/>
      <c r="AB297" s="40"/>
      <c r="AC297" s="40"/>
      <c r="AD297" s="40"/>
      <c r="AE297" s="40"/>
      <c r="AF297" s="40"/>
      <c r="AG297" s="40"/>
      <c r="AH297" s="40"/>
      <c r="AI297" s="40"/>
      <c r="AJ297" s="40"/>
      <c r="AK297" s="40"/>
      <c r="AL297" s="40"/>
      <c r="AM297" s="40"/>
      <c r="AN297" s="40"/>
      <c r="AO297" s="40"/>
      <c r="AP297" s="40"/>
      <c r="AQ297" s="40"/>
      <c r="AR297" s="40"/>
      <c r="AS297" s="40"/>
      <c r="AT297" s="40"/>
      <c r="AU297" s="40"/>
      <c r="AV297" s="40"/>
      <c r="AW297" s="86"/>
      <c r="AX297" s="86"/>
      <c r="AY297" s="86"/>
      <c r="AZ297" s="86"/>
      <c r="BA297" s="86"/>
      <c r="BB297" s="86"/>
      <c r="BC297" s="86"/>
    </row>
    <row r="298" spans="1:55">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c r="AA298" s="40"/>
      <c r="AB298" s="40"/>
      <c r="AC298" s="40"/>
      <c r="AD298" s="40"/>
      <c r="AE298" s="40"/>
      <c r="AF298" s="40"/>
      <c r="AG298" s="40"/>
      <c r="AH298" s="40"/>
      <c r="AI298" s="40"/>
      <c r="AJ298" s="40"/>
      <c r="AK298" s="40"/>
      <c r="AL298" s="40"/>
      <c r="AM298" s="40"/>
      <c r="AN298" s="40"/>
      <c r="AO298" s="40"/>
      <c r="AP298" s="40"/>
      <c r="AQ298" s="40"/>
      <c r="AR298" s="40"/>
      <c r="AS298" s="40"/>
      <c r="AT298" s="40"/>
      <c r="AU298" s="40"/>
      <c r="AV298" s="40"/>
      <c r="AW298" s="86"/>
      <c r="AX298" s="86"/>
      <c r="AY298" s="86"/>
      <c r="AZ298" s="86"/>
      <c r="BA298" s="86"/>
      <c r="BB298" s="86"/>
      <c r="BC298" s="86"/>
    </row>
    <row r="299" spans="1:55">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c r="AA299" s="40"/>
      <c r="AB299" s="40"/>
      <c r="AC299" s="40"/>
      <c r="AD299" s="40"/>
      <c r="AE299" s="40"/>
      <c r="AF299" s="40"/>
      <c r="AG299" s="40"/>
      <c r="AH299" s="40"/>
      <c r="AI299" s="40"/>
      <c r="AJ299" s="40"/>
      <c r="AK299" s="40"/>
      <c r="AL299" s="40"/>
      <c r="AM299" s="40"/>
      <c r="AN299" s="40"/>
      <c r="AO299" s="40"/>
      <c r="AP299" s="40"/>
      <c r="AQ299" s="40"/>
      <c r="AR299" s="40"/>
      <c r="AS299" s="40"/>
      <c r="AT299" s="40"/>
      <c r="AU299" s="40"/>
      <c r="AV299" s="40"/>
      <c r="AW299" s="86"/>
      <c r="AX299" s="86"/>
      <c r="AY299" s="86"/>
      <c r="AZ299" s="86"/>
      <c r="BA299" s="86"/>
      <c r="BB299" s="86"/>
      <c r="BC299" s="86"/>
    </row>
    <row r="300" spans="1:55">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c r="AA300" s="40"/>
      <c r="AB300" s="40"/>
      <c r="AC300" s="40"/>
      <c r="AD300" s="40"/>
      <c r="AE300" s="40"/>
      <c r="AF300" s="40"/>
      <c r="AG300" s="40"/>
      <c r="AH300" s="40"/>
      <c r="AI300" s="40"/>
      <c r="AJ300" s="40"/>
      <c r="AK300" s="40"/>
      <c r="AL300" s="40"/>
      <c r="AM300" s="40"/>
      <c r="AN300" s="40"/>
      <c r="AO300" s="40"/>
      <c r="AP300" s="40"/>
      <c r="AQ300" s="40"/>
      <c r="AR300" s="40"/>
      <c r="AS300" s="40"/>
      <c r="AT300" s="40"/>
      <c r="AU300" s="40"/>
      <c r="AV300" s="40"/>
      <c r="AW300" s="86"/>
      <c r="AX300" s="86"/>
      <c r="AY300" s="86"/>
      <c r="AZ300" s="86"/>
      <c r="BA300" s="86"/>
      <c r="BB300" s="86"/>
      <c r="BC300" s="86"/>
    </row>
    <row r="301" spans="1:55">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c r="AA301" s="40"/>
      <c r="AB301" s="40"/>
      <c r="AC301" s="40"/>
      <c r="AD301" s="40"/>
      <c r="AE301" s="40"/>
      <c r="AF301" s="40"/>
      <c r="AG301" s="40"/>
      <c r="AH301" s="40"/>
      <c r="AI301" s="40"/>
      <c r="AJ301" s="40"/>
      <c r="AK301" s="40"/>
      <c r="AL301" s="40"/>
      <c r="AM301" s="40"/>
      <c r="AN301" s="40"/>
      <c r="AO301" s="40"/>
      <c r="AP301" s="40"/>
      <c r="AQ301" s="40"/>
      <c r="AR301" s="40"/>
      <c r="AS301" s="40"/>
      <c r="AT301" s="40"/>
      <c r="AU301" s="40"/>
      <c r="AV301" s="40"/>
      <c r="AW301" s="86"/>
      <c r="AX301" s="86"/>
      <c r="AY301" s="86"/>
      <c r="AZ301" s="86"/>
      <c r="BA301" s="86"/>
      <c r="BB301" s="86"/>
      <c r="BC301" s="86"/>
    </row>
    <row r="302" spans="1:55">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c r="AA302" s="40"/>
      <c r="AB302" s="40"/>
      <c r="AC302" s="40"/>
      <c r="AD302" s="40"/>
      <c r="AE302" s="40"/>
      <c r="AF302" s="40"/>
      <c r="AG302" s="40"/>
      <c r="AH302" s="40"/>
      <c r="AI302" s="40"/>
      <c r="AJ302" s="40"/>
      <c r="AK302" s="40"/>
      <c r="AL302" s="40"/>
      <c r="AM302" s="40"/>
      <c r="AN302" s="40"/>
      <c r="AO302" s="40"/>
      <c r="AP302" s="40"/>
      <c r="AQ302" s="40"/>
      <c r="AR302" s="40"/>
      <c r="AS302" s="40"/>
      <c r="AT302" s="40"/>
      <c r="AU302" s="40"/>
      <c r="AV302" s="40"/>
      <c r="AW302" s="86"/>
      <c r="AX302" s="86"/>
      <c r="AY302" s="86"/>
      <c r="AZ302" s="86"/>
      <c r="BA302" s="86"/>
      <c r="BB302" s="86"/>
      <c r="BC302" s="86"/>
    </row>
    <row r="303" spans="1:55">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c r="AA303" s="40"/>
      <c r="AB303" s="40"/>
      <c r="AC303" s="40"/>
      <c r="AD303" s="40"/>
      <c r="AE303" s="40"/>
      <c r="AF303" s="40"/>
      <c r="AG303" s="40"/>
      <c r="AH303" s="40"/>
      <c r="AI303" s="40"/>
      <c r="AJ303" s="40"/>
      <c r="AK303" s="40"/>
      <c r="AL303" s="40"/>
      <c r="AM303" s="40"/>
      <c r="AN303" s="40"/>
      <c r="AO303" s="40"/>
      <c r="AP303" s="40"/>
      <c r="AQ303" s="40"/>
      <c r="AR303" s="40"/>
      <c r="AS303" s="40"/>
      <c r="AT303" s="40"/>
      <c r="AU303" s="40"/>
      <c r="AV303" s="40"/>
      <c r="AW303" s="86"/>
      <c r="AX303" s="86"/>
      <c r="AY303" s="86"/>
      <c r="AZ303" s="86"/>
      <c r="BA303" s="86"/>
      <c r="BB303" s="86"/>
      <c r="BC303" s="86"/>
    </row>
    <row r="304" spans="1:55">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c r="AA304" s="40"/>
      <c r="AB304" s="40"/>
      <c r="AC304" s="40"/>
      <c r="AD304" s="40"/>
      <c r="AE304" s="40"/>
      <c r="AF304" s="40"/>
      <c r="AG304" s="40"/>
      <c r="AH304" s="40"/>
      <c r="AI304" s="40"/>
      <c r="AJ304" s="40"/>
      <c r="AK304" s="40"/>
      <c r="AL304" s="40"/>
      <c r="AM304" s="40"/>
      <c r="AN304" s="40"/>
      <c r="AO304" s="40"/>
      <c r="AP304" s="40"/>
      <c r="AQ304" s="40"/>
      <c r="AR304" s="40"/>
      <c r="AS304" s="40"/>
      <c r="AT304" s="40"/>
      <c r="AU304" s="40"/>
      <c r="AV304" s="40"/>
      <c r="AW304" s="86"/>
      <c r="AX304" s="86"/>
      <c r="AY304" s="86"/>
      <c r="AZ304" s="86"/>
      <c r="BA304" s="86"/>
      <c r="BB304" s="86"/>
      <c r="BC304" s="86"/>
    </row>
    <row r="305" spans="1:5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c r="AA305" s="40"/>
      <c r="AB305" s="40"/>
      <c r="AC305" s="40"/>
      <c r="AD305" s="40"/>
      <c r="AE305" s="40"/>
      <c r="AF305" s="40"/>
      <c r="AG305" s="40"/>
      <c r="AH305" s="40"/>
      <c r="AI305" s="40"/>
      <c r="AJ305" s="40"/>
      <c r="AK305" s="40"/>
      <c r="AL305" s="40"/>
      <c r="AM305" s="40"/>
      <c r="AN305" s="40"/>
      <c r="AO305" s="40"/>
      <c r="AP305" s="40"/>
      <c r="AQ305" s="40"/>
      <c r="AR305" s="40"/>
      <c r="AS305" s="40"/>
      <c r="AT305" s="40"/>
      <c r="AU305" s="40"/>
      <c r="AV305" s="40"/>
      <c r="AW305" s="86"/>
      <c r="AX305" s="86"/>
      <c r="AY305" s="86"/>
      <c r="AZ305" s="86"/>
      <c r="BA305" s="86"/>
      <c r="BB305" s="86"/>
      <c r="BC305" s="86"/>
    </row>
    <row r="306" spans="1:55">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c r="AA306" s="40"/>
      <c r="AB306" s="40"/>
      <c r="AC306" s="40"/>
      <c r="AD306" s="40"/>
      <c r="AE306" s="40"/>
      <c r="AF306" s="40"/>
      <c r="AG306" s="40"/>
      <c r="AH306" s="40"/>
      <c r="AI306" s="40"/>
      <c r="AJ306" s="40"/>
      <c r="AK306" s="40"/>
      <c r="AL306" s="40"/>
      <c r="AM306" s="40"/>
      <c r="AN306" s="40"/>
      <c r="AO306" s="40"/>
      <c r="AP306" s="40"/>
      <c r="AQ306" s="40"/>
      <c r="AR306" s="40"/>
      <c r="AS306" s="40"/>
      <c r="AT306" s="40"/>
      <c r="AU306" s="40"/>
      <c r="AV306" s="40"/>
      <c r="AW306" s="86"/>
      <c r="AX306" s="86"/>
      <c r="AY306" s="86"/>
      <c r="AZ306" s="86"/>
      <c r="BA306" s="86"/>
      <c r="BB306" s="86"/>
      <c r="BC306" s="86"/>
    </row>
    <row r="307" spans="1:55">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c r="AA307" s="40"/>
      <c r="AB307" s="40"/>
      <c r="AC307" s="40"/>
      <c r="AD307" s="40"/>
      <c r="AE307" s="40"/>
      <c r="AF307" s="40"/>
      <c r="AG307" s="40"/>
      <c r="AH307" s="40"/>
      <c r="AI307" s="40"/>
      <c r="AJ307" s="40"/>
      <c r="AK307" s="40"/>
      <c r="AL307" s="40"/>
      <c r="AM307" s="40"/>
      <c r="AN307" s="40"/>
      <c r="AO307" s="40"/>
      <c r="AP307" s="40"/>
      <c r="AQ307" s="40"/>
      <c r="AR307" s="40"/>
      <c r="AS307" s="40"/>
      <c r="AT307" s="40"/>
      <c r="AU307" s="40"/>
      <c r="AV307" s="40"/>
      <c r="AW307" s="86"/>
      <c r="AX307" s="86"/>
      <c r="AY307" s="86"/>
      <c r="AZ307" s="86"/>
      <c r="BA307" s="86"/>
      <c r="BB307" s="86"/>
      <c r="BC307" s="86"/>
    </row>
    <row r="308" spans="1:55">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c r="AA308" s="40"/>
      <c r="AB308" s="40"/>
      <c r="AC308" s="40"/>
      <c r="AD308" s="40"/>
      <c r="AE308" s="40"/>
      <c r="AF308" s="40"/>
      <c r="AG308" s="40"/>
      <c r="AH308" s="40"/>
      <c r="AI308" s="40"/>
      <c r="AJ308" s="40"/>
      <c r="AK308" s="40"/>
      <c r="AL308" s="40"/>
      <c r="AM308" s="40"/>
      <c r="AN308" s="40"/>
      <c r="AO308" s="40"/>
      <c r="AP308" s="40"/>
      <c r="AQ308" s="40"/>
      <c r="AR308" s="40"/>
      <c r="AS308" s="40"/>
      <c r="AT308" s="40"/>
      <c r="AU308" s="40"/>
      <c r="AV308" s="40"/>
      <c r="AW308" s="86"/>
      <c r="AX308" s="86"/>
      <c r="AY308" s="86"/>
      <c r="AZ308" s="86"/>
      <c r="BA308" s="86"/>
      <c r="BB308" s="86"/>
      <c r="BC308" s="86"/>
    </row>
    <row r="309" spans="1:55">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c r="AA309" s="40"/>
      <c r="AB309" s="40"/>
      <c r="AC309" s="40"/>
      <c r="AD309" s="40"/>
      <c r="AE309" s="40"/>
      <c r="AF309" s="40"/>
      <c r="AG309" s="40"/>
      <c r="AH309" s="40"/>
      <c r="AI309" s="40"/>
      <c r="AJ309" s="40"/>
      <c r="AK309" s="40"/>
      <c r="AL309" s="40"/>
      <c r="AM309" s="40"/>
      <c r="AN309" s="40"/>
      <c r="AO309" s="40"/>
      <c r="AP309" s="40"/>
      <c r="AQ309" s="40"/>
      <c r="AR309" s="40"/>
      <c r="AS309" s="40"/>
      <c r="AT309" s="40"/>
      <c r="AU309" s="40"/>
      <c r="AV309" s="40"/>
      <c r="AW309" s="86"/>
      <c r="AX309" s="86"/>
      <c r="AY309" s="86"/>
      <c r="AZ309" s="86"/>
      <c r="BA309" s="86"/>
      <c r="BB309" s="86"/>
      <c r="BC309" s="86"/>
    </row>
    <row r="310" spans="1:55">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c r="AA310" s="40"/>
      <c r="AB310" s="40"/>
      <c r="AC310" s="40"/>
      <c r="AD310" s="40"/>
      <c r="AE310" s="40"/>
      <c r="AF310" s="40"/>
      <c r="AG310" s="40"/>
      <c r="AH310" s="40"/>
      <c r="AI310" s="40"/>
      <c r="AJ310" s="40"/>
      <c r="AK310" s="40"/>
      <c r="AL310" s="40"/>
      <c r="AM310" s="40"/>
      <c r="AN310" s="40"/>
      <c r="AO310" s="40"/>
      <c r="AP310" s="40"/>
      <c r="AQ310" s="40"/>
      <c r="AR310" s="40"/>
      <c r="AS310" s="40"/>
      <c r="AT310" s="40"/>
      <c r="AU310" s="40"/>
      <c r="AV310" s="40"/>
      <c r="AW310" s="86"/>
      <c r="AX310" s="86"/>
      <c r="AY310" s="86"/>
      <c r="AZ310" s="86"/>
      <c r="BA310" s="86"/>
      <c r="BB310" s="86"/>
      <c r="BC310" s="86"/>
    </row>
    <row r="311" spans="1:55">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c r="AA311" s="40"/>
      <c r="AB311" s="40"/>
      <c r="AC311" s="40"/>
      <c r="AD311" s="40"/>
      <c r="AE311" s="40"/>
      <c r="AF311" s="40"/>
      <c r="AG311" s="40"/>
      <c r="AH311" s="40"/>
      <c r="AI311" s="40"/>
      <c r="AJ311" s="40"/>
      <c r="AK311" s="40"/>
      <c r="AL311" s="40"/>
      <c r="AM311" s="40"/>
      <c r="AN311" s="40"/>
      <c r="AO311" s="40"/>
      <c r="AP311" s="40"/>
      <c r="AQ311" s="40"/>
      <c r="AR311" s="40"/>
      <c r="AS311" s="40"/>
      <c r="AT311" s="40"/>
      <c r="AU311" s="40"/>
      <c r="AV311" s="40"/>
      <c r="AW311" s="86"/>
      <c r="AX311" s="86"/>
      <c r="AY311" s="86"/>
      <c r="AZ311" s="86"/>
      <c r="BA311" s="86"/>
      <c r="BB311" s="86"/>
      <c r="BC311" s="86"/>
    </row>
    <row r="312" spans="1:55">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c r="AA312" s="40"/>
      <c r="AB312" s="40"/>
      <c r="AC312" s="40"/>
      <c r="AD312" s="40"/>
      <c r="AE312" s="40"/>
      <c r="AF312" s="40"/>
      <c r="AG312" s="40"/>
      <c r="AH312" s="40"/>
      <c r="AI312" s="40"/>
      <c r="AJ312" s="40"/>
      <c r="AK312" s="40"/>
      <c r="AL312" s="40"/>
      <c r="AM312" s="40"/>
      <c r="AN312" s="40"/>
      <c r="AO312" s="40"/>
      <c r="AP312" s="40"/>
      <c r="AQ312" s="40"/>
      <c r="AR312" s="40"/>
      <c r="AS312" s="40"/>
      <c r="AT312" s="40"/>
      <c r="AU312" s="40"/>
      <c r="AV312" s="40"/>
      <c r="AW312" s="86"/>
      <c r="AX312" s="86"/>
      <c r="AY312" s="86"/>
      <c r="AZ312" s="86"/>
      <c r="BA312" s="86"/>
      <c r="BB312" s="86"/>
      <c r="BC312" s="86"/>
    </row>
    <row r="313" spans="1:55">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c r="AA313" s="40"/>
      <c r="AB313" s="40"/>
      <c r="AC313" s="40"/>
      <c r="AD313" s="40"/>
      <c r="AE313" s="40"/>
      <c r="AF313" s="40"/>
      <c r="AG313" s="40"/>
      <c r="AH313" s="40"/>
      <c r="AI313" s="40"/>
      <c r="AJ313" s="40"/>
      <c r="AK313" s="40"/>
      <c r="AL313" s="40"/>
      <c r="AM313" s="40"/>
      <c r="AN313" s="40"/>
      <c r="AO313" s="40"/>
      <c r="AP313" s="40"/>
      <c r="AQ313" s="40"/>
      <c r="AR313" s="40"/>
      <c r="AS313" s="40"/>
      <c r="AT313" s="40"/>
      <c r="AU313" s="40"/>
      <c r="AV313" s="40"/>
      <c r="AW313" s="86"/>
      <c r="AX313" s="86"/>
      <c r="AY313" s="86"/>
      <c r="AZ313" s="86"/>
      <c r="BA313" s="86"/>
      <c r="BB313" s="86"/>
      <c r="BC313" s="86"/>
    </row>
    <row r="314" spans="1:55">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c r="AH314" s="40"/>
      <c r="AI314" s="40"/>
      <c r="AJ314" s="40"/>
      <c r="AK314" s="40"/>
      <c r="AL314" s="40"/>
      <c r="AM314" s="40"/>
      <c r="AN314" s="40"/>
      <c r="AO314" s="40"/>
      <c r="AP314" s="40"/>
      <c r="AQ314" s="40"/>
      <c r="AR314" s="40"/>
      <c r="AS314" s="40"/>
      <c r="AT314" s="40"/>
      <c r="AU314" s="40"/>
      <c r="AV314" s="40"/>
      <c r="AW314" s="86"/>
      <c r="AX314" s="86"/>
      <c r="AY314" s="86"/>
      <c r="AZ314" s="86"/>
      <c r="BA314" s="86"/>
      <c r="BB314" s="86"/>
      <c r="BC314" s="86"/>
    </row>
    <row r="315" spans="1:5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c r="AI315" s="40"/>
      <c r="AJ315" s="40"/>
      <c r="AK315" s="40"/>
      <c r="AL315" s="40"/>
      <c r="AM315" s="40"/>
      <c r="AN315" s="40"/>
      <c r="AO315" s="40"/>
      <c r="AP315" s="40"/>
      <c r="AQ315" s="40"/>
      <c r="AR315" s="40"/>
      <c r="AS315" s="40"/>
      <c r="AT315" s="40"/>
      <c r="AU315" s="40"/>
      <c r="AV315" s="40"/>
      <c r="AW315" s="86"/>
      <c r="AX315" s="86"/>
      <c r="AY315" s="86"/>
      <c r="AZ315" s="86"/>
      <c r="BA315" s="86"/>
      <c r="BB315" s="86"/>
      <c r="BC315" s="86"/>
    </row>
    <row r="316" spans="1:55">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c r="AI316" s="40"/>
      <c r="AJ316" s="40"/>
      <c r="AK316" s="40"/>
      <c r="AL316" s="40"/>
      <c r="AM316" s="40"/>
      <c r="AN316" s="40"/>
      <c r="AO316" s="40"/>
      <c r="AP316" s="40"/>
      <c r="AQ316" s="40"/>
      <c r="AR316" s="40"/>
      <c r="AS316" s="40"/>
      <c r="AT316" s="40"/>
      <c r="AU316" s="40"/>
      <c r="AV316" s="40"/>
      <c r="AW316" s="86"/>
      <c r="AX316" s="86"/>
      <c r="AY316" s="86"/>
      <c r="AZ316" s="86"/>
      <c r="BA316" s="86"/>
      <c r="BB316" s="86"/>
      <c r="BC316" s="86"/>
    </row>
    <row r="317" spans="1:55">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c r="AH317" s="40"/>
      <c r="AI317" s="40"/>
      <c r="AJ317" s="40"/>
      <c r="AK317" s="40"/>
      <c r="AL317" s="40"/>
      <c r="AM317" s="40"/>
      <c r="AN317" s="40"/>
      <c r="AO317" s="40"/>
      <c r="AP317" s="40"/>
      <c r="AQ317" s="40"/>
      <c r="AR317" s="40"/>
      <c r="AS317" s="40"/>
      <c r="AT317" s="40"/>
      <c r="AU317" s="40"/>
      <c r="AV317" s="40"/>
      <c r="AW317" s="86"/>
      <c r="AX317" s="86"/>
      <c r="AY317" s="86"/>
      <c r="AZ317" s="86"/>
      <c r="BA317" s="86"/>
      <c r="BB317" s="86"/>
      <c r="BC317" s="86"/>
    </row>
    <row r="318" spans="1:55">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c r="AA318" s="40"/>
      <c r="AB318" s="40"/>
      <c r="AC318" s="40"/>
      <c r="AD318" s="40"/>
      <c r="AE318" s="40"/>
      <c r="AF318" s="40"/>
      <c r="AG318" s="40"/>
      <c r="AH318" s="40"/>
      <c r="AI318" s="40"/>
      <c r="AJ318" s="40"/>
      <c r="AK318" s="40"/>
      <c r="AL318" s="40"/>
      <c r="AM318" s="40"/>
      <c r="AN318" s="40"/>
      <c r="AO318" s="40"/>
      <c r="AP318" s="40"/>
      <c r="AQ318" s="40"/>
      <c r="AR318" s="40"/>
      <c r="AS318" s="40"/>
      <c r="AT318" s="40"/>
      <c r="AU318" s="40"/>
      <c r="AV318" s="40"/>
      <c r="AW318" s="86"/>
      <c r="AX318" s="86"/>
      <c r="AY318" s="86"/>
      <c r="AZ318" s="86"/>
      <c r="BA318" s="86"/>
      <c r="BB318" s="86"/>
      <c r="BC318" s="86"/>
    </row>
    <row r="319" spans="1:55">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c r="AA319" s="40"/>
      <c r="AB319" s="40"/>
      <c r="AC319" s="40"/>
      <c r="AD319" s="40"/>
      <c r="AE319" s="40"/>
      <c r="AF319" s="40"/>
      <c r="AG319" s="40"/>
      <c r="AH319" s="40"/>
      <c r="AI319" s="40"/>
      <c r="AJ319" s="40"/>
      <c r="AK319" s="40"/>
      <c r="AL319" s="40"/>
      <c r="AM319" s="40"/>
      <c r="AN319" s="40"/>
      <c r="AO319" s="40"/>
      <c r="AP319" s="40"/>
      <c r="AQ319" s="40"/>
      <c r="AR319" s="40"/>
      <c r="AS319" s="40"/>
      <c r="AT319" s="40"/>
      <c r="AU319" s="40"/>
      <c r="AV319" s="40"/>
      <c r="AW319" s="86"/>
      <c r="AX319" s="86"/>
      <c r="AY319" s="86"/>
      <c r="AZ319" s="86"/>
      <c r="BA319" s="86"/>
      <c r="BB319" s="86"/>
      <c r="BC319" s="86"/>
    </row>
    <row r="320" spans="1:55">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c r="AA320" s="40"/>
      <c r="AB320" s="40"/>
      <c r="AC320" s="40"/>
      <c r="AD320" s="40"/>
      <c r="AE320" s="40"/>
      <c r="AF320" s="40"/>
      <c r="AG320" s="40"/>
      <c r="AH320" s="40"/>
      <c r="AI320" s="40"/>
      <c r="AJ320" s="40"/>
      <c r="AK320" s="40"/>
      <c r="AL320" s="40"/>
      <c r="AM320" s="40"/>
      <c r="AN320" s="40"/>
      <c r="AO320" s="40"/>
      <c r="AP320" s="40"/>
      <c r="AQ320" s="40"/>
      <c r="AR320" s="40"/>
      <c r="AS320" s="40"/>
      <c r="AT320" s="40"/>
      <c r="AU320" s="40"/>
      <c r="AV320" s="40"/>
      <c r="AW320" s="86"/>
      <c r="AX320" s="86"/>
      <c r="AY320" s="86"/>
      <c r="AZ320" s="86"/>
      <c r="BA320" s="86"/>
      <c r="BB320" s="86"/>
      <c r="BC320" s="86"/>
    </row>
    <row r="321" spans="1:55">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c r="AA321" s="40"/>
      <c r="AB321" s="40"/>
      <c r="AC321" s="40"/>
      <c r="AD321" s="40"/>
      <c r="AE321" s="40"/>
      <c r="AF321" s="40"/>
      <c r="AG321" s="40"/>
      <c r="AH321" s="40"/>
      <c r="AI321" s="40"/>
      <c r="AJ321" s="40"/>
      <c r="AK321" s="40"/>
      <c r="AL321" s="40"/>
      <c r="AM321" s="40"/>
      <c r="AN321" s="40"/>
      <c r="AO321" s="40"/>
      <c r="AP321" s="40"/>
      <c r="AQ321" s="40"/>
      <c r="AR321" s="40"/>
      <c r="AS321" s="40"/>
      <c r="AT321" s="40"/>
      <c r="AU321" s="40"/>
      <c r="AV321" s="40"/>
      <c r="AW321" s="86"/>
      <c r="AX321" s="86"/>
      <c r="AY321" s="86"/>
      <c r="AZ321" s="86"/>
      <c r="BA321" s="86"/>
      <c r="BB321" s="86"/>
      <c r="BC321" s="86"/>
    </row>
    <row r="322" spans="1:55">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c r="AG322" s="40"/>
      <c r="AH322" s="40"/>
      <c r="AI322" s="40"/>
      <c r="AJ322" s="40"/>
      <c r="AK322" s="40"/>
      <c r="AL322" s="40"/>
      <c r="AM322" s="40"/>
      <c r="AN322" s="40"/>
      <c r="AO322" s="40"/>
      <c r="AP322" s="40"/>
      <c r="AQ322" s="40"/>
      <c r="AR322" s="40"/>
      <c r="AS322" s="40"/>
      <c r="AT322" s="40"/>
      <c r="AU322" s="40"/>
      <c r="AV322" s="40"/>
      <c r="AW322" s="86"/>
      <c r="AX322" s="86"/>
      <c r="AY322" s="86"/>
      <c r="AZ322" s="86"/>
      <c r="BA322" s="86"/>
      <c r="BB322" s="86"/>
      <c r="BC322" s="86"/>
    </row>
    <row r="323" spans="1:55">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c r="AA323" s="40"/>
      <c r="AB323" s="40"/>
      <c r="AC323" s="40"/>
      <c r="AD323" s="40"/>
      <c r="AE323" s="40"/>
      <c r="AF323" s="40"/>
      <c r="AG323" s="40"/>
      <c r="AH323" s="40"/>
      <c r="AI323" s="40"/>
      <c r="AJ323" s="40"/>
      <c r="AK323" s="40"/>
      <c r="AL323" s="40"/>
      <c r="AM323" s="40"/>
      <c r="AN323" s="40"/>
      <c r="AO323" s="40"/>
      <c r="AP323" s="40"/>
      <c r="AQ323" s="40"/>
      <c r="AR323" s="40"/>
      <c r="AS323" s="40"/>
      <c r="AT323" s="40"/>
      <c r="AU323" s="40"/>
      <c r="AV323" s="40"/>
      <c r="AW323" s="86"/>
      <c r="AX323" s="86"/>
      <c r="AY323" s="86"/>
      <c r="AZ323" s="86"/>
      <c r="BA323" s="86"/>
      <c r="BB323" s="86"/>
      <c r="BC323" s="86"/>
    </row>
    <row r="324" spans="1:55">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c r="AA324" s="40"/>
      <c r="AB324" s="40"/>
      <c r="AC324" s="40"/>
      <c r="AD324" s="40"/>
      <c r="AE324" s="40"/>
      <c r="AF324" s="40"/>
      <c r="AG324" s="40"/>
      <c r="AH324" s="40"/>
      <c r="AI324" s="40"/>
      <c r="AJ324" s="40"/>
      <c r="AK324" s="40"/>
      <c r="AL324" s="40"/>
      <c r="AM324" s="40"/>
      <c r="AN324" s="40"/>
      <c r="AO324" s="40"/>
      <c r="AP324" s="40"/>
      <c r="AQ324" s="40"/>
      <c r="AR324" s="40"/>
      <c r="AS324" s="40"/>
      <c r="AT324" s="40"/>
      <c r="AU324" s="40"/>
      <c r="AV324" s="40"/>
      <c r="AW324" s="86"/>
      <c r="AX324" s="86"/>
      <c r="AY324" s="86"/>
      <c r="AZ324" s="86"/>
      <c r="BA324" s="86"/>
      <c r="BB324" s="86"/>
      <c r="BC324" s="86"/>
    </row>
    <row r="325" spans="1:5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c r="AA325" s="40"/>
      <c r="AB325" s="40"/>
      <c r="AC325" s="40"/>
      <c r="AD325" s="40"/>
      <c r="AE325" s="40"/>
      <c r="AF325" s="40"/>
      <c r="AG325" s="40"/>
      <c r="AH325" s="40"/>
      <c r="AI325" s="40"/>
      <c r="AJ325" s="40"/>
      <c r="AK325" s="40"/>
      <c r="AL325" s="40"/>
      <c r="AM325" s="40"/>
      <c r="AN325" s="40"/>
      <c r="AO325" s="40"/>
      <c r="AP325" s="40"/>
      <c r="AQ325" s="40"/>
      <c r="AR325" s="40"/>
      <c r="AS325" s="40"/>
      <c r="AT325" s="40"/>
      <c r="AU325" s="40"/>
      <c r="AV325" s="40"/>
      <c r="AW325" s="86"/>
      <c r="AX325" s="86"/>
      <c r="AY325" s="86"/>
      <c r="AZ325" s="86"/>
      <c r="BA325" s="86"/>
      <c r="BB325" s="86"/>
      <c r="BC325" s="86"/>
    </row>
    <row r="326" spans="1:55">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c r="AA326" s="40"/>
      <c r="AB326" s="40"/>
      <c r="AC326" s="40"/>
      <c r="AD326" s="40"/>
      <c r="AE326" s="40"/>
      <c r="AF326" s="40"/>
      <c r="AG326" s="40"/>
      <c r="AH326" s="40"/>
      <c r="AI326" s="40"/>
      <c r="AJ326" s="40"/>
      <c r="AK326" s="40"/>
      <c r="AL326" s="40"/>
      <c r="AM326" s="40"/>
      <c r="AN326" s="40"/>
      <c r="AO326" s="40"/>
      <c r="AP326" s="40"/>
      <c r="AQ326" s="40"/>
      <c r="AR326" s="40"/>
      <c r="AS326" s="40"/>
      <c r="AT326" s="40"/>
      <c r="AU326" s="40"/>
      <c r="AV326" s="40"/>
      <c r="AW326" s="86"/>
      <c r="AX326" s="86"/>
      <c r="AY326" s="86"/>
      <c r="AZ326" s="86"/>
      <c r="BA326" s="86"/>
      <c r="BB326" s="86"/>
      <c r="BC326" s="86"/>
    </row>
    <row r="327" spans="1:55">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c r="AA327" s="40"/>
      <c r="AB327" s="40"/>
      <c r="AC327" s="40"/>
      <c r="AD327" s="40"/>
      <c r="AE327" s="40"/>
      <c r="AF327" s="40"/>
      <c r="AG327" s="40"/>
      <c r="AH327" s="40"/>
      <c r="AI327" s="40"/>
      <c r="AJ327" s="40"/>
      <c r="AK327" s="40"/>
      <c r="AL327" s="40"/>
      <c r="AM327" s="40"/>
      <c r="AN327" s="40"/>
      <c r="AO327" s="40"/>
      <c r="AP327" s="40"/>
      <c r="AQ327" s="40"/>
      <c r="AR327" s="40"/>
      <c r="AS327" s="40"/>
      <c r="AT327" s="40"/>
      <c r="AU327" s="40"/>
      <c r="AV327" s="40"/>
      <c r="AW327" s="86"/>
      <c r="AX327" s="86"/>
      <c r="AY327" s="86"/>
      <c r="AZ327" s="86"/>
      <c r="BA327" s="86"/>
      <c r="BB327" s="86"/>
      <c r="BC327" s="86"/>
    </row>
    <row r="328" spans="1:55">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c r="AA328" s="40"/>
      <c r="AB328" s="40"/>
      <c r="AC328" s="40"/>
      <c r="AD328" s="40"/>
      <c r="AE328" s="40"/>
      <c r="AF328" s="40"/>
      <c r="AG328" s="40"/>
      <c r="AH328" s="40"/>
      <c r="AI328" s="40"/>
      <c r="AJ328" s="40"/>
      <c r="AK328" s="40"/>
      <c r="AL328" s="40"/>
      <c r="AM328" s="40"/>
      <c r="AN328" s="40"/>
      <c r="AO328" s="40"/>
      <c r="AP328" s="40"/>
      <c r="AQ328" s="40"/>
      <c r="AR328" s="40"/>
      <c r="AS328" s="40"/>
      <c r="AT328" s="40"/>
      <c r="AU328" s="40"/>
      <c r="AV328" s="40"/>
      <c r="AW328" s="86"/>
      <c r="AX328" s="86"/>
      <c r="AY328" s="86"/>
      <c r="AZ328" s="86"/>
      <c r="BA328" s="86"/>
      <c r="BB328" s="86"/>
      <c r="BC328" s="86"/>
    </row>
    <row r="329" spans="1:55">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c r="AA329" s="40"/>
      <c r="AB329" s="40"/>
      <c r="AC329" s="40"/>
      <c r="AD329" s="40"/>
      <c r="AE329" s="40"/>
      <c r="AF329" s="40"/>
      <c r="AG329" s="40"/>
      <c r="AH329" s="40"/>
      <c r="AI329" s="40"/>
      <c r="AJ329" s="40"/>
      <c r="AK329" s="40"/>
      <c r="AL329" s="40"/>
      <c r="AM329" s="40"/>
      <c r="AN329" s="40"/>
      <c r="AO329" s="40"/>
      <c r="AP329" s="40"/>
      <c r="AQ329" s="40"/>
      <c r="AR329" s="40"/>
      <c r="AS329" s="40"/>
      <c r="AT329" s="40"/>
      <c r="AU329" s="40"/>
      <c r="AV329" s="40"/>
      <c r="AW329" s="86"/>
      <c r="AX329" s="86"/>
      <c r="AY329" s="86"/>
      <c r="AZ329" s="86"/>
      <c r="BA329" s="86"/>
      <c r="BB329" s="86"/>
      <c r="BC329" s="86"/>
    </row>
    <row r="330" spans="1:55">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c r="AA330" s="40"/>
      <c r="AB330" s="40"/>
      <c r="AC330" s="40"/>
      <c r="AD330" s="40"/>
      <c r="AE330" s="40"/>
      <c r="AF330" s="40"/>
      <c r="AG330" s="40"/>
      <c r="AH330" s="40"/>
      <c r="AI330" s="40"/>
      <c r="AJ330" s="40"/>
      <c r="AK330" s="40"/>
      <c r="AL330" s="40"/>
      <c r="AM330" s="40"/>
      <c r="AN330" s="40"/>
      <c r="AO330" s="40"/>
      <c r="AP330" s="40"/>
      <c r="AQ330" s="40"/>
      <c r="AR330" s="40"/>
      <c r="AS330" s="40"/>
      <c r="AT330" s="40"/>
      <c r="AU330" s="40"/>
      <c r="AV330" s="40"/>
      <c r="AW330" s="86"/>
      <c r="AX330" s="86"/>
      <c r="AY330" s="86"/>
      <c r="AZ330" s="86"/>
      <c r="BA330" s="86"/>
      <c r="BB330" s="86"/>
      <c r="BC330" s="86"/>
    </row>
    <row r="331" spans="1:55">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c r="AA331" s="40"/>
      <c r="AB331" s="40"/>
      <c r="AC331" s="40"/>
      <c r="AD331" s="40"/>
      <c r="AE331" s="40"/>
      <c r="AF331" s="40"/>
      <c r="AG331" s="40"/>
      <c r="AH331" s="40"/>
      <c r="AI331" s="40"/>
      <c r="AJ331" s="40"/>
      <c r="AK331" s="40"/>
      <c r="AL331" s="40"/>
      <c r="AM331" s="40"/>
      <c r="AN331" s="40"/>
      <c r="AO331" s="40"/>
      <c r="AP331" s="40"/>
      <c r="AQ331" s="40"/>
      <c r="AR331" s="40"/>
      <c r="AS331" s="40"/>
      <c r="AT331" s="40"/>
      <c r="AU331" s="40"/>
      <c r="AV331" s="40"/>
      <c r="AW331" s="86"/>
      <c r="AX331" s="86"/>
      <c r="AY331" s="86"/>
      <c r="AZ331" s="86"/>
      <c r="BA331" s="86"/>
      <c r="BB331" s="86"/>
      <c r="BC331" s="86"/>
    </row>
    <row r="332" spans="1:55">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c r="AA332" s="40"/>
      <c r="AB332" s="40"/>
      <c r="AC332" s="40"/>
      <c r="AD332" s="40"/>
      <c r="AE332" s="40"/>
      <c r="AF332" s="40"/>
      <c r="AG332" s="40"/>
      <c r="AH332" s="40"/>
      <c r="AI332" s="40"/>
      <c r="AJ332" s="40"/>
      <c r="AK332" s="40"/>
      <c r="AL332" s="40"/>
      <c r="AM332" s="40"/>
      <c r="AN332" s="40"/>
      <c r="AO332" s="40"/>
      <c r="AP332" s="40"/>
      <c r="AQ332" s="40"/>
      <c r="AR332" s="40"/>
      <c r="AS332" s="40"/>
      <c r="AT332" s="40"/>
      <c r="AU332" s="40"/>
      <c r="AV332" s="40"/>
      <c r="AW332" s="86"/>
      <c r="AX332" s="86"/>
      <c r="AY332" s="86"/>
      <c r="AZ332" s="86"/>
      <c r="BA332" s="86"/>
      <c r="BB332" s="86"/>
      <c r="BC332" s="86"/>
    </row>
    <row r="333" spans="1:55">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c r="AA333" s="40"/>
      <c r="AB333" s="40"/>
      <c r="AC333" s="40"/>
      <c r="AD333" s="40"/>
      <c r="AE333" s="40"/>
      <c r="AF333" s="40"/>
      <c r="AG333" s="40"/>
      <c r="AH333" s="40"/>
      <c r="AI333" s="40"/>
      <c r="AJ333" s="40"/>
      <c r="AK333" s="40"/>
      <c r="AL333" s="40"/>
      <c r="AM333" s="40"/>
      <c r="AN333" s="40"/>
      <c r="AO333" s="40"/>
      <c r="AP333" s="40"/>
      <c r="AQ333" s="40"/>
      <c r="AR333" s="40"/>
      <c r="AS333" s="40"/>
      <c r="AT333" s="40"/>
      <c r="AU333" s="40"/>
      <c r="AV333" s="40"/>
      <c r="AW333" s="86"/>
      <c r="AX333" s="86"/>
      <c r="AY333" s="86"/>
      <c r="AZ333" s="86"/>
      <c r="BA333" s="86"/>
      <c r="BB333" s="86"/>
      <c r="BC333" s="86"/>
    </row>
    <row r="334" spans="1:55">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c r="AA334" s="40"/>
      <c r="AB334" s="40"/>
      <c r="AC334" s="40"/>
      <c r="AD334" s="40"/>
      <c r="AE334" s="40"/>
      <c r="AF334" s="40"/>
      <c r="AG334" s="40"/>
      <c r="AH334" s="40"/>
      <c r="AI334" s="40"/>
      <c r="AJ334" s="40"/>
      <c r="AK334" s="40"/>
      <c r="AL334" s="40"/>
      <c r="AM334" s="40"/>
      <c r="AN334" s="40"/>
      <c r="AO334" s="40"/>
      <c r="AP334" s="40"/>
      <c r="AQ334" s="40"/>
      <c r="AR334" s="40"/>
      <c r="AS334" s="40"/>
      <c r="AT334" s="40"/>
      <c r="AU334" s="40"/>
      <c r="AV334" s="40"/>
      <c r="AW334" s="86"/>
      <c r="AX334" s="86"/>
      <c r="AY334" s="86"/>
      <c r="AZ334" s="86"/>
      <c r="BA334" s="86"/>
      <c r="BB334" s="86"/>
      <c r="BC334" s="86"/>
    </row>
    <row r="335" spans="1:5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c r="AA335" s="40"/>
      <c r="AB335" s="40"/>
      <c r="AC335" s="40"/>
      <c r="AD335" s="40"/>
      <c r="AE335" s="40"/>
      <c r="AF335" s="40"/>
      <c r="AG335" s="40"/>
      <c r="AH335" s="40"/>
      <c r="AI335" s="40"/>
      <c r="AJ335" s="40"/>
      <c r="AK335" s="40"/>
      <c r="AL335" s="40"/>
      <c r="AM335" s="40"/>
      <c r="AN335" s="40"/>
      <c r="AO335" s="40"/>
      <c r="AP335" s="40"/>
      <c r="AQ335" s="40"/>
      <c r="AR335" s="40"/>
      <c r="AS335" s="40"/>
      <c r="AT335" s="40"/>
      <c r="AU335" s="40"/>
      <c r="AV335" s="40"/>
      <c r="AW335" s="86"/>
      <c r="AX335" s="86"/>
      <c r="AY335" s="86"/>
      <c r="AZ335" s="86"/>
      <c r="BA335" s="86"/>
      <c r="BB335" s="86"/>
      <c r="BC335" s="86"/>
    </row>
    <row r="336" spans="1:55">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c r="AA336" s="40"/>
      <c r="AB336" s="40"/>
      <c r="AC336" s="40"/>
      <c r="AD336" s="40"/>
      <c r="AE336" s="40"/>
      <c r="AF336" s="40"/>
      <c r="AG336" s="40"/>
      <c r="AH336" s="40"/>
      <c r="AI336" s="40"/>
      <c r="AJ336" s="40"/>
      <c r="AK336" s="40"/>
      <c r="AL336" s="40"/>
      <c r="AM336" s="40"/>
      <c r="AN336" s="40"/>
      <c r="AO336" s="40"/>
      <c r="AP336" s="40"/>
      <c r="AQ336" s="40"/>
      <c r="AR336" s="40"/>
      <c r="AS336" s="40"/>
      <c r="AT336" s="40"/>
      <c r="AU336" s="40"/>
      <c r="AV336" s="40"/>
      <c r="AW336" s="86"/>
      <c r="AX336" s="86"/>
      <c r="AY336" s="86"/>
      <c r="AZ336" s="86"/>
      <c r="BA336" s="86"/>
      <c r="BB336" s="86"/>
      <c r="BC336" s="86"/>
    </row>
    <row r="337" spans="1:55">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c r="AA337" s="40"/>
      <c r="AB337" s="40"/>
      <c r="AC337" s="40"/>
      <c r="AD337" s="40"/>
      <c r="AE337" s="40"/>
      <c r="AF337" s="40"/>
      <c r="AG337" s="40"/>
      <c r="AH337" s="40"/>
      <c r="AI337" s="40"/>
      <c r="AJ337" s="40"/>
      <c r="AK337" s="40"/>
      <c r="AL337" s="40"/>
      <c r="AM337" s="40"/>
      <c r="AN337" s="40"/>
      <c r="AO337" s="40"/>
      <c r="AP337" s="40"/>
      <c r="AQ337" s="40"/>
      <c r="AR337" s="40"/>
      <c r="AS337" s="40"/>
      <c r="AT337" s="40"/>
      <c r="AU337" s="40"/>
      <c r="AV337" s="40"/>
      <c r="AW337" s="86"/>
      <c r="AX337" s="86"/>
      <c r="AY337" s="86"/>
      <c r="AZ337" s="86"/>
      <c r="BA337" s="86"/>
      <c r="BB337" s="86"/>
      <c r="BC337" s="86"/>
    </row>
    <row r="338" spans="1:55">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c r="AA338" s="40"/>
      <c r="AB338" s="40"/>
      <c r="AC338" s="40"/>
      <c r="AD338" s="40"/>
      <c r="AE338" s="40"/>
      <c r="AF338" s="40"/>
      <c r="AG338" s="40"/>
      <c r="AH338" s="40"/>
      <c r="AI338" s="40"/>
      <c r="AJ338" s="40"/>
      <c r="AK338" s="40"/>
      <c r="AL338" s="40"/>
      <c r="AM338" s="40"/>
      <c r="AN338" s="40"/>
      <c r="AO338" s="40"/>
      <c r="AP338" s="40"/>
      <c r="AQ338" s="40"/>
      <c r="AR338" s="40"/>
      <c r="AS338" s="40"/>
      <c r="AT338" s="40"/>
      <c r="AU338" s="40"/>
      <c r="AV338" s="40"/>
      <c r="AW338" s="86"/>
      <c r="AX338" s="86"/>
      <c r="AY338" s="86"/>
      <c r="AZ338" s="86"/>
      <c r="BA338" s="86"/>
      <c r="BB338" s="86"/>
      <c r="BC338" s="86"/>
    </row>
    <row r="339" spans="1:55">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c r="AA339" s="40"/>
      <c r="AB339" s="40"/>
      <c r="AC339" s="40"/>
      <c r="AD339" s="40"/>
      <c r="AE339" s="40"/>
      <c r="AF339" s="40"/>
      <c r="AG339" s="40"/>
      <c r="AH339" s="40"/>
      <c r="AI339" s="40"/>
      <c r="AJ339" s="40"/>
      <c r="AK339" s="40"/>
      <c r="AL339" s="40"/>
      <c r="AM339" s="40"/>
      <c r="AN339" s="40"/>
      <c r="AO339" s="40"/>
      <c r="AP339" s="40"/>
      <c r="AQ339" s="40"/>
      <c r="AR339" s="40"/>
      <c r="AS339" s="40"/>
      <c r="AT339" s="40"/>
      <c r="AU339" s="40"/>
      <c r="AV339" s="40"/>
      <c r="AW339" s="86"/>
      <c r="AX339" s="86"/>
      <c r="AY339" s="86"/>
      <c r="AZ339" s="86"/>
      <c r="BA339" s="86"/>
      <c r="BB339" s="86"/>
      <c r="BC339" s="86"/>
    </row>
    <row r="340" spans="1:55">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c r="AA340" s="40"/>
      <c r="AB340" s="40"/>
      <c r="AC340" s="40"/>
      <c r="AD340" s="40"/>
      <c r="AE340" s="40"/>
      <c r="AF340" s="40"/>
      <c r="AG340" s="40"/>
      <c r="AH340" s="40"/>
      <c r="AI340" s="40"/>
      <c r="AJ340" s="40"/>
      <c r="AK340" s="40"/>
      <c r="AL340" s="40"/>
      <c r="AM340" s="40"/>
      <c r="AN340" s="40"/>
      <c r="AO340" s="40"/>
      <c r="AP340" s="40"/>
      <c r="AQ340" s="40"/>
      <c r="AR340" s="40"/>
      <c r="AS340" s="40"/>
      <c r="AT340" s="40"/>
      <c r="AU340" s="40"/>
      <c r="AV340" s="40"/>
      <c r="AW340" s="86"/>
      <c r="AX340" s="86"/>
      <c r="AY340" s="86"/>
      <c r="AZ340" s="86"/>
      <c r="BA340" s="86"/>
      <c r="BB340" s="86"/>
      <c r="BC340" s="86"/>
    </row>
    <row r="341" spans="1:55">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c r="AA341" s="40"/>
      <c r="AB341" s="40"/>
      <c r="AC341" s="40"/>
      <c r="AD341" s="40"/>
      <c r="AE341" s="40"/>
      <c r="AF341" s="40"/>
      <c r="AG341" s="40"/>
      <c r="AH341" s="40"/>
      <c r="AI341" s="40"/>
      <c r="AJ341" s="40"/>
      <c r="AK341" s="40"/>
      <c r="AL341" s="40"/>
      <c r="AM341" s="40"/>
      <c r="AN341" s="40"/>
      <c r="AO341" s="40"/>
      <c r="AP341" s="40"/>
      <c r="AQ341" s="40"/>
      <c r="AR341" s="40"/>
      <c r="AS341" s="40"/>
      <c r="AT341" s="40"/>
      <c r="AU341" s="40"/>
      <c r="AV341" s="40"/>
      <c r="AW341" s="86"/>
      <c r="AX341" s="86"/>
      <c r="AY341" s="86"/>
      <c r="AZ341" s="86"/>
      <c r="BA341" s="86"/>
      <c r="BB341" s="86"/>
      <c r="BC341" s="86"/>
    </row>
    <row r="342" spans="1:55">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c r="AA342" s="40"/>
      <c r="AB342" s="40"/>
      <c r="AC342" s="40"/>
      <c r="AD342" s="40"/>
      <c r="AE342" s="40"/>
      <c r="AF342" s="40"/>
      <c r="AG342" s="40"/>
      <c r="AH342" s="40"/>
      <c r="AI342" s="40"/>
      <c r="AJ342" s="40"/>
      <c r="AK342" s="40"/>
      <c r="AL342" s="40"/>
      <c r="AM342" s="40"/>
      <c r="AN342" s="40"/>
      <c r="AO342" s="40"/>
      <c r="AP342" s="40"/>
      <c r="AQ342" s="40"/>
      <c r="AR342" s="40"/>
      <c r="AS342" s="40"/>
      <c r="AT342" s="40"/>
      <c r="AU342" s="40"/>
      <c r="AV342" s="40"/>
      <c r="AW342" s="86"/>
      <c r="AX342" s="86"/>
      <c r="AY342" s="86"/>
      <c r="AZ342" s="86"/>
      <c r="BA342" s="86"/>
      <c r="BB342" s="86"/>
      <c r="BC342" s="86"/>
    </row>
    <row r="343" spans="1:55">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c r="AA343" s="40"/>
      <c r="AB343" s="40"/>
      <c r="AC343" s="40"/>
      <c r="AD343" s="40"/>
      <c r="AE343" s="40"/>
      <c r="AF343" s="40"/>
      <c r="AG343" s="40"/>
      <c r="AH343" s="40"/>
      <c r="AI343" s="40"/>
      <c r="AJ343" s="40"/>
      <c r="AK343" s="40"/>
      <c r="AL343" s="40"/>
      <c r="AM343" s="40"/>
      <c r="AN343" s="40"/>
      <c r="AO343" s="40"/>
      <c r="AP343" s="40"/>
      <c r="AQ343" s="40"/>
      <c r="AR343" s="40"/>
      <c r="AS343" s="40"/>
      <c r="AT343" s="40"/>
      <c r="AU343" s="40"/>
      <c r="AV343" s="40"/>
      <c r="AW343" s="86"/>
      <c r="AX343" s="86"/>
      <c r="AY343" s="86"/>
      <c r="AZ343" s="86"/>
      <c r="BA343" s="86"/>
      <c r="BB343" s="86"/>
      <c r="BC343" s="86"/>
    </row>
    <row r="344" spans="1:55">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c r="AB344" s="40"/>
      <c r="AC344" s="40"/>
      <c r="AD344" s="40"/>
      <c r="AE344" s="40"/>
      <c r="AF344" s="40"/>
      <c r="AG344" s="40"/>
      <c r="AH344" s="40"/>
      <c r="AI344" s="40"/>
      <c r="AJ344" s="40"/>
      <c r="AK344" s="40"/>
      <c r="AL344" s="40"/>
      <c r="AM344" s="40"/>
      <c r="AN344" s="40"/>
      <c r="AO344" s="40"/>
      <c r="AP344" s="40"/>
      <c r="AQ344" s="40"/>
      <c r="AR344" s="40"/>
      <c r="AS344" s="40"/>
      <c r="AT344" s="40"/>
      <c r="AU344" s="40"/>
      <c r="AV344" s="40"/>
      <c r="AW344" s="86"/>
      <c r="AX344" s="86"/>
      <c r="AY344" s="86"/>
      <c r="AZ344" s="86"/>
      <c r="BA344" s="86"/>
      <c r="BB344" s="86"/>
      <c r="BC344" s="86"/>
    </row>
    <row r="345" spans="1:5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c r="AA345" s="40"/>
      <c r="AB345" s="40"/>
      <c r="AC345" s="40"/>
      <c r="AD345" s="40"/>
      <c r="AE345" s="40"/>
      <c r="AF345" s="40"/>
      <c r="AG345" s="40"/>
      <c r="AH345" s="40"/>
      <c r="AI345" s="40"/>
      <c r="AJ345" s="40"/>
      <c r="AK345" s="40"/>
      <c r="AL345" s="40"/>
      <c r="AM345" s="40"/>
      <c r="AN345" s="40"/>
      <c r="AO345" s="40"/>
      <c r="AP345" s="40"/>
      <c r="AQ345" s="40"/>
      <c r="AR345" s="40"/>
      <c r="AS345" s="40"/>
      <c r="AT345" s="40"/>
      <c r="AU345" s="40"/>
      <c r="AV345" s="40"/>
      <c r="AW345" s="86"/>
      <c r="AX345" s="86"/>
      <c r="AY345" s="86"/>
      <c r="AZ345" s="86"/>
      <c r="BA345" s="86"/>
      <c r="BB345" s="86"/>
      <c r="BC345" s="86"/>
    </row>
    <row r="346" spans="1:55">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c r="AB346" s="40"/>
      <c r="AC346" s="40"/>
      <c r="AD346" s="40"/>
      <c r="AE346" s="40"/>
      <c r="AF346" s="40"/>
      <c r="AG346" s="40"/>
      <c r="AH346" s="40"/>
      <c r="AI346" s="40"/>
      <c r="AJ346" s="40"/>
      <c r="AK346" s="40"/>
      <c r="AL346" s="40"/>
      <c r="AM346" s="40"/>
      <c r="AN346" s="40"/>
      <c r="AO346" s="40"/>
      <c r="AP346" s="40"/>
      <c r="AQ346" s="40"/>
      <c r="AR346" s="40"/>
      <c r="AS346" s="40"/>
      <c r="AT346" s="40"/>
      <c r="AU346" s="40"/>
      <c r="AV346" s="40"/>
      <c r="AW346" s="86"/>
      <c r="AX346" s="86"/>
      <c r="AY346" s="86"/>
      <c r="AZ346" s="86"/>
      <c r="BA346" s="86"/>
      <c r="BB346" s="86"/>
      <c r="BC346" s="86"/>
    </row>
    <row r="347" spans="1:55">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c r="AA347" s="40"/>
      <c r="AB347" s="40"/>
      <c r="AC347" s="40"/>
      <c r="AD347" s="40"/>
      <c r="AE347" s="40"/>
      <c r="AF347" s="40"/>
      <c r="AG347" s="40"/>
      <c r="AH347" s="40"/>
      <c r="AI347" s="40"/>
      <c r="AJ347" s="40"/>
      <c r="AK347" s="40"/>
      <c r="AL347" s="40"/>
      <c r="AM347" s="40"/>
      <c r="AN347" s="40"/>
      <c r="AO347" s="40"/>
      <c r="AP347" s="40"/>
      <c r="AQ347" s="40"/>
      <c r="AR347" s="40"/>
      <c r="AS347" s="40"/>
      <c r="AT347" s="40"/>
      <c r="AU347" s="40"/>
      <c r="AV347" s="40"/>
      <c r="AW347" s="86"/>
      <c r="AX347" s="86"/>
      <c r="AY347" s="86"/>
      <c r="AZ347" s="86"/>
      <c r="BA347" s="86"/>
      <c r="BB347" s="86"/>
      <c r="BC347" s="86"/>
    </row>
    <row r="348" spans="1:55">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c r="AA348" s="40"/>
      <c r="AB348" s="40"/>
      <c r="AC348" s="40"/>
      <c r="AD348" s="40"/>
      <c r="AE348" s="40"/>
      <c r="AF348" s="40"/>
      <c r="AG348" s="40"/>
      <c r="AH348" s="40"/>
      <c r="AI348" s="40"/>
      <c r="AJ348" s="40"/>
      <c r="AK348" s="40"/>
      <c r="AL348" s="40"/>
      <c r="AM348" s="40"/>
      <c r="AN348" s="40"/>
      <c r="AO348" s="40"/>
      <c r="AP348" s="40"/>
      <c r="AQ348" s="40"/>
      <c r="AR348" s="40"/>
      <c r="AS348" s="40"/>
      <c r="AT348" s="40"/>
      <c r="AU348" s="40"/>
      <c r="AV348" s="40"/>
      <c r="AW348" s="86"/>
      <c r="AX348" s="86"/>
      <c r="AY348" s="86"/>
      <c r="AZ348" s="86"/>
      <c r="BA348" s="86"/>
      <c r="BB348" s="86"/>
      <c r="BC348" s="86"/>
    </row>
    <row r="349" spans="1:55">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c r="AA349" s="40"/>
      <c r="AB349" s="40"/>
      <c r="AC349" s="40"/>
      <c r="AD349" s="40"/>
      <c r="AE349" s="40"/>
      <c r="AF349" s="40"/>
      <c r="AG349" s="40"/>
      <c r="AH349" s="40"/>
      <c r="AI349" s="40"/>
      <c r="AJ349" s="40"/>
      <c r="AK349" s="40"/>
      <c r="AL349" s="40"/>
      <c r="AM349" s="40"/>
      <c r="AN349" s="40"/>
      <c r="AO349" s="40"/>
      <c r="AP349" s="40"/>
      <c r="AQ349" s="40"/>
      <c r="AR349" s="40"/>
      <c r="AS349" s="40"/>
      <c r="AT349" s="40"/>
      <c r="AU349" s="40"/>
      <c r="AV349" s="40"/>
      <c r="AW349" s="86"/>
      <c r="AX349" s="86"/>
      <c r="AY349" s="86"/>
      <c r="AZ349" s="86"/>
      <c r="BA349" s="86"/>
      <c r="BB349" s="86"/>
      <c r="BC349" s="86"/>
    </row>
    <row r="350" spans="1:55">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c r="AA350" s="40"/>
      <c r="AB350" s="40"/>
      <c r="AC350" s="40"/>
      <c r="AD350" s="40"/>
      <c r="AE350" s="40"/>
      <c r="AF350" s="40"/>
      <c r="AG350" s="40"/>
      <c r="AH350" s="40"/>
      <c r="AI350" s="40"/>
      <c r="AJ350" s="40"/>
      <c r="AK350" s="40"/>
      <c r="AL350" s="40"/>
      <c r="AM350" s="40"/>
      <c r="AN350" s="40"/>
      <c r="AO350" s="40"/>
      <c r="AP350" s="40"/>
      <c r="AQ350" s="40"/>
      <c r="AR350" s="40"/>
      <c r="AS350" s="40"/>
      <c r="AT350" s="40"/>
      <c r="AU350" s="40"/>
      <c r="AV350" s="40"/>
      <c r="AW350" s="86"/>
      <c r="AX350" s="86"/>
      <c r="AY350" s="86"/>
      <c r="AZ350" s="86"/>
      <c r="BA350" s="86"/>
      <c r="BB350" s="86"/>
      <c r="BC350" s="86"/>
    </row>
    <row r="351" spans="1:55">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c r="AB351" s="40"/>
      <c r="AC351" s="40"/>
      <c r="AD351" s="40"/>
      <c r="AE351" s="40"/>
      <c r="AF351" s="40"/>
      <c r="AG351" s="40"/>
      <c r="AH351" s="40"/>
      <c r="AI351" s="40"/>
      <c r="AJ351" s="40"/>
      <c r="AK351" s="40"/>
      <c r="AL351" s="40"/>
      <c r="AM351" s="40"/>
      <c r="AN351" s="40"/>
      <c r="AO351" s="40"/>
      <c r="AP351" s="40"/>
      <c r="AQ351" s="40"/>
      <c r="AR351" s="40"/>
      <c r="AS351" s="40"/>
      <c r="AT351" s="40"/>
      <c r="AU351" s="40"/>
      <c r="AV351" s="40"/>
      <c r="AW351" s="86"/>
      <c r="AX351" s="86"/>
      <c r="AY351" s="86"/>
      <c r="AZ351" s="86"/>
      <c r="BA351" s="86"/>
      <c r="BB351" s="86"/>
      <c r="BC351" s="86"/>
    </row>
    <row r="352" spans="1:55">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c r="AB352" s="40"/>
      <c r="AC352" s="40"/>
      <c r="AD352" s="40"/>
      <c r="AE352" s="40"/>
      <c r="AF352" s="40"/>
      <c r="AG352" s="40"/>
      <c r="AH352" s="40"/>
      <c r="AI352" s="40"/>
      <c r="AJ352" s="40"/>
      <c r="AK352" s="40"/>
      <c r="AL352" s="40"/>
      <c r="AM352" s="40"/>
      <c r="AN352" s="40"/>
      <c r="AO352" s="40"/>
      <c r="AP352" s="40"/>
      <c r="AQ352" s="40"/>
      <c r="AR352" s="40"/>
      <c r="AS352" s="40"/>
      <c r="AT352" s="40"/>
      <c r="AU352" s="40"/>
      <c r="AV352" s="40"/>
      <c r="AW352" s="86"/>
      <c r="AX352" s="86"/>
      <c r="AY352" s="86"/>
      <c r="AZ352" s="86"/>
      <c r="BA352" s="86"/>
      <c r="BB352" s="86"/>
      <c r="BC352" s="86"/>
    </row>
    <row r="353" spans="1:55">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c r="AB353" s="40"/>
      <c r="AC353" s="40"/>
      <c r="AD353" s="40"/>
      <c r="AE353" s="40"/>
      <c r="AF353" s="40"/>
      <c r="AG353" s="40"/>
      <c r="AH353" s="40"/>
      <c r="AI353" s="40"/>
      <c r="AJ353" s="40"/>
      <c r="AK353" s="40"/>
      <c r="AL353" s="40"/>
      <c r="AM353" s="40"/>
      <c r="AN353" s="40"/>
      <c r="AO353" s="40"/>
      <c r="AP353" s="40"/>
      <c r="AQ353" s="40"/>
      <c r="AR353" s="40"/>
      <c r="AS353" s="40"/>
      <c r="AT353" s="40"/>
      <c r="AU353" s="40"/>
      <c r="AV353" s="40"/>
      <c r="AW353" s="86"/>
      <c r="AX353" s="86"/>
      <c r="AY353" s="86"/>
      <c r="AZ353" s="86"/>
      <c r="BA353" s="86"/>
      <c r="BB353" s="86"/>
      <c r="BC353" s="86"/>
    </row>
    <row r="354" spans="1:55">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c r="AB354" s="40"/>
      <c r="AC354" s="40"/>
      <c r="AD354" s="40"/>
      <c r="AE354" s="40"/>
      <c r="AF354" s="40"/>
      <c r="AG354" s="40"/>
      <c r="AH354" s="40"/>
      <c r="AI354" s="40"/>
      <c r="AJ354" s="40"/>
      <c r="AK354" s="40"/>
      <c r="AL354" s="40"/>
      <c r="AM354" s="40"/>
      <c r="AN354" s="40"/>
      <c r="AO354" s="40"/>
      <c r="AP354" s="40"/>
      <c r="AQ354" s="40"/>
      <c r="AR354" s="40"/>
      <c r="AS354" s="40"/>
      <c r="AT354" s="40"/>
      <c r="AU354" s="40"/>
      <c r="AV354" s="40"/>
      <c r="AW354" s="86"/>
      <c r="AX354" s="86"/>
      <c r="AY354" s="86"/>
      <c r="AZ354" s="86"/>
      <c r="BA354" s="86"/>
      <c r="BB354" s="86"/>
      <c r="BC354" s="86"/>
    </row>
    <row r="355" spans="1: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c r="AA355" s="40"/>
      <c r="AB355" s="40"/>
      <c r="AC355" s="40"/>
      <c r="AD355" s="40"/>
      <c r="AE355" s="40"/>
      <c r="AF355" s="40"/>
      <c r="AG355" s="40"/>
      <c r="AH355" s="40"/>
      <c r="AI355" s="40"/>
      <c r="AJ355" s="40"/>
      <c r="AK355" s="40"/>
      <c r="AL355" s="40"/>
      <c r="AM355" s="40"/>
      <c r="AN355" s="40"/>
      <c r="AO355" s="40"/>
      <c r="AP355" s="40"/>
      <c r="AQ355" s="40"/>
      <c r="AR355" s="40"/>
      <c r="AS355" s="40"/>
      <c r="AT355" s="40"/>
      <c r="AU355" s="40"/>
      <c r="AV355" s="40"/>
      <c r="AW355" s="86"/>
      <c r="AX355" s="86"/>
      <c r="AY355" s="86"/>
      <c r="AZ355" s="86"/>
      <c r="BA355" s="86"/>
      <c r="BB355" s="86"/>
      <c r="BC355" s="86"/>
    </row>
    <row r="356" spans="1:55">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c r="AA356" s="40"/>
      <c r="AB356" s="40"/>
      <c r="AC356" s="40"/>
      <c r="AD356" s="40"/>
      <c r="AE356" s="40"/>
      <c r="AF356" s="40"/>
      <c r="AG356" s="40"/>
      <c r="AH356" s="40"/>
      <c r="AI356" s="40"/>
      <c r="AJ356" s="40"/>
      <c r="AK356" s="40"/>
      <c r="AL356" s="40"/>
      <c r="AM356" s="40"/>
      <c r="AN356" s="40"/>
      <c r="AO356" s="40"/>
      <c r="AP356" s="40"/>
      <c r="AQ356" s="40"/>
      <c r="AR356" s="40"/>
      <c r="AS356" s="40"/>
      <c r="AT356" s="40"/>
      <c r="AU356" s="40"/>
      <c r="AV356" s="40"/>
      <c r="AW356" s="86"/>
      <c r="AX356" s="86"/>
      <c r="AY356" s="86"/>
      <c r="AZ356" s="86"/>
      <c r="BA356" s="86"/>
      <c r="BB356" s="86"/>
      <c r="BC356" s="86"/>
    </row>
    <row r="357" spans="1:55">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c r="AA357" s="40"/>
      <c r="AB357" s="40"/>
      <c r="AC357" s="40"/>
      <c r="AD357" s="40"/>
      <c r="AE357" s="40"/>
      <c r="AF357" s="40"/>
      <c r="AG357" s="40"/>
      <c r="AH357" s="40"/>
      <c r="AI357" s="40"/>
      <c r="AJ357" s="40"/>
      <c r="AK357" s="40"/>
      <c r="AL357" s="40"/>
      <c r="AM357" s="40"/>
      <c r="AN357" s="40"/>
      <c r="AO357" s="40"/>
      <c r="AP357" s="40"/>
      <c r="AQ357" s="40"/>
      <c r="AR357" s="40"/>
      <c r="AS357" s="40"/>
      <c r="AT357" s="40"/>
      <c r="AU357" s="40"/>
      <c r="AV357" s="40"/>
      <c r="AW357" s="86"/>
      <c r="AX357" s="86"/>
      <c r="AY357" s="86"/>
      <c r="AZ357" s="86"/>
      <c r="BA357" s="86"/>
      <c r="BB357" s="86"/>
      <c r="BC357" s="86"/>
    </row>
    <row r="358" spans="1:55">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c r="AA358" s="40"/>
      <c r="AB358" s="40"/>
      <c r="AC358" s="40"/>
      <c r="AD358" s="40"/>
      <c r="AE358" s="40"/>
      <c r="AF358" s="40"/>
      <c r="AG358" s="40"/>
      <c r="AH358" s="40"/>
      <c r="AI358" s="40"/>
      <c r="AJ358" s="40"/>
      <c r="AK358" s="40"/>
      <c r="AL358" s="40"/>
      <c r="AM358" s="40"/>
      <c r="AN358" s="40"/>
      <c r="AO358" s="40"/>
      <c r="AP358" s="40"/>
      <c r="AQ358" s="40"/>
      <c r="AR358" s="40"/>
      <c r="AS358" s="40"/>
      <c r="AT358" s="40"/>
      <c r="AU358" s="40"/>
      <c r="AV358" s="40"/>
      <c r="AW358" s="86"/>
      <c r="AX358" s="86"/>
      <c r="AY358" s="86"/>
      <c r="AZ358" s="86"/>
      <c r="BA358" s="86"/>
      <c r="BB358" s="86"/>
      <c r="BC358" s="86"/>
    </row>
    <row r="359" spans="1:55">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c r="AA359" s="40"/>
      <c r="AB359" s="40"/>
      <c r="AC359" s="40"/>
      <c r="AD359" s="40"/>
      <c r="AE359" s="40"/>
      <c r="AF359" s="40"/>
      <c r="AG359" s="40"/>
      <c r="AH359" s="40"/>
      <c r="AI359" s="40"/>
      <c r="AJ359" s="40"/>
      <c r="AK359" s="40"/>
      <c r="AL359" s="40"/>
      <c r="AM359" s="40"/>
      <c r="AN359" s="40"/>
      <c r="AO359" s="40"/>
      <c r="AP359" s="40"/>
      <c r="AQ359" s="40"/>
      <c r="AR359" s="40"/>
      <c r="AS359" s="40"/>
      <c r="AT359" s="40"/>
      <c r="AU359" s="40"/>
      <c r="AV359" s="40"/>
      <c r="AW359" s="86"/>
      <c r="AX359" s="86"/>
      <c r="AY359" s="86"/>
      <c r="AZ359" s="86"/>
      <c r="BA359" s="86"/>
      <c r="BB359" s="86"/>
      <c r="BC359" s="86"/>
    </row>
    <row r="360" spans="1:55">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c r="AB360" s="40"/>
      <c r="AC360" s="40"/>
      <c r="AD360" s="40"/>
      <c r="AE360" s="40"/>
      <c r="AF360" s="40"/>
      <c r="AG360" s="40"/>
      <c r="AH360" s="40"/>
      <c r="AI360" s="40"/>
      <c r="AJ360" s="40"/>
      <c r="AK360" s="40"/>
      <c r="AL360" s="40"/>
      <c r="AM360" s="40"/>
      <c r="AN360" s="40"/>
      <c r="AO360" s="40"/>
      <c r="AP360" s="40"/>
      <c r="AQ360" s="40"/>
      <c r="AR360" s="40"/>
      <c r="AS360" s="40"/>
      <c r="AT360" s="40"/>
      <c r="AU360" s="40"/>
      <c r="AV360" s="40"/>
      <c r="AW360" s="86"/>
      <c r="AX360" s="86"/>
      <c r="AY360" s="86"/>
      <c r="AZ360" s="86"/>
      <c r="BA360" s="86"/>
      <c r="BB360" s="86"/>
      <c r="BC360" s="86"/>
    </row>
    <row r="361" spans="1:55">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c r="AB361" s="40"/>
      <c r="AC361" s="40"/>
      <c r="AD361" s="40"/>
      <c r="AE361" s="40"/>
      <c r="AF361" s="40"/>
      <c r="AG361" s="40"/>
      <c r="AH361" s="40"/>
      <c r="AI361" s="40"/>
      <c r="AJ361" s="40"/>
      <c r="AK361" s="40"/>
      <c r="AL361" s="40"/>
      <c r="AM361" s="40"/>
      <c r="AN361" s="40"/>
      <c r="AO361" s="40"/>
      <c r="AP361" s="40"/>
      <c r="AQ361" s="40"/>
      <c r="AR361" s="40"/>
      <c r="AS361" s="40"/>
      <c r="AT361" s="40"/>
      <c r="AU361" s="40"/>
      <c r="AV361" s="40"/>
      <c r="AW361" s="86"/>
      <c r="AX361" s="86"/>
      <c r="AY361" s="86"/>
      <c r="AZ361" s="86"/>
      <c r="BA361" s="86"/>
      <c r="BB361" s="86"/>
      <c r="BC361" s="86"/>
    </row>
    <row r="362" spans="1:55">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c r="AA362" s="40"/>
      <c r="AB362" s="40"/>
      <c r="AC362" s="40"/>
      <c r="AD362" s="40"/>
      <c r="AE362" s="40"/>
      <c r="AF362" s="40"/>
      <c r="AG362" s="40"/>
      <c r="AH362" s="40"/>
      <c r="AI362" s="40"/>
      <c r="AJ362" s="40"/>
      <c r="AK362" s="40"/>
      <c r="AL362" s="40"/>
      <c r="AM362" s="40"/>
      <c r="AN362" s="40"/>
      <c r="AO362" s="40"/>
      <c r="AP362" s="40"/>
      <c r="AQ362" s="40"/>
      <c r="AR362" s="40"/>
      <c r="AS362" s="40"/>
      <c r="AT362" s="40"/>
      <c r="AU362" s="40"/>
      <c r="AV362" s="40"/>
      <c r="AW362" s="86"/>
      <c r="AX362" s="86"/>
      <c r="AY362" s="86"/>
      <c r="AZ362" s="86"/>
      <c r="BA362" s="86"/>
      <c r="BB362" s="86"/>
      <c r="BC362" s="86"/>
    </row>
    <row r="363" spans="1:55">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c r="AA363" s="40"/>
      <c r="AB363" s="40"/>
      <c r="AC363" s="40"/>
      <c r="AD363" s="40"/>
      <c r="AE363" s="40"/>
      <c r="AF363" s="40"/>
      <c r="AG363" s="40"/>
      <c r="AH363" s="40"/>
      <c r="AI363" s="40"/>
      <c r="AJ363" s="40"/>
      <c r="AK363" s="40"/>
      <c r="AL363" s="40"/>
      <c r="AM363" s="40"/>
      <c r="AN363" s="40"/>
      <c r="AO363" s="40"/>
      <c r="AP363" s="40"/>
      <c r="AQ363" s="40"/>
      <c r="AR363" s="40"/>
      <c r="AS363" s="40"/>
      <c r="AT363" s="40"/>
      <c r="AU363" s="40"/>
      <c r="AV363" s="40"/>
      <c r="AW363" s="86"/>
      <c r="AX363" s="86"/>
      <c r="AY363" s="86"/>
      <c r="AZ363" s="86"/>
      <c r="BA363" s="86"/>
      <c r="BB363" s="86"/>
      <c r="BC363" s="86"/>
    </row>
    <row r="364" spans="1:55">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c r="AA364" s="40"/>
      <c r="AB364" s="40"/>
      <c r="AC364" s="40"/>
      <c r="AD364" s="40"/>
      <c r="AE364" s="40"/>
      <c r="AF364" s="40"/>
      <c r="AG364" s="40"/>
      <c r="AH364" s="40"/>
      <c r="AI364" s="40"/>
      <c r="AJ364" s="40"/>
      <c r="AK364" s="40"/>
      <c r="AL364" s="40"/>
      <c r="AM364" s="40"/>
      <c r="AN364" s="40"/>
      <c r="AO364" s="40"/>
      <c r="AP364" s="40"/>
      <c r="AQ364" s="40"/>
      <c r="AR364" s="40"/>
      <c r="AS364" s="40"/>
      <c r="AT364" s="40"/>
      <c r="AU364" s="40"/>
      <c r="AV364" s="40"/>
      <c r="AW364" s="86"/>
      <c r="AX364" s="86"/>
      <c r="AY364" s="86"/>
      <c r="AZ364" s="86"/>
      <c r="BA364" s="86"/>
      <c r="BB364" s="86"/>
      <c r="BC364" s="86"/>
    </row>
    <row r="365" spans="1:5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c r="AA365" s="40"/>
      <c r="AB365" s="40"/>
      <c r="AC365" s="40"/>
      <c r="AD365" s="40"/>
      <c r="AE365" s="40"/>
      <c r="AF365" s="40"/>
      <c r="AG365" s="40"/>
      <c r="AH365" s="40"/>
      <c r="AI365" s="40"/>
      <c r="AJ365" s="40"/>
      <c r="AK365" s="40"/>
      <c r="AL365" s="40"/>
      <c r="AM365" s="40"/>
      <c r="AN365" s="40"/>
      <c r="AO365" s="40"/>
      <c r="AP365" s="40"/>
      <c r="AQ365" s="40"/>
      <c r="AR365" s="40"/>
      <c r="AS365" s="40"/>
      <c r="AT365" s="40"/>
      <c r="AU365" s="40"/>
      <c r="AV365" s="40"/>
      <c r="AW365" s="86"/>
      <c r="AX365" s="86"/>
      <c r="AY365" s="86"/>
      <c r="AZ365" s="86"/>
      <c r="BA365" s="86"/>
      <c r="BB365" s="86"/>
      <c r="BC365" s="86"/>
    </row>
    <row r="366" spans="1:55">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c r="AA366" s="40"/>
      <c r="AB366" s="40"/>
      <c r="AC366" s="40"/>
      <c r="AD366" s="40"/>
      <c r="AE366" s="40"/>
      <c r="AF366" s="40"/>
      <c r="AG366" s="40"/>
      <c r="AH366" s="40"/>
      <c r="AI366" s="40"/>
      <c r="AJ366" s="40"/>
      <c r="AK366" s="40"/>
      <c r="AL366" s="40"/>
      <c r="AM366" s="40"/>
      <c r="AN366" s="40"/>
      <c r="AO366" s="40"/>
      <c r="AP366" s="40"/>
      <c r="AQ366" s="40"/>
      <c r="AR366" s="40"/>
      <c r="AS366" s="40"/>
      <c r="AT366" s="40"/>
      <c r="AU366" s="40"/>
      <c r="AV366" s="40"/>
      <c r="AW366" s="86"/>
      <c r="AX366" s="86"/>
      <c r="AY366" s="86"/>
      <c r="AZ366" s="86"/>
      <c r="BA366" s="86"/>
      <c r="BB366" s="86"/>
      <c r="BC366" s="86"/>
    </row>
    <row r="367" spans="1:55">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c r="AA367" s="40"/>
      <c r="AB367" s="40"/>
      <c r="AC367" s="40"/>
      <c r="AD367" s="40"/>
      <c r="AE367" s="40"/>
      <c r="AF367" s="40"/>
      <c r="AG367" s="40"/>
      <c r="AH367" s="40"/>
      <c r="AI367" s="40"/>
      <c r="AJ367" s="40"/>
      <c r="AK367" s="40"/>
      <c r="AL367" s="40"/>
      <c r="AM367" s="40"/>
      <c r="AN367" s="40"/>
      <c r="AO367" s="40"/>
      <c r="AP367" s="40"/>
      <c r="AQ367" s="40"/>
      <c r="AR367" s="40"/>
      <c r="AS367" s="40"/>
      <c r="AT367" s="40"/>
      <c r="AU367" s="40"/>
      <c r="AV367" s="40"/>
      <c r="AW367" s="86"/>
      <c r="AX367" s="86"/>
      <c r="AY367" s="86"/>
      <c r="AZ367" s="86"/>
      <c r="BA367" s="86"/>
      <c r="BB367" s="86"/>
      <c r="BC367" s="86"/>
    </row>
    <row r="368" spans="1:55">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c r="AA368" s="40"/>
      <c r="AB368" s="40"/>
      <c r="AC368" s="40"/>
      <c r="AD368" s="40"/>
      <c r="AE368" s="40"/>
      <c r="AF368" s="40"/>
      <c r="AG368" s="40"/>
      <c r="AH368" s="40"/>
      <c r="AI368" s="40"/>
      <c r="AJ368" s="40"/>
      <c r="AK368" s="40"/>
      <c r="AL368" s="40"/>
      <c r="AM368" s="40"/>
      <c r="AN368" s="40"/>
      <c r="AO368" s="40"/>
      <c r="AP368" s="40"/>
      <c r="AQ368" s="40"/>
      <c r="AR368" s="40"/>
      <c r="AS368" s="40"/>
      <c r="AT368" s="40"/>
      <c r="AU368" s="40"/>
      <c r="AV368" s="40"/>
      <c r="AW368" s="86"/>
      <c r="AX368" s="86"/>
      <c r="AY368" s="86"/>
      <c r="AZ368" s="86"/>
      <c r="BA368" s="86"/>
      <c r="BB368" s="86"/>
      <c r="BC368" s="86"/>
    </row>
    <row r="369" spans="1:55">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c r="AA369" s="40"/>
      <c r="AB369" s="40"/>
      <c r="AC369" s="40"/>
      <c r="AD369" s="40"/>
      <c r="AE369" s="40"/>
      <c r="AF369" s="40"/>
      <c r="AG369" s="40"/>
      <c r="AH369" s="40"/>
      <c r="AI369" s="40"/>
      <c r="AJ369" s="40"/>
      <c r="AK369" s="40"/>
      <c r="AL369" s="40"/>
      <c r="AM369" s="40"/>
      <c r="AN369" s="40"/>
      <c r="AO369" s="40"/>
      <c r="AP369" s="40"/>
      <c r="AQ369" s="40"/>
      <c r="AR369" s="40"/>
      <c r="AS369" s="40"/>
      <c r="AT369" s="40"/>
      <c r="AU369" s="40"/>
      <c r="AV369" s="40"/>
      <c r="AW369" s="86"/>
      <c r="AX369" s="86"/>
      <c r="AY369" s="86"/>
      <c r="AZ369" s="86"/>
      <c r="BA369" s="86"/>
      <c r="BB369" s="86"/>
      <c r="BC369" s="86"/>
    </row>
    <row r="370" spans="1:55">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c r="AA370" s="40"/>
      <c r="AB370" s="40"/>
      <c r="AC370" s="40"/>
      <c r="AD370" s="40"/>
      <c r="AE370" s="40"/>
      <c r="AF370" s="40"/>
      <c r="AG370" s="40"/>
      <c r="AH370" s="40"/>
      <c r="AI370" s="40"/>
      <c r="AJ370" s="40"/>
      <c r="AK370" s="40"/>
      <c r="AL370" s="40"/>
      <c r="AM370" s="40"/>
      <c r="AN370" s="40"/>
      <c r="AO370" s="40"/>
      <c r="AP370" s="40"/>
      <c r="AQ370" s="40"/>
      <c r="AR370" s="40"/>
      <c r="AS370" s="40"/>
      <c r="AT370" s="40"/>
      <c r="AU370" s="40"/>
      <c r="AV370" s="40"/>
      <c r="AW370" s="86"/>
      <c r="AX370" s="86"/>
      <c r="AY370" s="86"/>
      <c r="AZ370" s="86"/>
      <c r="BA370" s="86"/>
      <c r="BB370" s="86"/>
      <c r="BC370" s="86"/>
    </row>
    <row r="371" spans="1:55">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c r="AA371" s="40"/>
      <c r="AB371" s="40"/>
      <c r="AC371" s="40"/>
      <c r="AD371" s="40"/>
      <c r="AE371" s="40"/>
      <c r="AF371" s="40"/>
      <c r="AG371" s="40"/>
      <c r="AH371" s="40"/>
      <c r="AI371" s="40"/>
      <c r="AJ371" s="40"/>
      <c r="AK371" s="40"/>
      <c r="AL371" s="40"/>
      <c r="AM371" s="40"/>
      <c r="AN371" s="40"/>
      <c r="AO371" s="40"/>
      <c r="AP371" s="40"/>
      <c r="AQ371" s="40"/>
      <c r="AR371" s="40"/>
      <c r="AS371" s="40"/>
      <c r="AT371" s="40"/>
      <c r="AU371" s="40"/>
      <c r="AV371" s="40"/>
      <c r="AW371" s="86"/>
      <c r="AX371" s="86"/>
      <c r="AY371" s="86"/>
      <c r="AZ371" s="86"/>
      <c r="BA371" s="86"/>
      <c r="BB371" s="86"/>
      <c r="BC371" s="86"/>
    </row>
    <row r="372" spans="1:55">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c r="AA372" s="40"/>
      <c r="AB372" s="40"/>
      <c r="AC372" s="40"/>
      <c r="AD372" s="40"/>
      <c r="AE372" s="40"/>
      <c r="AF372" s="40"/>
      <c r="AG372" s="40"/>
      <c r="AH372" s="40"/>
      <c r="AI372" s="40"/>
      <c r="AJ372" s="40"/>
      <c r="AK372" s="40"/>
      <c r="AL372" s="40"/>
      <c r="AM372" s="40"/>
      <c r="AN372" s="40"/>
      <c r="AO372" s="40"/>
      <c r="AP372" s="40"/>
      <c r="AQ372" s="40"/>
      <c r="AR372" s="40"/>
      <c r="AS372" s="40"/>
      <c r="AT372" s="40"/>
      <c r="AU372" s="40"/>
      <c r="AV372" s="40"/>
      <c r="AW372" s="86"/>
      <c r="AX372" s="86"/>
      <c r="AY372" s="86"/>
      <c r="AZ372" s="86"/>
      <c r="BA372" s="86"/>
      <c r="BB372" s="86"/>
      <c r="BC372" s="86"/>
    </row>
    <row r="373" spans="1:55">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c r="AA373" s="40"/>
      <c r="AB373" s="40"/>
      <c r="AC373" s="40"/>
      <c r="AD373" s="40"/>
      <c r="AE373" s="40"/>
      <c r="AF373" s="40"/>
      <c r="AG373" s="40"/>
      <c r="AH373" s="40"/>
      <c r="AI373" s="40"/>
      <c r="AJ373" s="40"/>
      <c r="AK373" s="40"/>
      <c r="AL373" s="40"/>
      <c r="AM373" s="40"/>
      <c r="AN373" s="40"/>
      <c r="AO373" s="40"/>
      <c r="AP373" s="40"/>
      <c r="AQ373" s="40"/>
      <c r="AR373" s="40"/>
      <c r="AS373" s="40"/>
      <c r="AT373" s="40"/>
      <c r="AU373" s="40"/>
      <c r="AV373" s="40"/>
      <c r="AW373" s="86"/>
      <c r="AX373" s="86"/>
      <c r="AY373" s="86"/>
      <c r="AZ373" s="86"/>
      <c r="BA373" s="86"/>
      <c r="BB373" s="86"/>
      <c r="BC373" s="86"/>
    </row>
    <row r="374" spans="1:55">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c r="AA374" s="40"/>
      <c r="AB374" s="40"/>
      <c r="AC374" s="40"/>
      <c r="AD374" s="40"/>
      <c r="AE374" s="40"/>
      <c r="AF374" s="40"/>
      <c r="AG374" s="40"/>
      <c r="AH374" s="40"/>
      <c r="AI374" s="40"/>
      <c r="AJ374" s="40"/>
      <c r="AK374" s="40"/>
      <c r="AL374" s="40"/>
      <c r="AM374" s="40"/>
      <c r="AN374" s="40"/>
      <c r="AO374" s="40"/>
      <c r="AP374" s="40"/>
      <c r="AQ374" s="40"/>
      <c r="AR374" s="40"/>
      <c r="AS374" s="40"/>
      <c r="AT374" s="40"/>
      <c r="AU374" s="40"/>
      <c r="AV374" s="40"/>
      <c r="AW374" s="86"/>
      <c r="AX374" s="86"/>
      <c r="AY374" s="86"/>
      <c r="AZ374" s="86"/>
      <c r="BA374" s="86"/>
      <c r="BB374" s="86"/>
      <c r="BC374" s="86"/>
    </row>
    <row r="375" spans="1:5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c r="AA375" s="40"/>
      <c r="AB375" s="40"/>
      <c r="AC375" s="40"/>
      <c r="AD375" s="40"/>
      <c r="AE375" s="40"/>
      <c r="AF375" s="40"/>
      <c r="AG375" s="40"/>
      <c r="AH375" s="40"/>
      <c r="AI375" s="40"/>
      <c r="AJ375" s="40"/>
      <c r="AK375" s="40"/>
      <c r="AL375" s="40"/>
      <c r="AM375" s="40"/>
      <c r="AN375" s="40"/>
      <c r="AO375" s="40"/>
      <c r="AP375" s="40"/>
      <c r="AQ375" s="40"/>
      <c r="AR375" s="40"/>
      <c r="AS375" s="40"/>
      <c r="AT375" s="40"/>
      <c r="AU375" s="40"/>
      <c r="AV375" s="40"/>
      <c r="AW375" s="86"/>
      <c r="AX375" s="86"/>
      <c r="AY375" s="86"/>
      <c r="AZ375" s="86"/>
      <c r="BA375" s="86"/>
      <c r="BB375" s="86"/>
      <c r="BC375" s="86"/>
    </row>
    <row r="376" spans="1:55">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c r="AA376" s="40"/>
      <c r="AB376" s="40"/>
      <c r="AC376" s="40"/>
      <c r="AD376" s="40"/>
      <c r="AE376" s="40"/>
      <c r="AF376" s="40"/>
      <c r="AG376" s="40"/>
      <c r="AH376" s="40"/>
      <c r="AI376" s="40"/>
      <c r="AJ376" s="40"/>
      <c r="AK376" s="40"/>
      <c r="AL376" s="40"/>
      <c r="AM376" s="40"/>
      <c r="AN376" s="40"/>
      <c r="AO376" s="40"/>
      <c r="AP376" s="40"/>
      <c r="AQ376" s="40"/>
      <c r="AR376" s="40"/>
      <c r="AS376" s="40"/>
      <c r="AT376" s="40"/>
      <c r="AU376" s="40"/>
      <c r="AV376" s="40"/>
      <c r="AW376" s="86"/>
      <c r="AX376" s="86"/>
      <c r="AY376" s="86"/>
      <c r="AZ376" s="86"/>
      <c r="BA376" s="86"/>
      <c r="BB376" s="86"/>
      <c r="BC376" s="86"/>
    </row>
    <row r="377" spans="1:55">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c r="AA377" s="40"/>
      <c r="AB377" s="40"/>
      <c r="AC377" s="40"/>
      <c r="AD377" s="40"/>
      <c r="AE377" s="40"/>
      <c r="AF377" s="40"/>
      <c r="AG377" s="40"/>
      <c r="AH377" s="40"/>
      <c r="AI377" s="40"/>
      <c r="AJ377" s="40"/>
      <c r="AK377" s="40"/>
      <c r="AL377" s="40"/>
      <c r="AM377" s="40"/>
      <c r="AN377" s="40"/>
      <c r="AO377" s="40"/>
      <c r="AP377" s="40"/>
      <c r="AQ377" s="40"/>
      <c r="AR377" s="40"/>
      <c r="AS377" s="40"/>
      <c r="AT377" s="40"/>
      <c r="AU377" s="40"/>
      <c r="AV377" s="40"/>
      <c r="AW377" s="86"/>
      <c r="AX377" s="86"/>
      <c r="AY377" s="86"/>
      <c r="AZ377" s="86"/>
      <c r="BA377" s="86"/>
      <c r="BB377" s="86"/>
      <c r="BC377" s="86"/>
    </row>
    <row r="378" spans="1:55">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c r="AB378" s="40"/>
      <c r="AC378" s="40"/>
      <c r="AD378" s="40"/>
      <c r="AE378" s="40"/>
      <c r="AF378" s="40"/>
      <c r="AG378" s="40"/>
      <c r="AH378" s="40"/>
      <c r="AI378" s="40"/>
      <c r="AJ378" s="40"/>
      <c r="AK378" s="40"/>
      <c r="AL378" s="40"/>
      <c r="AM378" s="40"/>
      <c r="AN378" s="40"/>
      <c r="AO378" s="40"/>
      <c r="AP378" s="40"/>
      <c r="AQ378" s="40"/>
      <c r="AR378" s="40"/>
      <c r="AS378" s="40"/>
      <c r="AT378" s="40"/>
      <c r="AU378" s="40"/>
      <c r="AV378" s="40"/>
      <c r="AW378" s="86"/>
      <c r="AX378" s="86"/>
      <c r="AY378" s="86"/>
      <c r="AZ378" s="86"/>
      <c r="BA378" s="86"/>
      <c r="BB378" s="86"/>
      <c r="BC378" s="86"/>
    </row>
    <row r="379" spans="1:55">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c r="AB379" s="40"/>
      <c r="AC379" s="40"/>
      <c r="AD379" s="40"/>
      <c r="AE379" s="40"/>
      <c r="AF379" s="40"/>
      <c r="AG379" s="40"/>
      <c r="AH379" s="40"/>
      <c r="AI379" s="40"/>
      <c r="AJ379" s="40"/>
      <c r="AK379" s="40"/>
      <c r="AL379" s="40"/>
      <c r="AM379" s="40"/>
      <c r="AN379" s="40"/>
      <c r="AO379" s="40"/>
      <c r="AP379" s="40"/>
      <c r="AQ379" s="40"/>
      <c r="AR379" s="40"/>
      <c r="AS379" s="40"/>
      <c r="AT379" s="40"/>
      <c r="AU379" s="40"/>
      <c r="AV379" s="40"/>
      <c r="AW379" s="86"/>
      <c r="AX379" s="86"/>
      <c r="AY379" s="86"/>
      <c r="AZ379" s="86"/>
      <c r="BA379" s="86"/>
      <c r="BB379" s="86"/>
      <c r="BC379" s="86"/>
    </row>
    <row r="380" spans="1:55">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c r="AA380" s="40"/>
      <c r="AB380" s="40"/>
      <c r="AC380" s="40"/>
      <c r="AD380" s="40"/>
      <c r="AE380" s="40"/>
      <c r="AF380" s="40"/>
      <c r="AG380" s="40"/>
      <c r="AH380" s="40"/>
      <c r="AI380" s="40"/>
      <c r="AJ380" s="40"/>
      <c r="AK380" s="40"/>
      <c r="AL380" s="40"/>
      <c r="AM380" s="40"/>
      <c r="AN380" s="40"/>
      <c r="AO380" s="40"/>
      <c r="AP380" s="40"/>
      <c r="AQ380" s="40"/>
      <c r="AR380" s="40"/>
      <c r="AS380" s="40"/>
      <c r="AT380" s="40"/>
      <c r="AU380" s="40"/>
      <c r="AV380" s="40"/>
      <c r="AW380" s="86"/>
      <c r="AX380" s="86"/>
      <c r="AY380" s="86"/>
      <c r="AZ380" s="86"/>
      <c r="BA380" s="86"/>
      <c r="BB380" s="86"/>
      <c r="BC380" s="86"/>
    </row>
    <row r="381" spans="1:55">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c r="AA381" s="40"/>
      <c r="AB381" s="40"/>
      <c r="AC381" s="40"/>
      <c r="AD381" s="40"/>
      <c r="AE381" s="40"/>
      <c r="AF381" s="40"/>
      <c r="AG381" s="40"/>
      <c r="AH381" s="40"/>
      <c r="AI381" s="40"/>
      <c r="AJ381" s="40"/>
      <c r="AK381" s="40"/>
      <c r="AL381" s="40"/>
      <c r="AM381" s="40"/>
      <c r="AN381" s="40"/>
      <c r="AO381" s="40"/>
      <c r="AP381" s="40"/>
      <c r="AQ381" s="40"/>
      <c r="AR381" s="40"/>
      <c r="AS381" s="40"/>
      <c r="AT381" s="40"/>
      <c r="AU381" s="40"/>
      <c r="AV381" s="40"/>
      <c r="AW381" s="86"/>
      <c r="AX381" s="86"/>
      <c r="AY381" s="86"/>
      <c r="AZ381" s="86"/>
      <c r="BA381" s="86"/>
      <c r="BB381" s="86"/>
      <c r="BC381" s="86"/>
    </row>
    <row r="382" spans="1:55">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c r="AB382" s="40"/>
      <c r="AC382" s="40"/>
      <c r="AD382" s="40"/>
      <c r="AE382" s="40"/>
      <c r="AF382" s="40"/>
      <c r="AG382" s="40"/>
      <c r="AH382" s="40"/>
      <c r="AI382" s="40"/>
      <c r="AJ382" s="40"/>
      <c r="AK382" s="40"/>
      <c r="AL382" s="40"/>
      <c r="AM382" s="40"/>
      <c r="AN382" s="40"/>
      <c r="AO382" s="40"/>
      <c r="AP382" s="40"/>
      <c r="AQ382" s="40"/>
      <c r="AR382" s="40"/>
      <c r="AS382" s="40"/>
      <c r="AT382" s="40"/>
      <c r="AU382" s="40"/>
      <c r="AV382" s="40"/>
      <c r="AW382" s="86"/>
      <c r="AX382" s="86"/>
      <c r="AY382" s="86"/>
      <c r="AZ382" s="86"/>
      <c r="BA382" s="86"/>
      <c r="BB382" s="86"/>
      <c r="BC382" s="86"/>
    </row>
    <row r="383" spans="1:55">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c r="AA383" s="40"/>
      <c r="AB383" s="40"/>
      <c r="AC383" s="40"/>
      <c r="AD383" s="40"/>
      <c r="AE383" s="40"/>
      <c r="AF383" s="40"/>
      <c r="AG383" s="40"/>
      <c r="AH383" s="40"/>
      <c r="AI383" s="40"/>
      <c r="AJ383" s="40"/>
      <c r="AK383" s="40"/>
      <c r="AL383" s="40"/>
      <c r="AM383" s="40"/>
      <c r="AN383" s="40"/>
      <c r="AO383" s="40"/>
      <c r="AP383" s="40"/>
      <c r="AQ383" s="40"/>
      <c r="AR383" s="40"/>
      <c r="AS383" s="40"/>
      <c r="AT383" s="40"/>
      <c r="AU383" s="40"/>
      <c r="AV383" s="40"/>
      <c r="AW383" s="86"/>
      <c r="AX383" s="86"/>
      <c r="AY383" s="86"/>
      <c r="AZ383" s="86"/>
      <c r="BA383" s="86"/>
      <c r="BB383" s="86"/>
      <c r="BC383" s="86"/>
    </row>
    <row r="384" spans="1:55">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40"/>
      <c r="AB384" s="40"/>
      <c r="AC384" s="40"/>
      <c r="AD384" s="40"/>
      <c r="AE384" s="40"/>
      <c r="AF384" s="40"/>
      <c r="AG384" s="40"/>
      <c r="AH384" s="40"/>
      <c r="AI384" s="40"/>
      <c r="AJ384" s="40"/>
      <c r="AK384" s="40"/>
      <c r="AL384" s="40"/>
      <c r="AM384" s="40"/>
      <c r="AN384" s="40"/>
      <c r="AO384" s="40"/>
      <c r="AP384" s="40"/>
      <c r="AQ384" s="40"/>
      <c r="AR384" s="40"/>
      <c r="AS384" s="40"/>
      <c r="AT384" s="40"/>
      <c r="AU384" s="40"/>
      <c r="AV384" s="40"/>
      <c r="AW384" s="86"/>
      <c r="AX384" s="86"/>
      <c r="AY384" s="86"/>
      <c r="AZ384" s="86"/>
      <c r="BA384" s="86"/>
      <c r="BB384" s="86"/>
      <c r="BC384" s="86"/>
    </row>
    <row r="385" spans="1:5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c r="AB385" s="40"/>
      <c r="AC385" s="40"/>
      <c r="AD385" s="40"/>
      <c r="AE385" s="40"/>
      <c r="AF385" s="40"/>
      <c r="AG385" s="40"/>
      <c r="AH385" s="40"/>
      <c r="AI385" s="40"/>
      <c r="AJ385" s="40"/>
      <c r="AK385" s="40"/>
      <c r="AL385" s="40"/>
      <c r="AM385" s="40"/>
      <c r="AN385" s="40"/>
      <c r="AO385" s="40"/>
      <c r="AP385" s="40"/>
      <c r="AQ385" s="40"/>
      <c r="AR385" s="40"/>
      <c r="AS385" s="40"/>
      <c r="AT385" s="40"/>
      <c r="AU385" s="40"/>
      <c r="AV385" s="40"/>
      <c r="AW385" s="86"/>
      <c r="AX385" s="86"/>
      <c r="AY385" s="86"/>
      <c r="AZ385" s="86"/>
      <c r="BA385" s="86"/>
      <c r="BB385" s="86"/>
      <c r="BC385" s="86"/>
    </row>
    <row r="386" spans="1:55">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c r="AA386" s="40"/>
      <c r="AB386" s="40"/>
      <c r="AC386" s="40"/>
      <c r="AD386" s="40"/>
      <c r="AE386" s="40"/>
      <c r="AF386" s="40"/>
      <c r="AG386" s="40"/>
      <c r="AH386" s="40"/>
      <c r="AI386" s="40"/>
      <c r="AJ386" s="40"/>
      <c r="AK386" s="40"/>
      <c r="AL386" s="40"/>
      <c r="AM386" s="40"/>
      <c r="AN386" s="40"/>
      <c r="AO386" s="40"/>
      <c r="AP386" s="40"/>
      <c r="AQ386" s="40"/>
      <c r="AR386" s="40"/>
      <c r="AS386" s="40"/>
      <c r="AT386" s="40"/>
      <c r="AU386" s="40"/>
      <c r="AV386" s="40"/>
      <c r="AW386" s="86"/>
      <c r="AX386" s="86"/>
      <c r="AY386" s="86"/>
      <c r="AZ386" s="86"/>
      <c r="BA386" s="86"/>
      <c r="BB386" s="86"/>
      <c r="BC386" s="86"/>
    </row>
    <row r="387" spans="1:55">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c r="AA387" s="40"/>
      <c r="AB387" s="40"/>
      <c r="AC387" s="40"/>
      <c r="AD387" s="40"/>
      <c r="AE387" s="40"/>
      <c r="AF387" s="40"/>
      <c r="AG387" s="40"/>
      <c r="AH387" s="40"/>
      <c r="AI387" s="40"/>
      <c r="AJ387" s="40"/>
      <c r="AK387" s="40"/>
      <c r="AL387" s="40"/>
      <c r="AM387" s="40"/>
      <c r="AN387" s="40"/>
      <c r="AO387" s="40"/>
      <c r="AP387" s="40"/>
      <c r="AQ387" s="40"/>
      <c r="AR387" s="40"/>
      <c r="AS387" s="40"/>
      <c r="AT387" s="40"/>
      <c r="AU387" s="40"/>
      <c r="AV387" s="40"/>
      <c r="AW387" s="86"/>
      <c r="AX387" s="86"/>
      <c r="AY387" s="86"/>
      <c r="AZ387" s="86"/>
      <c r="BA387" s="86"/>
      <c r="BB387" s="86"/>
      <c r="BC387" s="86"/>
    </row>
    <row r="388" spans="1:55">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c r="AA388" s="40"/>
      <c r="AB388" s="40"/>
      <c r="AC388" s="40"/>
      <c r="AD388" s="40"/>
      <c r="AE388" s="40"/>
      <c r="AF388" s="40"/>
      <c r="AG388" s="40"/>
      <c r="AH388" s="40"/>
      <c r="AI388" s="40"/>
      <c r="AJ388" s="40"/>
      <c r="AK388" s="40"/>
      <c r="AL388" s="40"/>
      <c r="AM388" s="40"/>
      <c r="AN388" s="40"/>
      <c r="AO388" s="40"/>
      <c r="AP388" s="40"/>
      <c r="AQ388" s="40"/>
      <c r="AR388" s="40"/>
      <c r="AS388" s="40"/>
      <c r="AT388" s="40"/>
      <c r="AU388" s="40"/>
      <c r="AV388" s="40"/>
      <c r="AW388" s="86"/>
      <c r="AX388" s="86"/>
      <c r="AY388" s="86"/>
      <c r="AZ388" s="86"/>
      <c r="BA388" s="86"/>
      <c r="BB388" s="86"/>
      <c r="BC388" s="86"/>
    </row>
    <row r="389" spans="1:55">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c r="AA389" s="40"/>
      <c r="AB389" s="40"/>
      <c r="AC389" s="40"/>
      <c r="AD389" s="40"/>
      <c r="AE389" s="40"/>
      <c r="AF389" s="40"/>
      <c r="AG389" s="40"/>
      <c r="AH389" s="40"/>
      <c r="AI389" s="40"/>
      <c r="AJ389" s="40"/>
      <c r="AK389" s="40"/>
      <c r="AL389" s="40"/>
      <c r="AM389" s="40"/>
      <c r="AN389" s="40"/>
      <c r="AO389" s="40"/>
      <c r="AP389" s="40"/>
      <c r="AQ389" s="40"/>
      <c r="AR389" s="40"/>
      <c r="AS389" s="40"/>
      <c r="AT389" s="40"/>
      <c r="AU389" s="40"/>
      <c r="AV389" s="40"/>
      <c r="AW389" s="86"/>
      <c r="AX389" s="86"/>
      <c r="AY389" s="86"/>
      <c r="AZ389" s="86"/>
      <c r="BA389" s="86"/>
      <c r="BB389" s="86"/>
      <c r="BC389" s="86"/>
    </row>
    <row r="390" spans="1:55">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c r="AA390" s="40"/>
      <c r="AB390" s="40"/>
      <c r="AC390" s="40"/>
      <c r="AD390" s="40"/>
      <c r="AE390" s="40"/>
      <c r="AF390" s="40"/>
      <c r="AG390" s="40"/>
      <c r="AH390" s="40"/>
      <c r="AI390" s="40"/>
      <c r="AJ390" s="40"/>
      <c r="AK390" s="40"/>
      <c r="AL390" s="40"/>
      <c r="AM390" s="40"/>
      <c r="AN390" s="40"/>
      <c r="AO390" s="40"/>
      <c r="AP390" s="40"/>
      <c r="AQ390" s="40"/>
      <c r="AR390" s="40"/>
      <c r="AS390" s="40"/>
      <c r="AT390" s="40"/>
      <c r="AU390" s="40"/>
      <c r="AV390" s="40"/>
      <c r="AW390" s="86"/>
      <c r="AX390" s="86"/>
      <c r="AY390" s="86"/>
      <c r="AZ390" s="86"/>
      <c r="BA390" s="86"/>
      <c r="BB390" s="86"/>
      <c r="BC390" s="86"/>
    </row>
    <row r="391" spans="1:55">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c r="AA391" s="40"/>
      <c r="AB391" s="40"/>
      <c r="AC391" s="40"/>
      <c r="AD391" s="40"/>
      <c r="AE391" s="40"/>
      <c r="AF391" s="40"/>
      <c r="AG391" s="40"/>
      <c r="AH391" s="40"/>
      <c r="AI391" s="40"/>
      <c r="AJ391" s="40"/>
      <c r="AK391" s="40"/>
      <c r="AL391" s="40"/>
      <c r="AM391" s="40"/>
      <c r="AN391" s="40"/>
      <c r="AO391" s="40"/>
      <c r="AP391" s="40"/>
      <c r="AQ391" s="40"/>
      <c r="AR391" s="40"/>
      <c r="AS391" s="40"/>
      <c r="AT391" s="40"/>
      <c r="AU391" s="40"/>
      <c r="AV391" s="40"/>
      <c r="AW391" s="86"/>
      <c r="AX391" s="86"/>
      <c r="AY391" s="86"/>
      <c r="AZ391" s="86"/>
      <c r="BA391" s="86"/>
      <c r="BB391" s="86"/>
      <c r="BC391" s="86"/>
    </row>
    <row r="392" spans="1:55">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c r="AA392" s="40"/>
      <c r="AB392" s="40"/>
      <c r="AC392" s="40"/>
      <c r="AD392" s="40"/>
      <c r="AE392" s="40"/>
      <c r="AF392" s="40"/>
      <c r="AG392" s="40"/>
      <c r="AH392" s="40"/>
      <c r="AI392" s="40"/>
      <c r="AJ392" s="40"/>
      <c r="AK392" s="40"/>
      <c r="AL392" s="40"/>
      <c r="AM392" s="40"/>
      <c r="AN392" s="40"/>
      <c r="AO392" s="40"/>
      <c r="AP392" s="40"/>
      <c r="AQ392" s="40"/>
      <c r="AR392" s="40"/>
      <c r="AS392" s="40"/>
      <c r="AT392" s="40"/>
      <c r="AU392" s="40"/>
      <c r="AV392" s="40"/>
      <c r="AW392" s="86"/>
      <c r="AX392" s="86"/>
      <c r="AY392" s="86"/>
      <c r="AZ392" s="86"/>
      <c r="BA392" s="86"/>
      <c r="BB392" s="86"/>
      <c r="BC392" s="86"/>
    </row>
    <row r="393" spans="1:55">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c r="AA393" s="40"/>
      <c r="AB393" s="40"/>
      <c r="AC393" s="40"/>
      <c r="AD393" s="40"/>
      <c r="AE393" s="40"/>
      <c r="AF393" s="40"/>
      <c r="AG393" s="40"/>
      <c r="AH393" s="40"/>
      <c r="AI393" s="40"/>
      <c r="AJ393" s="40"/>
      <c r="AK393" s="40"/>
      <c r="AL393" s="40"/>
      <c r="AM393" s="40"/>
      <c r="AN393" s="40"/>
      <c r="AO393" s="40"/>
      <c r="AP393" s="40"/>
      <c r="AQ393" s="40"/>
      <c r="AR393" s="40"/>
      <c r="AS393" s="40"/>
      <c r="AT393" s="40"/>
      <c r="AU393" s="40"/>
      <c r="AV393" s="40"/>
      <c r="AW393" s="86"/>
      <c r="AX393" s="86"/>
      <c r="AY393" s="86"/>
      <c r="AZ393" s="86"/>
      <c r="BA393" s="86"/>
      <c r="BB393" s="86"/>
      <c r="BC393" s="86"/>
    </row>
    <row r="394" spans="1:55">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c r="AA394" s="40"/>
      <c r="AB394" s="40"/>
      <c r="AC394" s="40"/>
      <c r="AD394" s="40"/>
      <c r="AE394" s="40"/>
      <c r="AF394" s="40"/>
      <c r="AG394" s="40"/>
      <c r="AH394" s="40"/>
      <c r="AI394" s="40"/>
      <c r="AJ394" s="40"/>
      <c r="AK394" s="40"/>
      <c r="AL394" s="40"/>
      <c r="AM394" s="40"/>
      <c r="AN394" s="40"/>
      <c r="AO394" s="40"/>
      <c r="AP394" s="40"/>
      <c r="AQ394" s="40"/>
      <c r="AR394" s="40"/>
      <c r="AS394" s="40"/>
      <c r="AT394" s="40"/>
      <c r="AU394" s="40"/>
      <c r="AV394" s="40"/>
      <c r="AW394" s="86"/>
      <c r="AX394" s="86"/>
      <c r="AY394" s="86"/>
      <c r="AZ394" s="86"/>
      <c r="BA394" s="86"/>
      <c r="BB394" s="86"/>
      <c r="BC394" s="86"/>
    </row>
    <row r="395" spans="1:5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c r="AA395" s="40"/>
      <c r="AB395" s="40"/>
      <c r="AC395" s="40"/>
      <c r="AD395" s="40"/>
      <c r="AE395" s="40"/>
      <c r="AF395" s="40"/>
      <c r="AG395" s="40"/>
      <c r="AH395" s="40"/>
      <c r="AI395" s="40"/>
      <c r="AJ395" s="40"/>
      <c r="AK395" s="40"/>
      <c r="AL395" s="40"/>
      <c r="AM395" s="40"/>
      <c r="AN395" s="40"/>
      <c r="AO395" s="40"/>
      <c r="AP395" s="40"/>
      <c r="AQ395" s="40"/>
      <c r="AR395" s="40"/>
      <c r="AS395" s="40"/>
      <c r="AT395" s="40"/>
      <c r="AU395" s="40"/>
      <c r="AV395" s="40"/>
      <c r="AW395" s="86"/>
      <c r="AX395" s="86"/>
      <c r="AY395" s="86"/>
      <c r="AZ395" s="86"/>
      <c r="BA395" s="86"/>
      <c r="BB395" s="86"/>
      <c r="BC395" s="86"/>
    </row>
    <row r="396" spans="1:55">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c r="AA396" s="40"/>
      <c r="AB396" s="40"/>
      <c r="AC396" s="40"/>
      <c r="AD396" s="40"/>
      <c r="AE396" s="40"/>
      <c r="AF396" s="40"/>
      <c r="AG396" s="40"/>
      <c r="AH396" s="40"/>
      <c r="AI396" s="40"/>
      <c r="AJ396" s="40"/>
      <c r="AK396" s="40"/>
      <c r="AL396" s="40"/>
      <c r="AM396" s="40"/>
      <c r="AN396" s="40"/>
      <c r="AO396" s="40"/>
      <c r="AP396" s="40"/>
      <c r="AQ396" s="40"/>
      <c r="AR396" s="40"/>
      <c r="AS396" s="40"/>
      <c r="AT396" s="40"/>
      <c r="AU396" s="40"/>
      <c r="AV396" s="40"/>
      <c r="AW396" s="86"/>
      <c r="AX396" s="86"/>
      <c r="AY396" s="86"/>
      <c r="AZ396" s="86"/>
      <c r="BA396" s="86"/>
      <c r="BB396" s="86"/>
      <c r="BC396" s="86"/>
    </row>
    <row r="397" spans="1:55">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c r="AA397" s="40"/>
      <c r="AB397" s="40"/>
      <c r="AC397" s="40"/>
      <c r="AD397" s="40"/>
      <c r="AE397" s="40"/>
      <c r="AF397" s="40"/>
      <c r="AG397" s="40"/>
      <c r="AH397" s="40"/>
      <c r="AI397" s="40"/>
      <c r="AJ397" s="40"/>
      <c r="AK397" s="40"/>
      <c r="AL397" s="40"/>
      <c r="AM397" s="40"/>
      <c r="AN397" s="40"/>
      <c r="AO397" s="40"/>
      <c r="AP397" s="40"/>
      <c r="AQ397" s="40"/>
      <c r="AR397" s="40"/>
      <c r="AS397" s="40"/>
      <c r="AT397" s="40"/>
      <c r="AU397" s="40"/>
      <c r="AV397" s="40"/>
      <c r="AW397" s="86"/>
      <c r="AX397" s="86"/>
      <c r="AY397" s="86"/>
      <c r="AZ397" s="86"/>
      <c r="BA397" s="86"/>
      <c r="BB397" s="86"/>
      <c r="BC397" s="86"/>
    </row>
    <row r="398" spans="1:55">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c r="AA398" s="40"/>
      <c r="AB398" s="40"/>
      <c r="AC398" s="40"/>
      <c r="AD398" s="40"/>
      <c r="AE398" s="40"/>
      <c r="AF398" s="40"/>
      <c r="AG398" s="40"/>
      <c r="AH398" s="40"/>
      <c r="AI398" s="40"/>
      <c r="AJ398" s="40"/>
      <c r="AK398" s="40"/>
      <c r="AL398" s="40"/>
      <c r="AM398" s="40"/>
      <c r="AN398" s="40"/>
      <c r="AO398" s="40"/>
      <c r="AP398" s="40"/>
      <c r="AQ398" s="40"/>
      <c r="AR398" s="40"/>
      <c r="AS398" s="40"/>
      <c r="AT398" s="40"/>
      <c r="AU398" s="40"/>
      <c r="AV398" s="40"/>
      <c r="AW398" s="86"/>
      <c r="AX398" s="86"/>
      <c r="AY398" s="86"/>
      <c r="AZ398" s="86"/>
      <c r="BA398" s="86"/>
      <c r="BB398" s="86"/>
      <c r="BC398" s="86"/>
    </row>
    <row r="399" spans="1:55">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c r="AA399" s="40"/>
      <c r="AB399" s="40"/>
      <c r="AC399" s="40"/>
      <c r="AD399" s="40"/>
      <c r="AE399" s="40"/>
      <c r="AF399" s="40"/>
      <c r="AG399" s="40"/>
      <c r="AH399" s="40"/>
      <c r="AI399" s="40"/>
      <c r="AJ399" s="40"/>
      <c r="AK399" s="40"/>
      <c r="AL399" s="40"/>
      <c r="AM399" s="40"/>
      <c r="AN399" s="40"/>
      <c r="AO399" s="40"/>
      <c r="AP399" s="40"/>
      <c r="AQ399" s="40"/>
      <c r="AR399" s="40"/>
      <c r="AS399" s="40"/>
      <c r="AT399" s="40"/>
      <c r="AU399" s="40"/>
      <c r="AV399" s="40"/>
      <c r="AW399" s="86"/>
      <c r="AX399" s="86"/>
      <c r="AY399" s="86"/>
      <c r="AZ399" s="86"/>
      <c r="BA399" s="86"/>
      <c r="BB399" s="86"/>
      <c r="BC399" s="86"/>
    </row>
    <row r="400" spans="1:55">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c r="AA400" s="40"/>
      <c r="AB400" s="40"/>
      <c r="AC400" s="40"/>
      <c r="AD400" s="40"/>
      <c r="AE400" s="40"/>
      <c r="AF400" s="40"/>
      <c r="AG400" s="40"/>
      <c r="AH400" s="40"/>
      <c r="AI400" s="40"/>
      <c r="AJ400" s="40"/>
      <c r="AK400" s="40"/>
      <c r="AL400" s="40"/>
      <c r="AM400" s="40"/>
      <c r="AN400" s="40"/>
      <c r="AO400" s="40"/>
      <c r="AP400" s="40"/>
      <c r="AQ400" s="40"/>
      <c r="AR400" s="40"/>
      <c r="AS400" s="40"/>
      <c r="AT400" s="40"/>
      <c r="AU400" s="40"/>
      <c r="AV400" s="40"/>
      <c r="AW400" s="86"/>
      <c r="AX400" s="86"/>
      <c r="AY400" s="86"/>
      <c r="AZ400" s="86"/>
      <c r="BA400" s="86"/>
      <c r="BB400" s="86"/>
      <c r="BC400" s="86"/>
    </row>
    <row r="401" spans="1:55">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c r="AA401" s="40"/>
      <c r="AB401" s="40"/>
      <c r="AC401" s="40"/>
      <c r="AD401" s="40"/>
      <c r="AE401" s="40"/>
      <c r="AF401" s="40"/>
      <c r="AG401" s="40"/>
      <c r="AH401" s="40"/>
      <c r="AI401" s="40"/>
      <c r="AJ401" s="40"/>
      <c r="AK401" s="40"/>
      <c r="AL401" s="40"/>
      <c r="AM401" s="40"/>
      <c r="AN401" s="40"/>
      <c r="AO401" s="40"/>
      <c r="AP401" s="40"/>
      <c r="AQ401" s="40"/>
      <c r="AR401" s="40"/>
      <c r="AS401" s="40"/>
      <c r="AT401" s="40"/>
      <c r="AU401" s="40"/>
      <c r="AV401" s="40"/>
      <c r="AW401" s="86"/>
      <c r="AX401" s="86"/>
      <c r="AY401" s="86"/>
      <c r="AZ401" s="86"/>
      <c r="BA401" s="86"/>
      <c r="BB401" s="86"/>
      <c r="BC401" s="86"/>
    </row>
    <row r="402" spans="1:55">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c r="AA402" s="40"/>
      <c r="AB402" s="40"/>
      <c r="AC402" s="40"/>
      <c r="AD402" s="40"/>
      <c r="AE402" s="40"/>
      <c r="AF402" s="40"/>
      <c r="AG402" s="40"/>
      <c r="AH402" s="40"/>
      <c r="AI402" s="40"/>
      <c r="AJ402" s="40"/>
      <c r="AK402" s="40"/>
      <c r="AL402" s="40"/>
      <c r="AM402" s="40"/>
      <c r="AN402" s="40"/>
      <c r="AO402" s="40"/>
      <c r="AP402" s="40"/>
      <c r="AQ402" s="40"/>
      <c r="AR402" s="40"/>
      <c r="AS402" s="40"/>
      <c r="AT402" s="40"/>
      <c r="AU402" s="40"/>
      <c r="AV402" s="40"/>
      <c r="AW402" s="86"/>
      <c r="AX402" s="86"/>
      <c r="AY402" s="86"/>
      <c r="AZ402" s="86"/>
      <c r="BA402" s="86"/>
      <c r="BB402" s="86"/>
      <c r="BC402" s="86"/>
    </row>
    <row r="403" spans="1:55">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c r="AA403" s="40"/>
      <c r="AB403" s="40"/>
      <c r="AC403" s="40"/>
      <c r="AD403" s="40"/>
      <c r="AE403" s="40"/>
      <c r="AF403" s="40"/>
      <c r="AG403" s="40"/>
      <c r="AH403" s="40"/>
      <c r="AI403" s="40"/>
      <c r="AJ403" s="40"/>
      <c r="AK403" s="40"/>
      <c r="AL403" s="40"/>
      <c r="AM403" s="40"/>
      <c r="AN403" s="40"/>
      <c r="AO403" s="40"/>
      <c r="AP403" s="40"/>
      <c r="AQ403" s="40"/>
      <c r="AR403" s="40"/>
      <c r="AS403" s="40"/>
      <c r="AT403" s="40"/>
      <c r="AU403" s="40"/>
      <c r="AV403" s="40"/>
      <c r="AW403" s="86"/>
      <c r="AX403" s="86"/>
      <c r="AY403" s="86"/>
      <c r="AZ403" s="86"/>
      <c r="BA403" s="86"/>
      <c r="BB403" s="86"/>
      <c r="BC403" s="86"/>
    </row>
    <row r="404" spans="1:55">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c r="AA404" s="40"/>
      <c r="AB404" s="40"/>
      <c r="AC404" s="40"/>
      <c r="AD404" s="40"/>
      <c r="AE404" s="40"/>
      <c r="AF404" s="40"/>
      <c r="AG404" s="40"/>
      <c r="AH404" s="40"/>
      <c r="AI404" s="40"/>
      <c r="AJ404" s="40"/>
      <c r="AK404" s="40"/>
      <c r="AL404" s="40"/>
      <c r="AM404" s="40"/>
      <c r="AN404" s="40"/>
      <c r="AO404" s="40"/>
      <c r="AP404" s="40"/>
      <c r="AQ404" s="40"/>
      <c r="AR404" s="40"/>
      <c r="AS404" s="40"/>
      <c r="AT404" s="40"/>
      <c r="AU404" s="40"/>
      <c r="AV404" s="40"/>
      <c r="AW404" s="86"/>
      <c r="AX404" s="86"/>
      <c r="AY404" s="86"/>
      <c r="AZ404" s="86"/>
      <c r="BA404" s="86"/>
      <c r="BB404" s="86"/>
      <c r="BC404" s="86"/>
    </row>
    <row r="405" spans="1:5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c r="AA405" s="40"/>
      <c r="AB405" s="40"/>
      <c r="AC405" s="40"/>
      <c r="AD405" s="40"/>
      <c r="AE405" s="40"/>
      <c r="AF405" s="40"/>
      <c r="AG405" s="40"/>
      <c r="AH405" s="40"/>
      <c r="AI405" s="40"/>
      <c r="AJ405" s="40"/>
      <c r="AK405" s="40"/>
      <c r="AL405" s="40"/>
      <c r="AM405" s="40"/>
      <c r="AN405" s="40"/>
      <c r="AO405" s="40"/>
      <c r="AP405" s="40"/>
      <c r="AQ405" s="40"/>
      <c r="AR405" s="40"/>
      <c r="AS405" s="40"/>
      <c r="AT405" s="40"/>
      <c r="AU405" s="40"/>
      <c r="AV405" s="40"/>
      <c r="AW405" s="86"/>
      <c r="AX405" s="86"/>
      <c r="AY405" s="86"/>
      <c r="AZ405" s="86"/>
      <c r="BA405" s="86"/>
      <c r="BB405" s="86"/>
      <c r="BC405" s="86"/>
    </row>
    <row r="406" spans="1:55">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c r="AA406" s="40"/>
      <c r="AB406" s="40"/>
      <c r="AC406" s="40"/>
      <c r="AD406" s="40"/>
      <c r="AE406" s="40"/>
      <c r="AF406" s="40"/>
      <c r="AG406" s="40"/>
      <c r="AH406" s="40"/>
      <c r="AI406" s="40"/>
      <c r="AJ406" s="40"/>
      <c r="AK406" s="40"/>
      <c r="AL406" s="40"/>
      <c r="AM406" s="40"/>
      <c r="AN406" s="40"/>
      <c r="AO406" s="40"/>
      <c r="AP406" s="40"/>
      <c r="AQ406" s="40"/>
      <c r="AR406" s="40"/>
      <c r="AS406" s="40"/>
      <c r="AT406" s="40"/>
      <c r="AU406" s="40"/>
      <c r="AV406" s="40"/>
      <c r="AW406" s="86"/>
      <c r="AX406" s="86"/>
      <c r="AY406" s="86"/>
      <c r="AZ406" s="86"/>
      <c r="BA406" s="86"/>
      <c r="BB406" s="86"/>
      <c r="BC406" s="86"/>
    </row>
    <row r="407" spans="1:55">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c r="AA407" s="40"/>
      <c r="AB407" s="40"/>
      <c r="AC407" s="40"/>
      <c r="AD407" s="40"/>
      <c r="AE407" s="40"/>
      <c r="AF407" s="40"/>
      <c r="AG407" s="40"/>
      <c r="AH407" s="40"/>
      <c r="AI407" s="40"/>
      <c r="AJ407" s="40"/>
      <c r="AK407" s="40"/>
      <c r="AL407" s="40"/>
      <c r="AM407" s="40"/>
      <c r="AN407" s="40"/>
      <c r="AO407" s="40"/>
      <c r="AP407" s="40"/>
      <c r="AQ407" s="40"/>
      <c r="AR407" s="40"/>
      <c r="AS407" s="40"/>
      <c r="AT407" s="40"/>
      <c r="AU407" s="40"/>
      <c r="AV407" s="40"/>
      <c r="AW407" s="86"/>
      <c r="AX407" s="86"/>
      <c r="AY407" s="86"/>
      <c r="AZ407" s="86"/>
      <c r="BA407" s="86"/>
      <c r="BB407" s="86"/>
      <c r="BC407" s="86"/>
    </row>
    <row r="408" spans="1:55">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c r="AA408" s="40"/>
      <c r="AB408" s="40"/>
      <c r="AC408" s="40"/>
      <c r="AD408" s="40"/>
      <c r="AE408" s="40"/>
      <c r="AF408" s="40"/>
      <c r="AG408" s="40"/>
      <c r="AH408" s="40"/>
      <c r="AI408" s="40"/>
      <c r="AJ408" s="40"/>
      <c r="AK408" s="40"/>
      <c r="AL408" s="40"/>
      <c r="AM408" s="40"/>
      <c r="AN408" s="40"/>
      <c r="AO408" s="40"/>
      <c r="AP408" s="40"/>
      <c r="AQ408" s="40"/>
      <c r="AR408" s="40"/>
      <c r="AS408" s="40"/>
      <c r="AT408" s="40"/>
      <c r="AU408" s="40"/>
      <c r="AV408" s="40"/>
      <c r="AW408" s="86"/>
      <c r="AX408" s="86"/>
      <c r="AY408" s="86"/>
      <c r="AZ408" s="86"/>
      <c r="BA408" s="86"/>
      <c r="BB408" s="86"/>
      <c r="BC408" s="86"/>
    </row>
    <row r="409" spans="1:55">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c r="AA409" s="40"/>
      <c r="AB409" s="40"/>
      <c r="AC409" s="40"/>
      <c r="AD409" s="40"/>
      <c r="AE409" s="40"/>
      <c r="AF409" s="40"/>
      <c r="AG409" s="40"/>
      <c r="AH409" s="40"/>
      <c r="AI409" s="40"/>
      <c r="AJ409" s="40"/>
      <c r="AK409" s="40"/>
      <c r="AL409" s="40"/>
      <c r="AM409" s="40"/>
      <c r="AN409" s="40"/>
      <c r="AO409" s="40"/>
      <c r="AP409" s="40"/>
      <c r="AQ409" s="40"/>
      <c r="AR409" s="40"/>
      <c r="AS409" s="40"/>
      <c r="AT409" s="40"/>
      <c r="AU409" s="40"/>
      <c r="AV409" s="40"/>
      <c r="AW409" s="86"/>
      <c r="AX409" s="86"/>
      <c r="AY409" s="86"/>
      <c r="AZ409" s="86"/>
      <c r="BA409" s="86"/>
      <c r="BB409" s="86"/>
      <c r="BC409" s="86"/>
    </row>
    <row r="410" spans="1:55">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c r="AA410" s="40"/>
      <c r="AB410" s="40"/>
      <c r="AC410" s="40"/>
      <c r="AD410" s="40"/>
      <c r="AE410" s="40"/>
      <c r="AF410" s="40"/>
      <c r="AG410" s="40"/>
      <c r="AH410" s="40"/>
      <c r="AI410" s="40"/>
      <c r="AJ410" s="40"/>
      <c r="AK410" s="40"/>
      <c r="AL410" s="40"/>
      <c r="AM410" s="40"/>
      <c r="AN410" s="40"/>
      <c r="AO410" s="40"/>
      <c r="AP410" s="40"/>
      <c r="AQ410" s="40"/>
      <c r="AR410" s="40"/>
      <c r="AS410" s="40"/>
      <c r="AT410" s="40"/>
      <c r="AU410" s="40"/>
      <c r="AV410" s="40"/>
      <c r="AW410" s="86"/>
      <c r="AX410" s="86"/>
      <c r="AY410" s="86"/>
      <c r="AZ410" s="86"/>
      <c r="BA410" s="86"/>
      <c r="BB410" s="86"/>
      <c r="BC410" s="86"/>
    </row>
    <row r="411" spans="1:55">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c r="AA411" s="40"/>
      <c r="AB411" s="40"/>
      <c r="AC411" s="40"/>
      <c r="AD411" s="40"/>
      <c r="AE411" s="40"/>
      <c r="AF411" s="40"/>
      <c r="AG411" s="40"/>
      <c r="AH411" s="40"/>
      <c r="AI411" s="40"/>
      <c r="AJ411" s="40"/>
      <c r="AK411" s="40"/>
      <c r="AL411" s="40"/>
      <c r="AM411" s="40"/>
      <c r="AN411" s="40"/>
      <c r="AO411" s="40"/>
      <c r="AP411" s="40"/>
      <c r="AQ411" s="40"/>
      <c r="AR411" s="40"/>
      <c r="AS411" s="40"/>
      <c r="AT411" s="40"/>
      <c r="AU411" s="40"/>
      <c r="AV411" s="40"/>
      <c r="AW411" s="86"/>
      <c r="AX411" s="86"/>
      <c r="AY411" s="86"/>
      <c r="AZ411" s="86"/>
      <c r="BA411" s="86"/>
      <c r="BB411" s="86"/>
      <c r="BC411" s="86"/>
    </row>
    <row r="412" spans="1:55">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c r="AA412" s="40"/>
      <c r="AB412" s="40"/>
      <c r="AC412" s="40"/>
      <c r="AD412" s="40"/>
      <c r="AE412" s="40"/>
      <c r="AF412" s="40"/>
      <c r="AG412" s="40"/>
      <c r="AH412" s="40"/>
      <c r="AI412" s="40"/>
      <c r="AJ412" s="40"/>
      <c r="AK412" s="40"/>
      <c r="AL412" s="40"/>
      <c r="AM412" s="40"/>
      <c r="AN412" s="40"/>
      <c r="AO412" s="40"/>
      <c r="AP412" s="40"/>
      <c r="AQ412" s="40"/>
      <c r="AR412" s="40"/>
      <c r="AS412" s="40"/>
      <c r="AT412" s="40"/>
      <c r="AU412" s="40"/>
      <c r="AV412" s="40"/>
      <c r="AW412" s="86"/>
      <c r="AX412" s="86"/>
      <c r="AY412" s="86"/>
      <c r="AZ412" s="86"/>
      <c r="BA412" s="86"/>
      <c r="BB412" s="86"/>
      <c r="BC412" s="86"/>
    </row>
    <row r="413" spans="1:55">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c r="AA413" s="40"/>
      <c r="AB413" s="40"/>
      <c r="AC413" s="40"/>
      <c r="AD413" s="40"/>
      <c r="AE413" s="40"/>
      <c r="AF413" s="40"/>
      <c r="AG413" s="40"/>
      <c r="AH413" s="40"/>
      <c r="AI413" s="40"/>
      <c r="AJ413" s="40"/>
      <c r="AK413" s="40"/>
      <c r="AL413" s="40"/>
      <c r="AM413" s="40"/>
      <c r="AN413" s="40"/>
      <c r="AO413" s="40"/>
      <c r="AP413" s="40"/>
      <c r="AQ413" s="40"/>
      <c r="AR413" s="40"/>
      <c r="AS413" s="40"/>
      <c r="AT413" s="40"/>
      <c r="AU413" s="40"/>
      <c r="AV413" s="40"/>
      <c r="AW413" s="86"/>
      <c r="AX413" s="86"/>
      <c r="AY413" s="86"/>
      <c r="AZ413" s="86"/>
      <c r="BA413" s="86"/>
      <c r="BB413" s="86"/>
      <c r="BC413" s="86"/>
    </row>
    <row r="414" spans="1:55">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c r="AA414" s="40"/>
      <c r="AB414" s="40"/>
      <c r="AC414" s="40"/>
      <c r="AD414" s="40"/>
      <c r="AE414" s="40"/>
      <c r="AF414" s="40"/>
      <c r="AG414" s="40"/>
      <c r="AH414" s="40"/>
      <c r="AI414" s="40"/>
      <c r="AJ414" s="40"/>
      <c r="AK414" s="40"/>
      <c r="AL414" s="40"/>
      <c r="AM414" s="40"/>
      <c r="AN414" s="40"/>
      <c r="AO414" s="40"/>
      <c r="AP414" s="40"/>
      <c r="AQ414" s="40"/>
      <c r="AR414" s="40"/>
      <c r="AS414" s="40"/>
      <c r="AT414" s="40"/>
      <c r="AU414" s="40"/>
      <c r="AV414" s="40"/>
      <c r="AW414" s="86"/>
      <c r="AX414" s="86"/>
      <c r="AY414" s="86"/>
      <c r="AZ414" s="86"/>
      <c r="BA414" s="86"/>
      <c r="BB414" s="86"/>
      <c r="BC414" s="86"/>
    </row>
    <row r="415" spans="1:5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c r="AA415" s="40"/>
      <c r="AB415" s="40"/>
      <c r="AC415" s="40"/>
      <c r="AD415" s="40"/>
      <c r="AE415" s="40"/>
      <c r="AF415" s="40"/>
      <c r="AG415" s="40"/>
      <c r="AH415" s="40"/>
      <c r="AI415" s="40"/>
      <c r="AJ415" s="40"/>
      <c r="AK415" s="40"/>
      <c r="AL415" s="40"/>
      <c r="AM415" s="40"/>
      <c r="AN415" s="40"/>
      <c r="AO415" s="40"/>
      <c r="AP415" s="40"/>
      <c r="AQ415" s="40"/>
      <c r="AR415" s="40"/>
      <c r="AS415" s="40"/>
      <c r="AT415" s="40"/>
      <c r="AU415" s="40"/>
      <c r="AV415" s="40"/>
      <c r="AW415" s="86"/>
      <c r="AX415" s="86"/>
      <c r="AY415" s="86"/>
      <c r="AZ415" s="86"/>
      <c r="BA415" s="86"/>
      <c r="BB415" s="86"/>
      <c r="BC415" s="86"/>
    </row>
    <row r="416" spans="1:55">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c r="AA416" s="40"/>
      <c r="AB416" s="40"/>
      <c r="AC416" s="40"/>
      <c r="AD416" s="40"/>
      <c r="AE416" s="40"/>
      <c r="AF416" s="40"/>
      <c r="AG416" s="40"/>
      <c r="AH416" s="40"/>
      <c r="AI416" s="40"/>
      <c r="AJ416" s="40"/>
      <c r="AK416" s="40"/>
      <c r="AL416" s="40"/>
      <c r="AM416" s="40"/>
      <c r="AN416" s="40"/>
      <c r="AO416" s="40"/>
      <c r="AP416" s="40"/>
      <c r="AQ416" s="40"/>
      <c r="AR416" s="40"/>
      <c r="AS416" s="40"/>
      <c r="AT416" s="40"/>
      <c r="AU416" s="40"/>
      <c r="AV416" s="40"/>
      <c r="AW416" s="86"/>
      <c r="AX416" s="86"/>
      <c r="AY416" s="86"/>
      <c r="AZ416" s="86"/>
      <c r="BA416" s="86"/>
      <c r="BB416" s="86"/>
      <c r="BC416" s="86"/>
    </row>
    <row r="417" spans="1:55">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c r="AA417" s="40"/>
      <c r="AB417" s="40"/>
      <c r="AC417" s="40"/>
      <c r="AD417" s="40"/>
      <c r="AE417" s="40"/>
      <c r="AF417" s="40"/>
      <c r="AG417" s="40"/>
      <c r="AH417" s="40"/>
      <c r="AI417" s="40"/>
      <c r="AJ417" s="40"/>
      <c r="AK417" s="40"/>
      <c r="AL417" s="40"/>
      <c r="AM417" s="40"/>
      <c r="AN417" s="40"/>
      <c r="AO417" s="40"/>
      <c r="AP417" s="40"/>
      <c r="AQ417" s="40"/>
      <c r="AR417" s="40"/>
      <c r="AS417" s="40"/>
      <c r="AT417" s="40"/>
      <c r="AU417" s="40"/>
      <c r="AV417" s="40"/>
      <c r="AW417" s="86"/>
      <c r="AX417" s="86"/>
      <c r="AY417" s="86"/>
      <c r="AZ417" s="86"/>
      <c r="BA417" s="86"/>
      <c r="BB417" s="86"/>
      <c r="BC417" s="86"/>
    </row>
    <row r="418" spans="1:55">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c r="AA418" s="40"/>
      <c r="AB418" s="40"/>
      <c r="AC418" s="40"/>
      <c r="AD418" s="40"/>
      <c r="AE418" s="40"/>
      <c r="AF418" s="40"/>
      <c r="AG418" s="40"/>
      <c r="AH418" s="40"/>
      <c r="AI418" s="40"/>
      <c r="AJ418" s="40"/>
      <c r="AK418" s="40"/>
      <c r="AL418" s="40"/>
      <c r="AM418" s="40"/>
      <c r="AN418" s="40"/>
      <c r="AO418" s="40"/>
      <c r="AP418" s="40"/>
      <c r="AQ418" s="40"/>
      <c r="AR418" s="40"/>
      <c r="AS418" s="40"/>
      <c r="AT418" s="40"/>
      <c r="AU418" s="40"/>
      <c r="AV418" s="40"/>
      <c r="AW418" s="86"/>
      <c r="AX418" s="86"/>
      <c r="AY418" s="86"/>
      <c r="AZ418" s="86"/>
      <c r="BA418" s="86"/>
      <c r="BB418" s="86"/>
      <c r="BC418" s="86"/>
    </row>
    <row r="419" spans="1:55">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c r="AA419" s="40"/>
      <c r="AB419" s="40"/>
      <c r="AC419" s="40"/>
      <c r="AD419" s="40"/>
      <c r="AE419" s="40"/>
      <c r="AF419" s="40"/>
      <c r="AG419" s="40"/>
      <c r="AH419" s="40"/>
      <c r="AI419" s="40"/>
      <c r="AJ419" s="40"/>
      <c r="AK419" s="40"/>
      <c r="AL419" s="40"/>
      <c r="AM419" s="40"/>
      <c r="AN419" s="40"/>
      <c r="AO419" s="40"/>
      <c r="AP419" s="40"/>
      <c r="AQ419" s="40"/>
      <c r="AR419" s="40"/>
      <c r="AS419" s="40"/>
      <c r="AT419" s="40"/>
      <c r="AU419" s="40"/>
      <c r="AV419" s="40"/>
      <c r="AW419" s="86"/>
      <c r="AX419" s="86"/>
      <c r="AY419" s="86"/>
      <c r="AZ419" s="86"/>
      <c r="BA419" s="86"/>
      <c r="BB419" s="86"/>
      <c r="BC419" s="86"/>
    </row>
    <row r="420" spans="1:55">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c r="AA420" s="40"/>
      <c r="AB420" s="40"/>
      <c r="AC420" s="40"/>
      <c r="AD420" s="40"/>
      <c r="AE420" s="40"/>
      <c r="AF420" s="40"/>
      <c r="AG420" s="40"/>
      <c r="AH420" s="40"/>
      <c r="AI420" s="40"/>
      <c r="AJ420" s="40"/>
      <c r="AK420" s="40"/>
      <c r="AL420" s="40"/>
      <c r="AM420" s="40"/>
      <c r="AN420" s="40"/>
      <c r="AO420" s="40"/>
      <c r="AP420" s="40"/>
      <c r="AQ420" s="40"/>
      <c r="AR420" s="40"/>
      <c r="AS420" s="40"/>
      <c r="AT420" s="40"/>
      <c r="AU420" s="40"/>
      <c r="AV420" s="40"/>
      <c r="AW420" s="86"/>
      <c r="AX420" s="86"/>
      <c r="AY420" s="86"/>
      <c r="AZ420" s="86"/>
      <c r="BA420" s="86"/>
      <c r="BB420" s="86"/>
      <c r="BC420" s="86"/>
    </row>
    <row r="421" spans="1:55">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c r="AA421" s="40"/>
      <c r="AB421" s="40"/>
      <c r="AC421" s="40"/>
      <c r="AD421" s="40"/>
      <c r="AE421" s="40"/>
      <c r="AF421" s="40"/>
      <c r="AG421" s="40"/>
      <c r="AH421" s="40"/>
      <c r="AI421" s="40"/>
      <c r="AJ421" s="40"/>
      <c r="AK421" s="40"/>
      <c r="AL421" s="40"/>
      <c r="AM421" s="40"/>
      <c r="AN421" s="40"/>
      <c r="AO421" s="40"/>
      <c r="AP421" s="40"/>
      <c r="AQ421" s="40"/>
      <c r="AR421" s="40"/>
      <c r="AS421" s="40"/>
      <c r="AT421" s="40"/>
      <c r="AU421" s="40"/>
      <c r="AV421" s="40"/>
      <c r="AW421" s="86"/>
      <c r="AX421" s="86"/>
      <c r="AY421" s="86"/>
      <c r="AZ421" s="86"/>
      <c r="BA421" s="86"/>
      <c r="BB421" s="86"/>
      <c r="BC421" s="86"/>
    </row>
    <row r="422" spans="1:55">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c r="AA422" s="40"/>
      <c r="AB422" s="40"/>
      <c r="AC422" s="40"/>
      <c r="AD422" s="40"/>
      <c r="AE422" s="40"/>
      <c r="AF422" s="40"/>
      <c r="AG422" s="40"/>
      <c r="AH422" s="40"/>
      <c r="AI422" s="40"/>
      <c r="AJ422" s="40"/>
      <c r="AK422" s="40"/>
      <c r="AL422" s="40"/>
      <c r="AM422" s="40"/>
      <c r="AN422" s="40"/>
      <c r="AO422" s="40"/>
      <c r="AP422" s="40"/>
      <c r="AQ422" s="40"/>
      <c r="AR422" s="40"/>
      <c r="AS422" s="40"/>
      <c r="AT422" s="40"/>
      <c r="AU422" s="40"/>
      <c r="AV422" s="40"/>
      <c r="AW422" s="86"/>
      <c r="AX422" s="86"/>
      <c r="AY422" s="86"/>
      <c r="AZ422" s="86"/>
      <c r="BA422" s="86"/>
      <c r="BB422" s="86"/>
      <c r="BC422" s="86"/>
    </row>
    <row r="423" spans="1:55">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c r="AA423" s="40"/>
      <c r="AB423" s="40"/>
      <c r="AC423" s="40"/>
      <c r="AD423" s="40"/>
      <c r="AE423" s="40"/>
      <c r="AF423" s="40"/>
      <c r="AG423" s="40"/>
      <c r="AH423" s="40"/>
      <c r="AI423" s="40"/>
      <c r="AJ423" s="40"/>
      <c r="AK423" s="40"/>
      <c r="AL423" s="40"/>
      <c r="AM423" s="40"/>
      <c r="AN423" s="40"/>
      <c r="AO423" s="40"/>
      <c r="AP423" s="40"/>
      <c r="AQ423" s="40"/>
      <c r="AR423" s="40"/>
      <c r="AS423" s="40"/>
      <c r="AT423" s="40"/>
      <c r="AU423" s="40"/>
      <c r="AV423" s="40"/>
      <c r="AW423" s="86"/>
      <c r="AX423" s="86"/>
      <c r="AY423" s="86"/>
      <c r="AZ423" s="86"/>
      <c r="BA423" s="86"/>
      <c r="BB423" s="86"/>
      <c r="BC423" s="86"/>
    </row>
    <row r="424" spans="1:55">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c r="AA424" s="40"/>
      <c r="AB424" s="40"/>
      <c r="AC424" s="40"/>
      <c r="AD424" s="40"/>
      <c r="AE424" s="40"/>
      <c r="AF424" s="40"/>
      <c r="AG424" s="40"/>
      <c r="AH424" s="40"/>
      <c r="AI424" s="40"/>
      <c r="AJ424" s="40"/>
      <c r="AK424" s="40"/>
      <c r="AL424" s="40"/>
      <c r="AM424" s="40"/>
      <c r="AN424" s="40"/>
      <c r="AO424" s="40"/>
      <c r="AP424" s="40"/>
      <c r="AQ424" s="40"/>
      <c r="AR424" s="40"/>
      <c r="AS424" s="40"/>
      <c r="AT424" s="40"/>
      <c r="AU424" s="40"/>
      <c r="AV424" s="40"/>
      <c r="AW424" s="86"/>
      <c r="AX424" s="86"/>
      <c r="AY424" s="86"/>
      <c r="AZ424" s="86"/>
      <c r="BA424" s="86"/>
      <c r="BB424" s="86"/>
      <c r="BC424" s="86"/>
    </row>
    <row r="425" spans="1:5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c r="AA425" s="40"/>
      <c r="AB425" s="40"/>
      <c r="AC425" s="40"/>
      <c r="AD425" s="40"/>
      <c r="AE425" s="40"/>
      <c r="AF425" s="40"/>
      <c r="AG425" s="40"/>
      <c r="AH425" s="40"/>
      <c r="AI425" s="40"/>
      <c r="AJ425" s="40"/>
      <c r="AK425" s="40"/>
      <c r="AL425" s="40"/>
      <c r="AM425" s="40"/>
      <c r="AN425" s="40"/>
      <c r="AO425" s="40"/>
      <c r="AP425" s="40"/>
      <c r="AQ425" s="40"/>
      <c r="AR425" s="40"/>
      <c r="AS425" s="40"/>
      <c r="AT425" s="40"/>
      <c r="AU425" s="40"/>
      <c r="AV425" s="40"/>
      <c r="AW425" s="86"/>
      <c r="AX425" s="86"/>
      <c r="AY425" s="86"/>
      <c r="AZ425" s="86"/>
      <c r="BA425" s="86"/>
      <c r="BB425" s="86"/>
      <c r="BC425" s="86"/>
    </row>
    <row r="426" spans="1:55">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c r="AA426" s="40"/>
      <c r="AB426" s="40"/>
      <c r="AC426" s="40"/>
      <c r="AD426" s="40"/>
      <c r="AE426" s="40"/>
      <c r="AF426" s="40"/>
      <c r="AG426" s="40"/>
      <c r="AH426" s="40"/>
      <c r="AI426" s="40"/>
      <c r="AJ426" s="40"/>
      <c r="AK426" s="40"/>
      <c r="AL426" s="40"/>
      <c r="AM426" s="40"/>
      <c r="AN426" s="40"/>
      <c r="AO426" s="40"/>
      <c r="AP426" s="40"/>
      <c r="AQ426" s="40"/>
      <c r="AR426" s="40"/>
      <c r="AS426" s="40"/>
      <c r="AT426" s="40"/>
      <c r="AU426" s="40"/>
      <c r="AV426" s="40"/>
      <c r="AW426" s="86"/>
      <c r="AX426" s="86"/>
      <c r="AY426" s="86"/>
      <c r="AZ426" s="86"/>
      <c r="BA426" s="86"/>
      <c r="BB426" s="86"/>
      <c r="BC426" s="86"/>
    </row>
    <row r="427" spans="1:55">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c r="AA427" s="40"/>
      <c r="AB427" s="40"/>
      <c r="AC427" s="40"/>
      <c r="AD427" s="40"/>
      <c r="AE427" s="40"/>
      <c r="AF427" s="40"/>
      <c r="AG427" s="40"/>
      <c r="AH427" s="40"/>
      <c r="AI427" s="40"/>
      <c r="AJ427" s="40"/>
      <c r="AK427" s="40"/>
      <c r="AL427" s="40"/>
      <c r="AM427" s="40"/>
      <c r="AN427" s="40"/>
      <c r="AO427" s="40"/>
      <c r="AP427" s="40"/>
      <c r="AQ427" s="40"/>
      <c r="AR427" s="40"/>
      <c r="AS427" s="40"/>
      <c r="AT427" s="40"/>
      <c r="AU427" s="40"/>
      <c r="AV427" s="40"/>
      <c r="AW427" s="86"/>
      <c r="AX427" s="86"/>
      <c r="AY427" s="86"/>
      <c r="AZ427" s="86"/>
      <c r="BA427" s="86"/>
      <c r="BB427" s="86"/>
      <c r="BC427" s="86"/>
    </row>
    <row r="428" spans="1:55">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c r="AA428" s="40"/>
      <c r="AB428" s="40"/>
      <c r="AC428" s="40"/>
      <c r="AD428" s="40"/>
      <c r="AE428" s="40"/>
      <c r="AF428" s="40"/>
      <c r="AG428" s="40"/>
      <c r="AH428" s="40"/>
      <c r="AI428" s="40"/>
      <c r="AJ428" s="40"/>
      <c r="AK428" s="40"/>
      <c r="AL428" s="40"/>
      <c r="AM428" s="40"/>
      <c r="AN428" s="40"/>
      <c r="AO428" s="40"/>
      <c r="AP428" s="40"/>
      <c r="AQ428" s="40"/>
      <c r="AR428" s="40"/>
      <c r="AS428" s="40"/>
      <c r="AT428" s="40"/>
      <c r="AU428" s="40"/>
      <c r="AV428" s="40"/>
      <c r="AW428" s="86"/>
      <c r="AX428" s="86"/>
      <c r="AY428" s="86"/>
      <c r="AZ428" s="86"/>
      <c r="BA428" s="86"/>
      <c r="BB428" s="86"/>
      <c r="BC428" s="86"/>
    </row>
    <row r="429" spans="1:55">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c r="AA429" s="40"/>
      <c r="AB429" s="40"/>
      <c r="AC429" s="40"/>
      <c r="AD429" s="40"/>
      <c r="AE429" s="40"/>
      <c r="AF429" s="40"/>
      <c r="AG429" s="40"/>
      <c r="AH429" s="40"/>
      <c r="AI429" s="40"/>
      <c r="AJ429" s="40"/>
      <c r="AK429" s="40"/>
      <c r="AL429" s="40"/>
      <c r="AM429" s="40"/>
      <c r="AN429" s="40"/>
      <c r="AO429" s="40"/>
      <c r="AP429" s="40"/>
      <c r="AQ429" s="40"/>
      <c r="AR429" s="40"/>
      <c r="AS429" s="40"/>
      <c r="AT429" s="40"/>
      <c r="AU429" s="40"/>
      <c r="AV429" s="40"/>
      <c r="AW429" s="86"/>
      <c r="AX429" s="86"/>
      <c r="AY429" s="86"/>
      <c r="AZ429" s="86"/>
      <c r="BA429" s="86"/>
      <c r="BB429" s="86"/>
      <c r="BC429" s="86"/>
    </row>
    <row r="430" spans="1:55">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c r="AA430" s="40"/>
      <c r="AB430" s="40"/>
      <c r="AC430" s="40"/>
      <c r="AD430" s="40"/>
      <c r="AE430" s="40"/>
      <c r="AF430" s="40"/>
      <c r="AG430" s="40"/>
      <c r="AH430" s="40"/>
      <c r="AI430" s="40"/>
      <c r="AJ430" s="40"/>
      <c r="AK430" s="40"/>
      <c r="AL430" s="40"/>
      <c r="AM430" s="40"/>
      <c r="AN430" s="40"/>
      <c r="AO430" s="40"/>
      <c r="AP430" s="40"/>
      <c r="AQ430" s="40"/>
      <c r="AR430" s="40"/>
      <c r="AS430" s="40"/>
      <c r="AT430" s="40"/>
      <c r="AU430" s="40"/>
      <c r="AV430" s="40"/>
      <c r="AW430" s="86"/>
      <c r="AX430" s="86"/>
      <c r="AY430" s="86"/>
      <c r="AZ430" s="86"/>
      <c r="BA430" s="86"/>
      <c r="BB430" s="86"/>
      <c r="BC430" s="86"/>
    </row>
    <row r="431" spans="1:55">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c r="AA431" s="40"/>
      <c r="AB431" s="40"/>
      <c r="AC431" s="40"/>
      <c r="AD431" s="40"/>
      <c r="AE431" s="40"/>
      <c r="AF431" s="40"/>
      <c r="AG431" s="40"/>
      <c r="AH431" s="40"/>
      <c r="AI431" s="40"/>
      <c r="AJ431" s="40"/>
      <c r="AK431" s="40"/>
      <c r="AL431" s="40"/>
      <c r="AM431" s="40"/>
      <c r="AN431" s="40"/>
      <c r="AO431" s="40"/>
      <c r="AP431" s="40"/>
      <c r="AQ431" s="40"/>
      <c r="AR431" s="40"/>
      <c r="AS431" s="40"/>
      <c r="AT431" s="40"/>
      <c r="AU431" s="40"/>
      <c r="AV431" s="40"/>
      <c r="AW431" s="86"/>
      <c r="AX431" s="86"/>
      <c r="AY431" s="86"/>
      <c r="AZ431" s="86"/>
      <c r="BA431" s="86"/>
      <c r="BB431" s="86"/>
      <c r="BC431" s="86"/>
    </row>
    <row r="432" spans="1:55">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c r="AA432" s="40"/>
      <c r="AB432" s="40"/>
      <c r="AC432" s="40"/>
      <c r="AD432" s="40"/>
      <c r="AE432" s="40"/>
      <c r="AF432" s="40"/>
      <c r="AG432" s="40"/>
      <c r="AH432" s="40"/>
      <c r="AI432" s="40"/>
      <c r="AJ432" s="40"/>
      <c r="AK432" s="40"/>
      <c r="AL432" s="40"/>
      <c r="AM432" s="40"/>
      <c r="AN432" s="40"/>
      <c r="AO432" s="40"/>
      <c r="AP432" s="40"/>
      <c r="AQ432" s="40"/>
      <c r="AR432" s="40"/>
      <c r="AS432" s="40"/>
      <c r="AT432" s="40"/>
      <c r="AU432" s="40"/>
      <c r="AV432" s="40"/>
      <c r="AW432" s="86"/>
      <c r="AX432" s="86"/>
      <c r="AY432" s="86"/>
      <c r="AZ432" s="86"/>
      <c r="BA432" s="86"/>
      <c r="BB432" s="86"/>
      <c r="BC432" s="86"/>
    </row>
    <row r="433" spans="1:55">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c r="AB433" s="40"/>
      <c r="AC433" s="40"/>
      <c r="AD433" s="40"/>
      <c r="AE433" s="40"/>
      <c r="AF433" s="40"/>
      <c r="AG433" s="40"/>
      <c r="AH433" s="40"/>
      <c r="AI433" s="40"/>
      <c r="AJ433" s="40"/>
      <c r="AK433" s="40"/>
      <c r="AL433" s="40"/>
      <c r="AM433" s="40"/>
      <c r="AN433" s="40"/>
      <c r="AO433" s="40"/>
      <c r="AP433" s="40"/>
      <c r="AQ433" s="40"/>
      <c r="AR433" s="40"/>
      <c r="AS433" s="40"/>
      <c r="AT433" s="40"/>
      <c r="AU433" s="40"/>
      <c r="AV433" s="40"/>
      <c r="AW433" s="86"/>
      <c r="AX433" s="86"/>
      <c r="AY433" s="86"/>
      <c r="AZ433" s="86"/>
      <c r="BA433" s="86"/>
      <c r="BB433" s="86"/>
      <c r="BC433" s="86"/>
    </row>
    <row r="434" spans="1:55">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c r="AA434" s="40"/>
      <c r="AB434" s="40"/>
      <c r="AC434" s="40"/>
      <c r="AD434" s="40"/>
      <c r="AE434" s="40"/>
      <c r="AF434" s="40"/>
      <c r="AG434" s="40"/>
      <c r="AH434" s="40"/>
      <c r="AI434" s="40"/>
      <c r="AJ434" s="40"/>
      <c r="AK434" s="40"/>
      <c r="AL434" s="40"/>
      <c r="AM434" s="40"/>
      <c r="AN434" s="40"/>
      <c r="AO434" s="40"/>
      <c r="AP434" s="40"/>
      <c r="AQ434" s="40"/>
      <c r="AR434" s="40"/>
      <c r="AS434" s="40"/>
      <c r="AT434" s="40"/>
      <c r="AU434" s="40"/>
      <c r="AV434" s="40"/>
      <c r="AW434" s="86"/>
      <c r="AX434" s="86"/>
      <c r="AY434" s="86"/>
      <c r="AZ434" s="86"/>
      <c r="BA434" s="86"/>
      <c r="BB434" s="86"/>
      <c r="BC434" s="86"/>
    </row>
    <row r="435" spans="1:5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c r="AA435" s="40"/>
      <c r="AB435" s="40"/>
      <c r="AC435" s="40"/>
      <c r="AD435" s="40"/>
      <c r="AE435" s="40"/>
      <c r="AF435" s="40"/>
      <c r="AG435" s="40"/>
      <c r="AH435" s="40"/>
      <c r="AI435" s="40"/>
      <c r="AJ435" s="40"/>
      <c r="AK435" s="40"/>
      <c r="AL435" s="40"/>
      <c r="AM435" s="40"/>
      <c r="AN435" s="40"/>
      <c r="AO435" s="40"/>
      <c r="AP435" s="40"/>
      <c r="AQ435" s="40"/>
      <c r="AR435" s="40"/>
      <c r="AS435" s="40"/>
      <c r="AT435" s="40"/>
      <c r="AU435" s="40"/>
      <c r="AV435" s="40"/>
      <c r="AW435" s="86"/>
      <c r="AX435" s="86"/>
      <c r="AY435" s="86"/>
      <c r="AZ435" s="86"/>
      <c r="BA435" s="86"/>
      <c r="BB435" s="86"/>
      <c r="BC435" s="86"/>
    </row>
    <row r="436" spans="1:55">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c r="AA436" s="40"/>
      <c r="AB436" s="40"/>
      <c r="AC436" s="40"/>
      <c r="AD436" s="40"/>
      <c r="AE436" s="40"/>
      <c r="AF436" s="40"/>
      <c r="AG436" s="40"/>
      <c r="AH436" s="40"/>
      <c r="AI436" s="40"/>
      <c r="AJ436" s="40"/>
      <c r="AK436" s="40"/>
      <c r="AL436" s="40"/>
      <c r="AM436" s="40"/>
      <c r="AN436" s="40"/>
      <c r="AO436" s="40"/>
      <c r="AP436" s="40"/>
      <c r="AQ436" s="40"/>
      <c r="AR436" s="40"/>
      <c r="AS436" s="40"/>
      <c r="AT436" s="40"/>
      <c r="AU436" s="40"/>
      <c r="AV436" s="40"/>
      <c r="AW436" s="86"/>
      <c r="AX436" s="86"/>
      <c r="AY436" s="86"/>
      <c r="AZ436" s="86"/>
      <c r="BA436" s="86"/>
      <c r="BB436" s="86"/>
      <c r="BC436" s="86"/>
    </row>
    <row r="437" spans="1:55">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c r="AA437" s="40"/>
      <c r="AB437" s="40"/>
      <c r="AC437" s="40"/>
      <c r="AD437" s="40"/>
      <c r="AE437" s="40"/>
      <c r="AF437" s="40"/>
      <c r="AG437" s="40"/>
      <c r="AH437" s="40"/>
      <c r="AI437" s="40"/>
      <c r="AJ437" s="40"/>
      <c r="AK437" s="40"/>
      <c r="AL437" s="40"/>
      <c r="AM437" s="40"/>
      <c r="AN437" s="40"/>
      <c r="AO437" s="40"/>
      <c r="AP437" s="40"/>
      <c r="AQ437" s="40"/>
      <c r="AR437" s="40"/>
      <c r="AS437" s="40"/>
      <c r="AT437" s="40"/>
      <c r="AU437" s="40"/>
      <c r="AV437" s="40"/>
      <c r="AW437" s="86"/>
      <c r="AX437" s="86"/>
      <c r="AY437" s="86"/>
      <c r="AZ437" s="86"/>
      <c r="BA437" s="86"/>
      <c r="BB437" s="86"/>
      <c r="BC437" s="86"/>
    </row>
    <row r="438" spans="1:55">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c r="AA438" s="40"/>
      <c r="AB438" s="40"/>
      <c r="AC438" s="40"/>
      <c r="AD438" s="40"/>
      <c r="AE438" s="40"/>
      <c r="AF438" s="40"/>
      <c r="AG438" s="40"/>
      <c r="AH438" s="40"/>
      <c r="AI438" s="40"/>
      <c r="AJ438" s="40"/>
      <c r="AK438" s="40"/>
      <c r="AL438" s="40"/>
      <c r="AM438" s="40"/>
      <c r="AN438" s="40"/>
      <c r="AO438" s="40"/>
      <c r="AP438" s="40"/>
      <c r="AQ438" s="40"/>
      <c r="AR438" s="40"/>
      <c r="AS438" s="40"/>
      <c r="AT438" s="40"/>
      <c r="AU438" s="40"/>
      <c r="AV438" s="40"/>
      <c r="AW438" s="86"/>
      <c r="AX438" s="86"/>
      <c r="AY438" s="86"/>
      <c r="AZ438" s="86"/>
      <c r="BA438" s="86"/>
      <c r="BB438" s="86"/>
      <c r="BC438" s="86"/>
    </row>
    <row r="439" spans="1:55">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c r="AA439" s="40"/>
      <c r="AB439" s="40"/>
      <c r="AC439" s="40"/>
      <c r="AD439" s="40"/>
      <c r="AE439" s="40"/>
      <c r="AF439" s="40"/>
      <c r="AG439" s="40"/>
      <c r="AH439" s="40"/>
      <c r="AI439" s="40"/>
      <c r="AJ439" s="40"/>
      <c r="AK439" s="40"/>
      <c r="AL439" s="40"/>
      <c r="AM439" s="40"/>
      <c r="AN439" s="40"/>
      <c r="AO439" s="40"/>
      <c r="AP439" s="40"/>
      <c r="AQ439" s="40"/>
      <c r="AR439" s="40"/>
      <c r="AS439" s="40"/>
      <c r="AT439" s="40"/>
      <c r="AU439" s="40"/>
      <c r="AV439" s="40"/>
      <c r="AW439" s="86"/>
      <c r="AX439" s="86"/>
      <c r="AY439" s="86"/>
      <c r="AZ439" s="86"/>
      <c r="BA439" s="86"/>
      <c r="BB439" s="86"/>
      <c r="BC439" s="86"/>
    </row>
    <row r="440" spans="1:55">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c r="AA440" s="40"/>
      <c r="AB440" s="40"/>
      <c r="AC440" s="40"/>
      <c r="AD440" s="40"/>
      <c r="AE440" s="40"/>
      <c r="AF440" s="40"/>
      <c r="AG440" s="40"/>
      <c r="AH440" s="40"/>
      <c r="AI440" s="40"/>
      <c r="AJ440" s="40"/>
      <c r="AK440" s="40"/>
      <c r="AL440" s="40"/>
      <c r="AM440" s="40"/>
      <c r="AN440" s="40"/>
      <c r="AO440" s="40"/>
      <c r="AP440" s="40"/>
      <c r="AQ440" s="40"/>
      <c r="AR440" s="40"/>
      <c r="AS440" s="40"/>
      <c r="AT440" s="40"/>
      <c r="AU440" s="40"/>
      <c r="AV440" s="40"/>
      <c r="AW440" s="86"/>
      <c r="AX440" s="86"/>
      <c r="AY440" s="86"/>
      <c r="AZ440" s="86"/>
      <c r="BA440" s="86"/>
      <c r="BB440" s="86"/>
      <c r="BC440" s="86"/>
    </row>
    <row r="441" spans="1:55">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c r="AA441" s="40"/>
      <c r="AB441" s="40"/>
      <c r="AC441" s="40"/>
      <c r="AD441" s="40"/>
      <c r="AE441" s="40"/>
      <c r="AF441" s="40"/>
      <c r="AG441" s="40"/>
      <c r="AH441" s="40"/>
      <c r="AI441" s="40"/>
      <c r="AJ441" s="40"/>
      <c r="AK441" s="40"/>
      <c r="AL441" s="40"/>
      <c r="AM441" s="40"/>
      <c r="AN441" s="40"/>
      <c r="AO441" s="40"/>
      <c r="AP441" s="40"/>
      <c r="AQ441" s="40"/>
      <c r="AR441" s="40"/>
      <c r="AS441" s="40"/>
      <c r="AT441" s="40"/>
      <c r="AU441" s="40"/>
      <c r="AV441" s="40"/>
      <c r="AW441" s="86"/>
      <c r="AX441" s="86"/>
      <c r="AY441" s="86"/>
      <c r="AZ441" s="86"/>
      <c r="BA441" s="86"/>
      <c r="BB441" s="86"/>
      <c r="BC441" s="86"/>
    </row>
    <row r="442" spans="1:55">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c r="AA442" s="40"/>
      <c r="AB442" s="40"/>
      <c r="AC442" s="40"/>
      <c r="AD442" s="40"/>
      <c r="AE442" s="40"/>
      <c r="AF442" s="40"/>
      <c r="AG442" s="40"/>
      <c r="AH442" s="40"/>
      <c r="AI442" s="40"/>
      <c r="AJ442" s="40"/>
      <c r="AK442" s="40"/>
      <c r="AL442" s="40"/>
      <c r="AM442" s="40"/>
      <c r="AN442" s="40"/>
      <c r="AO442" s="40"/>
      <c r="AP442" s="40"/>
      <c r="AQ442" s="40"/>
      <c r="AR442" s="40"/>
      <c r="AS442" s="40"/>
      <c r="AT442" s="40"/>
      <c r="AU442" s="40"/>
      <c r="AV442" s="40"/>
      <c r="AW442" s="86"/>
      <c r="AX442" s="86"/>
      <c r="AY442" s="86"/>
      <c r="AZ442" s="86"/>
      <c r="BA442" s="86"/>
      <c r="BB442" s="86"/>
      <c r="BC442" s="86"/>
    </row>
    <row r="443" spans="1:55">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c r="AA443" s="40"/>
      <c r="AB443" s="40"/>
      <c r="AC443" s="40"/>
      <c r="AD443" s="40"/>
      <c r="AE443" s="40"/>
      <c r="AF443" s="40"/>
      <c r="AG443" s="40"/>
      <c r="AH443" s="40"/>
      <c r="AI443" s="40"/>
      <c r="AJ443" s="40"/>
      <c r="AK443" s="40"/>
      <c r="AL443" s="40"/>
      <c r="AM443" s="40"/>
      <c r="AN443" s="40"/>
      <c r="AO443" s="40"/>
      <c r="AP443" s="40"/>
      <c r="AQ443" s="40"/>
      <c r="AR443" s="40"/>
      <c r="AS443" s="40"/>
      <c r="AT443" s="40"/>
      <c r="AU443" s="40"/>
      <c r="AV443" s="40"/>
      <c r="AW443" s="86"/>
      <c r="AX443" s="86"/>
      <c r="AY443" s="86"/>
      <c r="AZ443" s="86"/>
      <c r="BA443" s="86"/>
      <c r="BB443" s="86"/>
      <c r="BC443" s="86"/>
    </row>
    <row r="444" spans="1:55">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c r="AA444" s="40"/>
      <c r="AB444" s="40"/>
      <c r="AC444" s="40"/>
      <c r="AD444" s="40"/>
      <c r="AE444" s="40"/>
      <c r="AF444" s="40"/>
      <c r="AG444" s="40"/>
      <c r="AH444" s="40"/>
      <c r="AI444" s="40"/>
      <c r="AJ444" s="40"/>
      <c r="AK444" s="40"/>
      <c r="AL444" s="40"/>
      <c r="AM444" s="40"/>
      <c r="AN444" s="40"/>
      <c r="AO444" s="40"/>
      <c r="AP444" s="40"/>
      <c r="AQ444" s="40"/>
      <c r="AR444" s="40"/>
      <c r="AS444" s="40"/>
      <c r="AT444" s="40"/>
      <c r="AU444" s="40"/>
      <c r="AV444" s="40"/>
      <c r="AW444" s="86"/>
      <c r="AX444" s="86"/>
      <c r="AY444" s="86"/>
      <c r="AZ444" s="86"/>
      <c r="BA444" s="86"/>
      <c r="BB444" s="86"/>
      <c r="BC444" s="86"/>
    </row>
    <row r="445" spans="1:5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c r="AA445" s="40"/>
      <c r="AB445" s="40"/>
      <c r="AC445" s="40"/>
      <c r="AD445" s="40"/>
      <c r="AE445" s="40"/>
      <c r="AF445" s="40"/>
      <c r="AG445" s="40"/>
      <c r="AH445" s="40"/>
      <c r="AI445" s="40"/>
      <c r="AJ445" s="40"/>
      <c r="AK445" s="40"/>
      <c r="AL445" s="40"/>
      <c r="AM445" s="40"/>
      <c r="AN445" s="40"/>
      <c r="AO445" s="40"/>
      <c r="AP445" s="40"/>
      <c r="AQ445" s="40"/>
      <c r="AR445" s="40"/>
      <c r="AS445" s="40"/>
      <c r="AT445" s="40"/>
      <c r="AU445" s="40"/>
      <c r="AV445" s="40"/>
      <c r="AW445" s="86"/>
      <c r="AX445" s="86"/>
      <c r="AY445" s="86"/>
      <c r="AZ445" s="86"/>
      <c r="BA445" s="86"/>
      <c r="BB445" s="86"/>
      <c r="BC445" s="86"/>
    </row>
    <row r="446" spans="1:55">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c r="AA446" s="40"/>
      <c r="AB446" s="40"/>
      <c r="AC446" s="40"/>
      <c r="AD446" s="40"/>
      <c r="AE446" s="40"/>
      <c r="AF446" s="40"/>
      <c r="AG446" s="40"/>
      <c r="AH446" s="40"/>
      <c r="AI446" s="40"/>
      <c r="AJ446" s="40"/>
      <c r="AK446" s="40"/>
      <c r="AL446" s="40"/>
      <c r="AM446" s="40"/>
      <c r="AN446" s="40"/>
      <c r="AO446" s="40"/>
      <c r="AP446" s="40"/>
      <c r="AQ446" s="40"/>
      <c r="AR446" s="40"/>
      <c r="AS446" s="40"/>
      <c r="AT446" s="40"/>
      <c r="AU446" s="40"/>
      <c r="AV446" s="40"/>
      <c r="AW446" s="86"/>
      <c r="AX446" s="86"/>
      <c r="AY446" s="86"/>
      <c r="AZ446" s="86"/>
      <c r="BA446" s="86"/>
      <c r="BB446" s="86"/>
      <c r="BC446" s="86"/>
    </row>
    <row r="447" spans="1:55">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c r="AA447" s="40"/>
      <c r="AB447" s="40"/>
      <c r="AC447" s="40"/>
      <c r="AD447" s="40"/>
      <c r="AE447" s="40"/>
      <c r="AF447" s="40"/>
      <c r="AG447" s="40"/>
      <c r="AH447" s="40"/>
      <c r="AI447" s="40"/>
      <c r="AJ447" s="40"/>
      <c r="AK447" s="40"/>
      <c r="AL447" s="40"/>
      <c r="AM447" s="40"/>
      <c r="AN447" s="40"/>
      <c r="AO447" s="40"/>
      <c r="AP447" s="40"/>
      <c r="AQ447" s="40"/>
      <c r="AR447" s="40"/>
      <c r="AS447" s="40"/>
      <c r="AT447" s="40"/>
      <c r="AU447" s="40"/>
      <c r="AV447" s="40"/>
      <c r="AW447" s="86"/>
      <c r="AX447" s="86"/>
      <c r="AY447" s="86"/>
      <c r="AZ447" s="86"/>
      <c r="BA447" s="86"/>
      <c r="BB447" s="86"/>
      <c r="BC447" s="86"/>
    </row>
    <row r="448" spans="1:55">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c r="AA448" s="40"/>
      <c r="AB448" s="40"/>
      <c r="AC448" s="40"/>
      <c r="AD448" s="40"/>
      <c r="AE448" s="40"/>
      <c r="AF448" s="40"/>
      <c r="AG448" s="40"/>
      <c r="AH448" s="40"/>
      <c r="AI448" s="40"/>
      <c r="AJ448" s="40"/>
      <c r="AK448" s="40"/>
      <c r="AL448" s="40"/>
      <c r="AM448" s="40"/>
      <c r="AN448" s="40"/>
      <c r="AO448" s="40"/>
      <c r="AP448" s="40"/>
      <c r="AQ448" s="40"/>
      <c r="AR448" s="40"/>
      <c r="AS448" s="40"/>
      <c r="AT448" s="40"/>
      <c r="AU448" s="40"/>
      <c r="AV448" s="40"/>
      <c r="AW448" s="86"/>
      <c r="AX448" s="86"/>
      <c r="AY448" s="86"/>
      <c r="AZ448" s="86"/>
      <c r="BA448" s="86"/>
      <c r="BB448" s="86"/>
      <c r="BC448" s="86"/>
    </row>
    <row r="449" spans="1:55">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c r="AA449" s="40"/>
      <c r="AB449" s="40"/>
      <c r="AC449" s="40"/>
      <c r="AD449" s="40"/>
      <c r="AE449" s="40"/>
      <c r="AF449" s="40"/>
      <c r="AG449" s="40"/>
      <c r="AH449" s="40"/>
      <c r="AI449" s="40"/>
      <c r="AJ449" s="40"/>
      <c r="AK449" s="40"/>
      <c r="AL449" s="40"/>
      <c r="AM449" s="40"/>
      <c r="AN449" s="40"/>
      <c r="AO449" s="40"/>
      <c r="AP449" s="40"/>
      <c r="AQ449" s="40"/>
      <c r="AR449" s="40"/>
      <c r="AS449" s="40"/>
      <c r="AT449" s="40"/>
      <c r="AU449" s="40"/>
      <c r="AV449" s="40"/>
      <c r="AW449" s="86"/>
      <c r="AX449" s="86"/>
      <c r="AY449" s="86"/>
      <c r="AZ449" s="86"/>
      <c r="BA449" s="86"/>
      <c r="BB449" s="86"/>
      <c r="BC449" s="86"/>
    </row>
    <row r="450" spans="1:55">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c r="AA450" s="40"/>
      <c r="AB450" s="40"/>
      <c r="AC450" s="40"/>
      <c r="AD450" s="40"/>
      <c r="AE450" s="40"/>
      <c r="AF450" s="40"/>
      <c r="AG450" s="40"/>
      <c r="AH450" s="40"/>
      <c r="AI450" s="40"/>
      <c r="AJ450" s="40"/>
      <c r="AK450" s="40"/>
      <c r="AL450" s="40"/>
      <c r="AM450" s="40"/>
      <c r="AN450" s="40"/>
      <c r="AO450" s="40"/>
      <c r="AP450" s="40"/>
      <c r="AQ450" s="40"/>
      <c r="AR450" s="40"/>
      <c r="AS450" s="40"/>
      <c r="AT450" s="40"/>
      <c r="AU450" s="40"/>
      <c r="AV450" s="40"/>
      <c r="AW450" s="86"/>
      <c r="AX450" s="86"/>
      <c r="AY450" s="86"/>
      <c r="AZ450" s="86"/>
      <c r="BA450" s="86"/>
      <c r="BB450" s="86"/>
      <c r="BC450" s="86"/>
    </row>
    <row r="451" spans="1:55">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c r="AA451" s="40"/>
      <c r="AB451" s="40"/>
      <c r="AC451" s="40"/>
      <c r="AD451" s="40"/>
      <c r="AE451" s="40"/>
      <c r="AF451" s="40"/>
      <c r="AG451" s="40"/>
      <c r="AH451" s="40"/>
      <c r="AI451" s="40"/>
      <c r="AJ451" s="40"/>
      <c r="AK451" s="40"/>
      <c r="AL451" s="40"/>
      <c r="AM451" s="40"/>
      <c r="AN451" s="40"/>
      <c r="AO451" s="40"/>
      <c r="AP451" s="40"/>
      <c r="AQ451" s="40"/>
      <c r="AR451" s="40"/>
      <c r="AS451" s="40"/>
      <c r="AT451" s="40"/>
      <c r="AU451" s="40"/>
      <c r="AV451" s="40"/>
      <c r="AW451" s="86"/>
      <c r="AX451" s="86"/>
      <c r="AY451" s="86"/>
      <c r="AZ451" s="86"/>
      <c r="BA451" s="86"/>
      <c r="BB451" s="86"/>
      <c r="BC451" s="86"/>
    </row>
    <row r="452" spans="1:55">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c r="AA452" s="40"/>
      <c r="AB452" s="40"/>
      <c r="AC452" s="40"/>
      <c r="AD452" s="40"/>
      <c r="AE452" s="40"/>
      <c r="AF452" s="40"/>
      <c r="AG452" s="40"/>
      <c r="AH452" s="40"/>
      <c r="AI452" s="40"/>
      <c r="AJ452" s="40"/>
      <c r="AK452" s="40"/>
      <c r="AL452" s="40"/>
      <c r="AM452" s="40"/>
      <c r="AN452" s="40"/>
      <c r="AO452" s="40"/>
      <c r="AP452" s="40"/>
      <c r="AQ452" s="40"/>
      <c r="AR452" s="40"/>
      <c r="AS452" s="40"/>
      <c r="AT452" s="40"/>
      <c r="AU452" s="40"/>
      <c r="AV452" s="40"/>
      <c r="AW452" s="86"/>
      <c r="AX452" s="86"/>
      <c r="AY452" s="86"/>
      <c r="AZ452" s="86"/>
      <c r="BA452" s="86"/>
      <c r="BB452" s="86"/>
      <c r="BC452" s="86"/>
    </row>
    <row r="453" spans="1:55">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c r="AA453" s="40"/>
      <c r="AB453" s="40"/>
      <c r="AC453" s="40"/>
      <c r="AD453" s="40"/>
      <c r="AE453" s="40"/>
      <c r="AF453" s="40"/>
      <c r="AG453" s="40"/>
      <c r="AH453" s="40"/>
      <c r="AI453" s="40"/>
      <c r="AJ453" s="40"/>
      <c r="AK453" s="40"/>
      <c r="AL453" s="40"/>
      <c r="AM453" s="40"/>
      <c r="AN453" s="40"/>
      <c r="AO453" s="40"/>
      <c r="AP453" s="40"/>
      <c r="AQ453" s="40"/>
      <c r="AR453" s="40"/>
      <c r="AS453" s="40"/>
      <c r="AT453" s="40"/>
      <c r="AU453" s="40"/>
      <c r="AV453" s="40"/>
      <c r="AW453" s="86"/>
      <c r="AX453" s="86"/>
      <c r="AY453" s="86"/>
      <c r="AZ453" s="86"/>
      <c r="BA453" s="86"/>
      <c r="BB453" s="86"/>
      <c r="BC453" s="86"/>
    </row>
    <row r="454" spans="1:55">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c r="AA454" s="40"/>
      <c r="AB454" s="40"/>
      <c r="AC454" s="40"/>
      <c r="AD454" s="40"/>
      <c r="AE454" s="40"/>
      <c r="AF454" s="40"/>
      <c r="AG454" s="40"/>
      <c r="AH454" s="40"/>
      <c r="AI454" s="40"/>
      <c r="AJ454" s="40"/>
      <c r="AK454" s="40"/>
      <c r="AL454" s="40"/>
      <c r="AM454" s="40"/>
      <c r="AN454" s="40"/>
      <c r="AO454" s="40"/>
      <c r="AP454" s="40"/>
      <c r="AQ454" s="40"/>
      <c r="AR454" s="40"/>
      <c r="AS454" s="40"/>
      <c r="AT454" s="40"/>
      <c r="AU454" s="40"/>
      <c r="AV454" s="40"/>
      <c r="AW454" s="86"/>
      <c r="AX454" s="86"/>
      <c r="AY454" s="86"/>
      <c r="AZ454" s="86"/>
      <c r="BA454" s="86"/>
      <c r="BB454" s="86"/>
      <c r="BC454" s="86"/>
    </row>
    <row r="455" spans="1: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c r="AA455" s="40"/>
      <c r="AB455" s="40"/>
      <c r="AC455" s="40"/>
      <c r="AD455" s="40"/>
      <c r="AE455" s="40"/>
      <c r="AF455" s="40"/>
      <c r="AG455" s="40"/>
      <c r="AH455" s="40"/>
      <c r="AI455" s="40"/>
      <c r="AJ455" s="40"/>
      <c r="AK455" s="40"/>
      <c r="AL455" s="40"/>
      <c r="AM455" s="40"/>
      <c r="AN455" s="40"/>
      <c r="AO455" s="40"/>
      <c r="AP455" s="40"/>
      <c r="AQ455" s="40"/>
      <c r="AR455" s="40"/>
      <c r="AS455" s="40"/>
      <c r="AT455" s="40"/>
      <c r="AU455" s="40"/>
      <c r="AV455" s="40"/>
      <c r="AW455" s="86"/>
      <c r="AX455" s="86"/>
      <c r="AY455" s="86"/>
      <c r="AZ455" s="86"/>
      <c r="BA455" s="86"/>
      <c r="BB455" s="86"/>
      <c r="BC455" s="86"/>
    </row>
    <row r="456" spans="1:55">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c r="AA456" s="40"/>
      <c r="AB456" s="40"/>
      <c r="AC456" s="40"/>
      <c r="AD456" s="40"/>
      <c r="AE456" s="40"/>
      <c r="AF456" s="40"/>
      <c r="AG456" s="40"/>
      <c r="AH456" s="40"/>
      <c r="AI456" s="40"/>
      <c r="AJ456" s="40"/>
      <c r="AK456" s="40"/>
      <c r="AL456" s="40"/>
      <c r="AM456" s="40"/>
      <c r="AN456" s="40"/>
      <c r="AO456" s="40"/>
      <c r="AP456" s="40"/>
      <c r="AQ456" s="40"/>
      <c r="AR456" s="40"/>
      <c r="AS456" s="40"/>
      <c r="AT456" s="40"/>
      <c r="AU456" s="40"/>
      <c r="AV456" s="40"/>
      <c r="AW456" s="86"/>
      <c r="AX456" s="86"/>
      <c r="AY456" s="86"/>
      <c r="AZ456" s="86"/>
      <c r="BA456" s="86"/>
      <c r="BB456" s="86"/>
      <c r="BC456" s="86"/>
    </row>
    <row r="457" spans="1:55">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c r="AA457" s="40"/>
      <c r="AB457" s="40"/>
      <c r="AC457" s="40"/>
      <c r="AD457" s="40"/>
      <c r="AE457" s="40"/>
      <c r="AF457" s="40"/>
      <c r="AG457" s="40"/>
      <c r="AH457" s="40"/>
      <c r="AI457" s="40"/>
      <c r="AJ457" s="40"/>
      <c r="AK457" s="40"/>
      <c r="AL457" s="40"/>
      <c r="AM457" s="40"/>
      <c r="AN457" s="40"/>
      <c r="AO457" s="40"/>
      <c r="AP457" s="40"/>
      <c r="AQ457" s="40"/>
      <c r="AR457" s="40"/>
      <c r="AS457" s="40"/>
      <c r="AT457" s="40"/>
      <c r="AU457" s="40"/>
      <c r="AV457" s="40"/>
      <c r="AW457" s="86"/>
      <c r="AX457" s="86"/>
      <c r="AY457" s="86"/>
      <c r="AZ457" s="86"/>
      <c r="BA457" s="86"/>
      <c r="BB457" s="86"/>
      <c r="BC457" s="86"/>
    </row>
    <row r="458" spans="1:55">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c r="AA458" s="40"/>
      <c r="AB458" s="40"/>
      <c r="AC458" s="40"/>
      <c r="AD458" s="40"/>
      <c r="AE458" s="40"/>
      <c r="AF458" s="40"/>
      <c r="AG458" s="40"/>
      <c r="AH458" s="40"/>
      <c r="AI458" s="40"/>
      <c r="AJ458" s="40"/>
      <c r="AK458" s="40"/>
      <c r="AL458" s="40"/>
      <c r="AM458" s="40"/>
      <c r="AN458" s="40"/>
      <c r="AO458" s="40"/>
      <c r="AP458" s="40"/>
      <c r="AQ458" s="40"/>
      <c r="AR458" s="40"/>
      <c r="AS458" s="40"/>
      <c r="AT458" s="40"/>
      <c r="AU458" s="40"/>
      <c r="AV458" s="40"/>
      <c r="AW458" s="86"/>
      <c r="AX458" s="86"/>
      <c r="AY458" s="86"/>
      <c r="AZ458" s="86"/>
      <c r="BA458" s="86"/>
      <c r="BB458" s="86"/>
      <c r="BC458" s="86"/>
    </row>
    <row r="459" spans="1:55">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c r="AA459" s="40"/>
      <c r="AB459" s="40"/>
      <c r="AC459" s="40"/>
      <c r="AD459" s="40"/>
      <c r="AE459" s="40"/>
      <c r="AF459" s="40"/>
      <c r="AG459" s="40"/>
      <c r="AH459" s="40"/>
      <c r="AI459" s="40"/>
      <c r="AJ459" s="40"/>
      <c r="AK459" s="40"/>
      <c r="AL459" s="40"/>
      <c r="AM459" s="40"/>
      <c r="AN459" s="40"/>
      <c r="AO459" s="40"/>
      <c r="AP459" s="40"/>
      <c r="AQ459" s="40"/>
      <c r="AR459" s="40"/>
      <c r="AS459" s="40"/>
      <c r="AT459" s="40"/>
      <c r="AU459" s="40"/>
      <c r="AV459" s="40"/>
      <c r="AW459" s="86"/>
      <c r="AX459" s="86"/>
      <c r="AY459" s="86"/>
      <c r="AZ459" s="86"/>
      <c r="BA459" s="86"/>
      <c r="BB459" s="86"/>
      <c r="BC459" s="86"/>
    </row>
    <row r="460" spans="1:55">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c r="AA460" s="40"/>
      <c r="AB460" s="40"/>
      <c r="AC460" s="40"/>
      <c r="AD460" s="40"/>
      <c r="AE460" s="40"/>
      <c r="AF460" s="40"/>
      <c r="AG460" s="40"/>
      <c r="AH460" s="40"/>
      <c r="AI460" s="40"/>
      <c r="AJ460" s="40"/>
      <c r="AK460" s="40"/>
      <c r="AL460" s="40"/>
      <c r="AM460" s="40"/>
      <c r="AN460" s="40"/>
      <c r="AO460" s="40"/>
      <c r="AP460" s="40"/>
      <c r="AQ460" s="40"/>
      <c r="AR460" s="40"/>
      <c r="AS460" s="40"/>
      <c r="AT460" s="40"/>
      <c r="AU460" s="40"/>
      <c r="AV460" s="40"/>
      <c r="AW460" s="86"/>
      <c r="AX460" s="86"/>
      <c r="AY460" s="86"/>
      <c r="AZ460" s="86"/>
      <c r="BA460" s="86"/>
      <c r="BB460" s="86"/>
      <c r="BC460" s="86"/>
    </row>
    <row r="461" spans="1:55">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c r="AA461" s="40"/>
      <c r="AB461" s="40"/>
      <c r="AC461" s="40"/>
      <c r="AD461" s="40"/>
      <c r="AE461" s="40"/>
      <c r="AF461" s="40"/>
      <c r="AG461" s="40"/>
      <c r="AH461" s="40"/>
      <c r="AI461" s="40"/>
      <c r="AJ461" s="40"/>
      <c r="AK461" s="40"/>
      <c r="AL461" s="40"/>
      <c r="AM461" s="40"/>
      <c r="AN461" s="40"/>
      <c r="AO461" s="40"/>
      <c r="AP461" s="40"/>
      <c r="AQ461" s="40"/>
      <c r="AR461" s="40"/>
      <c r="AS461" s="40"/>
      <c r="AT461" s="40"/>
      <c r="AU461" s="40"/>
      <c r="AV461" s="40"/>
      <c r="AW461" s="86"/>
      <c r="AX461" s="86"/>
      <c r="AY461" s="86"/>
      <c r="AZ461" s="86"/>
      <c r="BA461" s="86"/>
      <c r="BB461" s="86"/>
      <c r="BC461" s="86"/>
    </row>
    <row r="462" spans="1:55">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c r="AA462" s="40"/>
      <c r="AB462" s="40"/>
      <c r="AC462" s="40"/>
      <c r="AD462" s="40"/>
      <c r="AE462" s="40"/>
      <c r="AF462" s="40"/>
      <c r="AG462" s="40"/>
      <c r="AH462" s="40"/>
      <c r="AI462" s="40"/>
      <c r="AJ462" s="40"/>
      <c r="AK462" s="40"/>
      <c r="AL462" s="40"/>
      <c r="AM462" s="40"/>
      <c r="AN462" s="40"/>
      <c r="AO462" s="40"/>
      <c r="AP462" s="40"/>
      <c r="AQ462" s="40"/>
      <c r="AR462" s="40"/>
      <c r="AS462" s="40"/>
      <c r="AT462" s="40"/>
      <c r="AU462" s="40"/>
      <c r="AV462" s="40"/>
      <c r="AW462" s="86"/>
      <c r="AX462" s="86"/>
      <c r="AY462" s="86"/>
      <c r="AZ462" s="86"/>
      <c r="BA462" s="86"/>
      <c r="BB462" s="86"/>
      <c r="BC462" s="86"/>
    </row>
    <row r="463" spans="1:55">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c r="AA463" s="40"/>
      <c r="AB463" s="40"/>
      <c r="AC463" s="40"/>
      <c r="AD463" s="40"/>
      <c r="AE463" s="40"/>
      <c r="AF463" s="40"/>
      <c r="AG463" s="40"/>
      <c r="AH463" s="40"/>
      <c r="AI463" s="40"/>
      <c r="AJ463" s="40"/>
      <c r="AK463" s="40"/>
      <c r="AL463" s="40"/>
      <c r="AM463" s="40"/>
      <c r="AN463" s="40"/>
      <c r="AO463" s="40"/>
      <c r="AP463" s="40"/>
      <c r="AQ463" s="40"/>
      <c r="AR463" s="40"/>
      <c r="AS463" s="40"/>
      <c r="AT463" s="40"/>
      <c r="AU463" s="40"/>
      <c r="AV463" s="40"/>
      <c r="AW463" s="86"/>
      <c r="AX463" s="86"/>
      <c r="AY463" s="86"/>
      <c r="AZ463" s="86"/>
      <c r="BA463" s="86"/>
      <c r="BB463" s="86"/>
      <c r="BC463" s="86"/>
    </row>
    <row r="464" spans="1:55">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c r="AA464" s="40"/>
      <c r="AB464" s="40"/>
      <c r="AC464" s="40"/>
      <c r="AD464" s="40"/>
      <c r="AE464" s="40"/>
      <c r="AF464" s="40"/>
      <c r="AG464" s="40"/>
      <c r="AH464" s="40"/>
      <c r="AI464" s="40"/>
      <c r="AJ464" s="40"/>
      <c r="AK464" s="40"/>
      <c r="AL464" s="40"/>
      <c r="AM464" s="40"/>
      <c r="AN464" s="40"/>
      <c r="AO464" s="40"/>
      <c r="AP464" s="40"/>
      <c r="AQ464" s="40"/>
      <c r="AR464" s="40"/>
      <c r="AS464" s="40"/>
      <c r="AT464" s="40"/>
      <c r="AU464" s="40"/>
      <c r="AV464" s="40"/>
      <c r="AW464" s="86"/>
      <c r="AX464" s="86"/>
      <c r="AY464" s="86"/>
      <c r="AZ464" s="86"/>
      <c r="BA464" s="86"/>
      <c r="BB464" s="86"/>
      <c r="BC464" s="86"/>
    </row>
    <row r="465" spans="1:5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c r="AA465" s="40"/>
      <c r="AB465" s="40"/>
      <c r="AC465" s="40"/>
      <c r="AD465" s="40"/>
      <c r="AE465" s="40"/>
      <c r="AF465" s="40"/>
      <c r="AG465" s="40"/>
      <c r="AH465" s="40"/>
      <c r="AI465" s="40"/>
      <c r="AJ465" s="40"/>
      <c r="AK465" s="40"/>
      <c r="AL465" s="40"/>
      <c r="AM465" s="40"/>
      <c r="AN465" s="40"/>
      <c r="AO465" s="40"/>
      <c r="AP465" s="40"/>
      <c r="AQ465" s="40"/>
      <c r="AR465" s="40"/>
      <c r="AS465" s="40"/>
      <c r="AT465" s="40"/>
      <c r="AU465" s="40"/>
      <c r="AV465" s="40"/>
      <c r="AW465" s="86"/>
      <c r="AX465" s="86"/>
      <c r="AY465" s="86"/>
      <c r="AZ465" s="86"/>
      <c r="BA465" s="86"/>
      <c r="BB465" s="86"/>
      <c r="BC465" s="86"/>
    </row>
    <row r="466" spans="1:55">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c r="AA466" s="40"/>
      <c r="AB466" s="40"/>
      <c r="AC466" s="40"/>
      <c r="AD466" s="40"/>
      <c r="AE466" s="40"/>
      <c r="AF466" s="40"/>
      <c r="AG466" s="40"/>
      <c r="AH466" s="40"/>
      <c r="AI466" s="40"/>
      <c r="AJ466" s="40"/>
      <c r="AK466" s="40"/>
      <c r="AL466" s="40"/>
      <c r="AM466" s="40"/>
      <c r="AN466" s="40"/>
      <c r="AO466" s="40"/>
      <c r="AP466" s="40"/>
      <c r="AQ466" s="40"/>
      <c r="AR466" s="40"/>
      <c r="AS466" s="40"/>
      <c r="AT466" s="40"/>
      <c r="AU466" s="40"/>
      <c r="AV466" s="40"/>
      <c r="AW466" s="86"/>
      <c r="AX466" s="86"/>
      <c r="AY466" s="86"/>
      <c r="AZ466" s="86"/>
      <c r="BA466" s="86"/>
      <c r="BB466" s="86"/>
      <c r="BC466" s="86"/>
    </row>
    <row r="467" spans="1:55">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c r="AA467" s="40"/>
      <c r="AB467" s="40"/>
      <c r="AC467" s="40"/>
      <c r="AD467" s="40"/>
      <c r="AE467" s="40"/>
      <c r="AF467" s="40"/>
      <c r="AG467" s="40"/>
      <c r="AH467" s="40"/>
      <c r="AI467" s="40"/>
      <c r="AJ467" s="40"/>
      <c r="AK467" s="40"/>
      <c r="AL467" s="40"/>
      <c r="AM467" s="40"/>
      <c r="AN467" s="40"/>
      <c r="AO467" s="40"/>
      <c r="AP467" s="40"/>
      <c r="AQ467" s="40"/>
      <c r="AR467" s="40"/>
      <c r="AS467" s="40"/>
      <c r="AT467" s="40"/>
      <c r="AU467" s="40"/>
      <c r="AV467" s="40"/>
      <c r="AW467" s="86"/>
      <c r="AX467" s="86"/>
      <c r="AY467" s="86"/>
      <c r="AZ467" s="86"/>
      <c r="BA467" s="86"/>
      <c r="BB467" s="86"/>
      <c r="BC467" s="86"/>
    </row>
    <row r="468" spans="1:55">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c r="AA468" s="40"/>
      <c r="AB468" s="40"/>
      <c r="AC468" s="40"/>
      <c r="AD468" s="40"/>
      <c r="AE468" s="40"/>
      <c r="AF468" s="40"/>
      <c r="AG468" s="40"/>
      <c r="AH468" s="40"/>
      <c r="AI468" s="40"/>
      <c r="AJ468" s="40"/>
      <c r="AK468" s="40"/>
      <c r="AL468" s="40"/>
      <c r="AM468" s="40"/>
      <c r="AN468" s="40"/>
      <c r="AO468" s="40"/>
      <c r="AP468" s="40"/>
      <c r="AQ468" s="40"/>
      <c r="AR468" s="40"/>
      <c r="AS468" s="40"/>
      <c r="AT468" s="40"/>
      <c r="AU468" s="40"/>
      <c r="AV468" s="40"/>
      <c r="AW468" s="86"/>
      <c r="AX468" s="86"/>
      <c r="AY468" s="86"/>
      <c r="AZ468" s="86"/>
      <c r="BA468" s="86"/>
      <c r="BB468" s="86"/>
      <c r="BC468" s="86"/>
    </row>
    <row r="469" spans="1:55">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c r="AA469" s="40"/>
      <c r="AB469" s="40"/>
      <c r="AC469" s="40"/>
      <c r="AD469" s="40"/>
      <c r="AE469" s="40"/>
      <c r="AF469" s="40"/>
      <c r="AG469" s="40"/>
      <c r="AH469" s="40"/>
      <c r="AI469" s="40"/>
      <c r="AJ469" s="40"/>
      <c r="AK469" s="40"/>
      <c r="AL469" s="40"/>
      <c r="AM469" s="40"/>
      <c r="AN469" s="40"/>
      <c r="AO469" s="40"/>
      <c r="AP469" s="40"/>
      <c r="AQ469" s="40"/>
      <c r="AR469" s="40"/>
      <c r="AS469" s="40"/>
      <c r="AT469" s="40"/>
      <c r="AU469" s="40"/>
      <c r="AV469" s="40"/>
      <c r="AW469" s="86"/>
      <c r="AX469" s="86"/>
      <c r="AY469" s="86"/>
      <c r="AZ469" s="86"/>
      <c r="BA469" s="86"/>
      <c r="BB469" s="86"/>
      <c r="BC469" s="86"/>
    </row>
    <row r="470" spans="1:55">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c r="AA470" s="40"/>
      <c r="AB470" s="40"/>
      <c r="AC470" s="40"/>
      <c r="AD470" s="40"/>
      <c r="AE470" s="40"/>
      <c r="AF470" s="40"/>
      <c r="AG470" s="40"/>
      <c r="AH470" s="40"/>
      <c r="AI470" s="40"/>
      <c r="AJ470" s="40"/>
      <c r="AK470" s="40"/>
      <c r="AL470" s="40"/>
      <c r="AM470" s="40"/>
      <c r="AN470" s="40"/>
      <c r="AO470" s="40"/>
      <c r="AP470" s="40"/>
      <c r="AQ470" s="40"/>
      <c r="AR470" s="40"/>
      <c r="AS470" s="40"/>
      <c r="AT470" s="40"/>
      <c r="AU470" s="40"/>
      <c r="AV470" s="40"/>
      <c r="AW470" s="86"/>
      <c r="AX470" s="86"/>
      <c r="AY470" s="86"/>
      <c r="AZ470" s="86"/>
      <c r="BA470" s="86"/>
      <c r="BB470" s="86"/>
      <c r="BC470" s="86"/>
    </row>
    <row r="471" spans="1:55">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c r="AA471" s="40"/>
      <c r="AB471" s="40"/>
      <c r="AC471" s="40"/>
      <c r="AD471" s="40"/>
      <c r="AE471" s="40"/>
      <c r="AF471" s="40"/>
      <c r="AG471" s="40"/>
      <c r="AH471" s="40"/>
      <c r="AI471" s="40"/>
      <c r="AJ471" s="40"/>
      <c r="AK471" s="40"/>
      <c r="AL471" s="40"/>
      <c r="AM471" s="40"/>
      <c r="AN471" s="40"/>
      <c r="AO471" s="40"/>
      <c r="AP471" s="40"/>
      <c r="AQ471" s="40"/>
      <c r="AR471" s="40"/>
      <c r="AS471" s="40"/>
      <c r="AT471" s="40"/>
      <c r="AU471" s="40"/>
      <c r="AV471" s="40"/>
      <c r="AW471" s="86"/>
      <c r="AX471" s="86"/>
      <c r="AY471" s="86"/>
      <c r="AZ471" s="86"/>
      <c r="BA471" s="86"/>
      <c r="BB471" s="86"/>
      <c r="BC471" s="86"/>
    </row>
    <row r="472" spans="1:55">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c r="AA472" s="40"/>
      <c r="AB472" s="40"/>
      <c r="AC472" s="40"/>
      <c r="AD472" s="40"/>
      <c r="AE472" s="40"/>
      <c r="AF472" s="40"/>
      <c r="AG472" s="40"/>
      <c r="AH472" s="40"/>
      <c r="AI472" s="40"/>
      <c r="AJ472" s="40"/>
      <c r="AK472" s="40"/>
      <c r="AL472" s="40"/>
      <c r="AM472" s="40"/>
      <c r="AN472" s="40"/>
      <c r="AO472" s="40"/>
      <c r="AP472" s="40"/>
      <c r="AQ472" s="40"/>
      <c r="AR472" s="40"/>
      <c r="AS472" s="40"/>
      <c r="AT472" s="40"/>
      <c r="AU472" s="40"/>
      <c r="AV472" s="40"/>
      <c r="AW472" s="86"/>
      <c r="AX472" s="86"/>
      <c r="AY472" s="86"/>
      <c r="AZ472" s="86"/>
      <c r="BA472" s="86"/>
      <c r="BB472" s="86"/>
      <c r="BC472" s="86"/>
    </row>
    <row r="473" spans="1:55">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c r="AA473" s="40"/>
      <c r="AB473" s="40"/>
      <c r="AC473" s="40"/>
      <c r="AD473" s="40"/>
      <c r="AE473" s="40"/>
      <c r="AF473" s="40"/>
      <c r="AG473" s="40"/>
      <c r="AH473" s="40"/>
      <c r="AI473" s="40"/>
      <c r="AJ473" s="40"/>
      <c r="AK473" s="40"/>
      <c r="AL473" s="40"/>
      <c r="AM473" s="40"/>
      <c r="AN473" s="40"/>
      <c r="AO473" s="40"/>
      <c r="AP473" s="40"/>
      <c r="AQ473" s="40"/>
      <c r="AR473" s="40"/>
      <c r="AS473" s="40"/>
      <c r="AT473" s="40"/>
      <c r="AU473" s="40"/>
      <c r="AV473" s="40"/>
      <c r="AW473" s="86"/>
      <c r="AX473" s="86"/>
      <c r="AY473" s="86"/>
      <c r="AZ473" s="86"/>
      <c r="BA473" s="86"/>
      <c r="BB473" s="86"/>
      <c r="BC473" s="86"/>
    </row>
    <row r="474" spans="1:55">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c r="AA474" s="40"/>
      <c r="AB474" s="40"/>
      <c r="AC474" s="40"/>
      <c r="AD474" s="40"/>
      <c r="AE474" s="40"/>
      <c r="AF474" s="40"/>
      <c r="AG474" s="40"/>
      <c r="AH474" s="40"/>
      <c r="AI474" s="40"/>
      <c r="AJ474" s="40"/>
      <c r="AK474" s="40"/>
      <c r="AL474" s="40"/>
      <c r="AM474" s="40"/>
      <c r="AN474" s="40"/>
      <c r="AO474" s="40"/>
      <c r="AP474" s="40"/>
      <c r="AQ474" s="40"/>
      <c r="AR474" s="40"/>
      <c r="AS474" s="40"/>
      <c r="AT474" s="40"/>
      <c r="AU474" s="40"/>
      <c r="AV474" s="40"/>
      <c r="AW474" s="86"/>
      <c r="AX474" s="86"/>
      <c r="AY474" s="86"/>
      <c r="AZ474" s="86"/>
      <c r="BA474" s="86"/>
      <c r="BB474" s="86"/>
      <c r="BC474" s="86"/>
    </row>
    <row r="475" spans="1:5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c r="AA475" s="40"/>
      <c r="AB475" s="40"/>
      <c r="AC475" s="40"/>
      <c r="AD475" s="40"/>
      <c r="AE475" s="40"/>
      <c r="AF475" s="40"/>
      <c r="AG475" s="40"/>
      <c r="AH475" s="40"/>
      <c r="AI475" s="40"/>
      <c r="AJ475" s="40"/>
      <c r="AK475" s="40"/>
      <c r="AL475" s="40"/>
      <c r="AM475" s="40"/>
      <c r="AN475" s="40"/>
      <c r="AO475" s="40"/>
      <c r="AP475" s="40"/>
      <c r="AQ475" s="40"/>
      <c r="AR475" s="40"/>
      <c r="AS475" s="40"/>
      <c r="AT475" s="40"/>
      <c r="AU475" s="40"/>
      <c r="AV475" s="40"/>
      <c r="AW475" s="86"/>
      <c r="AX475" s="86"/>
      <c r="AY475" s="86"/>
      <c r="AZ475" s="86"/>
      <c r="BA475" s="86"/>
      <c r="BB475" s="86"/>
      <c r="BC475" s="86"/>
    </row>
    <row r="476" spans="1:55">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c r="AA476" s="40"/>
      <c r="AB476" s="40"/>
      <c r="AC476" s="40"/>
      <c r="AD476" s="40"/>
      <c r="AE476" s="40"/>
      <c r="AF476" s="40"/>
      <c r="AG476" s="40"/>
      <c r="AH476" s="40"/>
      <c r="AI476" s="40"/>
      <c r="AJ476" s="40"/>
      <c r="AK476" s="40"/>
      <c r="AL476" s="40"/>
      <c r="AM476" s="40"/>
      <c r="AN476" s="40"/>
      <c r="AO476" s="40"/>
      <c r="AP476" s="40"/>
      <c r="AQ476" s="40"/>
      <c r="AR476" s="40"/>
      <c r="AS476" s="40"/>
      <c r="AT476" s="40"/>
      <c r="AU476" s="40"/>
      <c r="AV476" s="40"/>
      <c r="AW476" s="86"/>
      <c r="AX476" s="86"/>
      <c r="AY476" s="86"/>
      <c r="AZ476" s="86"/>
      <c r="BA476" s="86"/>
      <c r="BB476" s="86"/>
      <c r="BC476" s="86"/>
    </row>
    <row r="477" spans="1:55">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c r="AA477" s="40"/>
      <c r="AB477" s="40"/>
      <c r="AC477" s="40"/>
      <c r="AD477" s="40"/>
      <c r="AE477" s="40"/>
      <c r="AF477" s="40"/>
      <c r="AG477" s="40"/>
      <c r="AH477" s="40"/>
      <c r="AI477" s="40"/>
      <c r="AJ477" s="40"/>
      <c r="AK477" s="40"/>
      <c r="AL477" s="40"/>
      <c r="AM477" s="40"/>
      <c r="AN477" s="40"/>
      <c r="AO477" s="40"/>
      <c r="AP477" s="40"/>
      <c r="AQ477" s="40"/>
      <c r="AR477" s="40"/>
      <c r="AS477" s="40"/>
      <c r="AT477" s="40"/>
      <c r="AU477" s="40"/>
      <c r="AV477" s="40"/>
      <c r="AW477" s="86"/>
      <c r="AX477" s="86"/>
      <c r="AY477" s="86"/>
      <c r="AZ477" s="86"/>
      <c r="BA477" s="86"/>
      <c r="BB477" s="86"/>
      <c r="BC477" s="86"/>
    </row>
    <row r="478" spans="1:55">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c r="AA478" s="40"/>
      <c r="AB478" s="40"/>
      <c r="AC478" s="40"/>
      <c r="AD478" s="40"/>
      <c r="AE478" s="40"/>
      <c r="AF478" s="40"/>
      <c r="AG478" s="40"/>
      <c r="AH478" s="40"/>
      <c r="AI478" s="40"/>
      <c r="AJ478" s="40"/>
      <c r="AK478" s="40"/>
      <c r="AL478" s="40"/>
      <c r="AM478" s="40"/>
      <c r="AN478" s="40"/>
      <c r="AO478" s="40"/>
      <c r="AP478" s="40"/>
      <c r="AQ478" s="40"/>
      <c r="AR478" s="40"/>
      <c r="AS478" s="40"/>
      <c r="AT478" s="40"/>
      <c r="AU478" s="40"/>
      <c r="AV478" s="40"/>
      <c r="AW478" s="86"/>
      <c r="AX478" s="86"/>
      <c r="AY478" s="86"/>
      <c r="AZ478" s="86"/>
      <c r="BA478" s="86"/>
      <c r="BB478" s="86"/>
      <c r="BC478" s="86"/>
    </row>
    <row r="479" spans="1:55">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c r="AA479" s="40"/>
      <c r="AB479" s="40"/>
      <c r="AC479" s="40"/>
      <c r="AD479" s="40"/>
      <c r="AE479" s="40"/>
      <c r="AF479" s="40"/>
      <c r="AG479" s="40"/>
      <c r="AH479" s="40"/>
      <c r="AI479" s="40"/>
      <c r="AJ479" s="40"/>
      <c r="AK479" s="40"/>
      <c r="AL479" s="40"/>
      <c r="AM479" s="40"/>
      <c r="AN479" s="40"/>
      <c r="AO479" s="40"/>
      <c r="AP479" s="40"/>
      <c r="AQ479" s="40"/>
      <c r="AR479" s="40"/>
      <c r="AS479" s="40"/>
      <c r="AT479" s="40"/>
      <c r="AU479" s="40"/>
      <c r="AV479" s="40"/>
      <c r="AW479" s="86"/>
      <c r="AX479" s="86"/>
      <c r="AY479" s="86"/>
      <c r="AZ479" s="86"/>
      <c r="BA479" s="86"/>
      <c r="BB479" s="86"/>
      <c r="BC479" s="86"/>
    </row>
    <row r="480" spans="1:55">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c r="AA480" s="40"/>
      <c r="AB480" s="40"/>
      <c r="AC480" s="40"/>
      <c r="AD480" s="40"/>
      <c r="AE480" s="40"/>
      <c r="AF480" s="40"/>
      <c r="AG480" s="40"/>
      <c r="AH480" s="40"/>
      <c r="AI480" s="40"/>
      <c r="AJ480" s="40"/>
      <c r="AK480" s="40"/>
      <c r="AL480" s="40"/>
      <c r="AM480" s="40"/>
      <c r="AN480" s="40"/>
      <c r="AO480" s="40"/>
      <c r="AP480" s="40"/>
      <c r="AQ480" s="40"/>
      <c r="AR480" s="40"/>
      <c r="AS480" s="40"/>
      <c r="AT480" s="40"/>
      <c r="AU480" s="40"/>
      <c r="AV480" s="40"/>
      <c r="AW480" s="86"/>
      <c r="AX480" s="86"/>
      <c r="AY480" s="86"/>
      <c r="AZ480" s="86"/>
      <c r="BA480" s="86"/>
      <c r="BB480" s="86"/>
      <c r="BC480" s="86"/>
    </row>
  </sheetData>
  <mergeCells count="7">
    <mergeCell ref="D3:N4"/>
    <mergeCell ref="A8:N8"/>
    <mergeCell ref="C37:N37"/>
    <mergeCell ref="A6:N6"/>
    <mergeCell ref="C34:N34"/>
    <mergeCell ref="A7:N7"/>
    <mergeCell ref="C36:N36"/>
  </mergeCells>
  <phoneticPr fontId="5" type="noConversion"/>
  <dataValidations count="1">
    <dataValidation type="whole" errorStyle="warning" allowBlank="1" showInputMessage="1" showErrorMessage="1" error="The figure inputted is either unexpectedly large or not a positive whole number." sqref="C11:N31" xr:uid="{D2AD9E70-D797-40B1-8400-C6EDBF42DEB4}">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5" orientation="landscape" r:id="rId1"/>
  <headerFooter alignWithMargins="0">
    <oddHeader>&amp;LAnnual Returns 2016-17&amp;C&amp;"Aptos"&amp;10&amp;K000000 OFFICIAL&amp;1#_x000D_</oddHeader>
    <oddFooter>&amp;C_x000D_&amp;1#&amp;"Aptos"&amp;10&amp;K000000 OFFICIAL</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pageSetUpPr fitToPage="1"/>
  </sheetPr>
  <dimension ref="A1:AW84"/>
  <sheetViews>
    <sheetView topLeftCell="A3" zoomScale="70" zoomScaleNormal="70" workbookViewId="0">
      <selection activeCell="M39" sqref="M39"/>
    </sheetView>
  </sheetViews>
  <sheetFormatPr defaultColWidth="9.140625" defaultRowHeight="12.75"/>
  <cols>
    <col min="1" max="1" width="39.5703125" style="3" customWidth="1"/>
    <col min="2" max="2" width="35.5703125" style="3" hidden="1" customWidth="1"/>
    <col min="3" max="9" width="22.5703125" style="7" customWidth="1"/>
    <col min="10" max="10" width="14.42578125" style="7" customWidth="1"/>
    <col min="11" max="12" width="10" style="7" customWidth="1"/>
    <col min="13" max="13" width="46" style="7" customWidth="1"/>
    <col min="14" max="22" width="10" style="7" customWidth="1"/>
    <col min="23" max="26" width="9.140625" style="7"/>
    <col min="27" max="68" width="9.140625" style="7" customWidth="1"/>
    <col min="69" max="16384" width="9.140625" style="7"/>
  </cols>
  <sheetData>
    <row r="1" spans="1:49">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row>
    <row r="2" spans="1:49"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row>
    <row r="3" spans="1:49" ht="29.25" customHeight="1">
      <c r="A3" s="86"/>
      <c r="B3" s="86"/>
      <c r="C3" s="86"/>
      <c r="D3" s="248" t="str">
        <f>Cover!A10</f>
        <v>Shropshire</v>
      </c>
      <c r="E3" s="249"/>
      <c r="F3" s="249"/>
      <c r="G3" s="249"/>
      <c r="H3" s="249"/>
      <c r="I3" s="250"/>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row>
    <row r="4" spans="1:49" ht="13.5" thickBot="1">
      <c r="A4" s="86"/>
      <c r="B4" s="86"/>
      <c r="C4" s="86"/>
      <c r="D4" s="251"/>
      <c r="E4" s="252"/>
      <c r="F4" s="252"/>
      <c r="G4" s="252"/>
      <c r="H4" s="252"/>
      <c r="I4" s="253"/>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row>
    <row r="5" spans="1:49" ht="38.25"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row>
    <row r="6" spans="1:49" ht="16.5" thickBot="1">
      <c r="A6" s="254" t="s">
        <v>432</v>
      </c>
      <c r="B6" s="255"/>
      <c r="C6" s="255"/>
      <c r="D6" s="255"/>
      <c r="E6" s="255"/>
      <c r="F6" s="255"/>
      <c r="G6" s="255"/>
      <c r="H6" s="255"/>
      <c r="I6" s="25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row>
    <row r="7" spans="1:49" ht="38.1" customHeight="1" thickBot="1">
      <c r="A7" s="273" t="s">
        <v>325</v>
      </c>
      <c r="B7" s="274"/>
      <c r="C7" s="274"/>
      <c r="D7" s="274"/>
      <c r="E7" s="274"/>
      <c r="F7" s="274"/>
      <c r="G7" s="274"/>
      <c r="H7" s="274"/>
      <c r="I7" s="275"/>
      <c r="J7" s="105"/>
      <c r="K7" s="86"/>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row>
    <row r="8" spans="1:49" ht="12.75" customHeight="1" thickBot="1">
      <c r="A8" s="260" t="s">
        <v>433</v>
      </c>
      <c r="B8" s="261"/>
      <c r="C8" s="261"/>
      <c r="D8" s="276"/>
      <c r="E8" s="261"/>
      <c r="F8" s="261"/>
      <c r="G8" s="261"/>
      <c r="H8" s="261"/>
      <c r="I8" s="262"/>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row>
    <row r="9" spans="1:49" ht="67.5" customHeight="1" thickBot="1">
      <c r="A9" s="17"/>
      <c r="C9" s="14" t="s">
        <v>434</v>
      </c>
      <c r="D9" s="103" t="s">
        <v>435</v>
      </c>
      <c r="E9" s="23" t="s">
        <v>436</v>
      </c>
      <c r="F9" s="205" t="s">
        <v>237</v>
      </c>
      <c r="G9" s="23" t="s">
        <v>437</v>
      </c>
      <c r="H9" s="206" t="s">
        <v>438</v>
      </c>
      <c r="I9" s="25" t="s">
        <v>439</v>
      </c>
      <c r="J9" s="40"/>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row>
    <row r="10" spans="1:49" ht="18.75" hidden="1" customHeight="1" thickBot="1">
      <c r="C10" s="29" t="s">
        <v>440</v>
      </c>
      <c r="D10" s="29" t="s">
        <v>441</v>
      </c>
      <c r="E10" s="29" t="s">
        <v>442</v>
      </c>
      <c r="F10" s="29" t="s">
        <v>443</v>
      </c>
      <c r="G10" s="29" t="s">
        <v>444</v>
      </c>
      <c r="H10" s="29" t="s">
        <v>445</v>
      </c>
      <c r="I10" s="207" t="s">
        <v>446</v>
      </c>
      <c r="J10" s="40"/>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row>
    <row r="11" spans="1:49" ht="18" customHeight="1" thickBot="1">
      <c r="A11" s="201" t="s">
        <v>296</v>
      </c>
      <c r="B11" s="202" t="s">
        <v>388</v>
      </c>
      <c r="C11" s="183"/>
      <c r="D11" s="183"/>
      <c r="E11" s="183"/>
      <c r="F11" s="183"/>
      <c r="G11" s="183"/>
      <c r="H11" s="183"/>
      <c r="I11" s="208">
        <f>F11</f>
        <v>0</v>
      </c>
      <c r="J11" s="40"/>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106"/>
      <c r="AN11" s="86"/>
      <c r="AO11" s="86"/>
    </row>
    <row r="12" spans="1:49" ht="18" customHeight="1" thickBot="1">
      <c r="A12" s="13" t="s">
        <v>297</v>
      </c>
      <c r="B12" s="202" t="s">
        <v>389</v>
      </c>
      <c r="C12" s="183"/>
      <c r="D12" s="183"/>
      <c r="E12" s="183"/>
      <c r="F12" s="183"/>
      <c r="G12" s="183"/>
      <c r="H12" s="183"/>
      <c r="I12" s="208">
        <f t="shared" ref="I12:I31" si="0">F12</f>
        <v>0</v>
      </c>
      <c r="J12" s="40"/>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106"/>
      <c r="AN12" s="86"/>
      <c r="AO12" s="86"/>
    </row>
    <row r="13" spans="1:49" ht="18" customHeight="1" thickBot="1">
      <c r="A13" s="13" t="s">
        <v>298</v>
      </c>
      <c r="B13" s="202" t="s">
        <v>390</v>
      </c>
      <c r="C13" s="183"/>
      <c r="D13" s="183"/>
      <c r="E13" s="183"/>
      <c r="F13" s="183"/>
      <c r="G13" s="183"/>
      <c r="H13" s="183"/>
      <c r="I13" s="208">
        <f t="shared" si="0"/>
        <v>0</v>
      </c>
      <c r="J13" s="40"/>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106"/>
      <c r="AN13" s="86"/>
      <c r="AO13" s="86"/>
    </row>
    <row r="14" spans="1:49" customFormat="1" ht="18.75" customHeight="1" thickBot="1">
      <c r="A14" s="13" t="s">
        <v>299</v>
      </c>
      <c r="B14" s="202"/>
      <c r="C14" s="183"/>
      <c r="D14" s="183"/>
      <c r="E14" s="183"/>
      <c r="F14" s="183"/>
      <c r="G14" s="183"/>
      <c r="H14" s="183"/>
      <c r="I14" s="208">
        <f t="shared" si="0"/>
        <v>0</v>
      </c>
      <c r="J14" s="40"/>
      <c r="K14" s="86"/>
      <c r="L14" s="86"/>
      <c r="M14" s="86"/>
      <c r="N14" s="86"/>
      <c r="O14" s="86"/>
      <c r="P14" s="86"/>
      <c r="Q14" s="86"/>
      <c r="R14" s="40"/>
      <c r="S14" s="40"/>
      <c r="T14" s="40"/>
      <c r="U14" s="40"/>
      <c r="V14" s="40"/>
      <c r="W14" s="40"/>
      <c r="X14" s="40"/>
      <c r="Y14" s="40"/>
      <c r="Z14" s="40"/>
      <c r="AA14" s="40"/>
      <c r="AB14" s="40"/>
      <c r="AC14" s="40"/>
      <c r="AD14" s="40"/>
      <c r="AE14" s="40"/>
      <c r="AF14" s="40"/>
      <c r="AG14" s="40"/>
      <c r="AH14" s="40"/>
      <c r="AI14" s="40"/>
      <c r="AJ14" s="40"/>
      <c r="AK14" s="40"/>
      <c r="AL14" s="40"/>
      <c r="AM14" s="106"/>
      <c r="AN14" s="86"/>
      <c r="AO14" s="40"/>
      <c r="AQ14" s="7"/>
      <c r="AR14" s="7"/>
      <c r="AS14" s="7"/>
      <c r="AT14" s="7"/>
      <c r="AU14" s="7"/>
      <c r="AV14" s="7"/>
      <c r="AW14" s="7"/>
    </row>
    <row r="15" spans="1:49" customFormat="1" ht="18.75" hidden="1" customHeight="1" thickBot="1">
      <c r="A15" s="13" t="s">
        <v>300</v>
      </c>
      <c r="B15" s="202"/>
      <c r="C15" s="183"/>
      <c r="D15" s="183"/>
      <c r="E15" s="183"/>
      <c r="F15" s="183"/>
      <c r="G15" s="183"/>
      <c r="H15" s="183"/>
      <c r="I15" s="208">
        <f t="shared" si="0"/>
        <v>0</v>
      </c>
      <c r="J15" s="40"/>
      <c r="K15" s="40"/>
      <c r="L15" s="40"/>
      <c r="M15" s="86"/>
      <c r="N15" s="86"/>
      <c r="O15" s="86"/>
      <c r="P15" s="86"/>
      <c r="Q15" s="86"/>
      <c r="R15" s="40"/>
      <c r="S15" s="40"/>
      <c r="T15" s="40"/>
      <c r="U15" s="40"/>
      <c r="V15" s="40"/>
      <c r="W15" s="40"/>
      <c r="X15" s="40"/>
      <c r="Y15" s="40"/>
      <c r="Z15" s="40"/>
      <c r="AA15" s="40"/>
      <c r="AB15" s="40"/>
      <c r="AC15" s="40"/>
      <c r="AD15" s="40"/>
      <c r="AE15" s="40"/>
      <c r="AF15" s="40"/>
      <c r="AG15" s="40"/>
      <c r="AH15" s="40"/>
      <c r="AI15" s="40"/>
      <c r="AJ15" s="40"/>
      <c r="AK15" s="40"/>
      <c r="AL15" s="40"/>
      <c r="AM15" s="106"/>
      <c r="AN15" s="86"/>
      <c r="AO15" s="40"/>
      <c r="AQ15" s="7"/>
      <c r="AR15" s="7"/>
      <c r="AS15" s="7"/>
      <c r="AT15" s="7"/>
      <c r="AU15" s="7"/>
      <c r="AV15" s="7"/>
      <c r="AW15" s="7"/>
    </row>
    <row r="16" spans="1:49" customFormat="1" ht="18.75" hidden="1" customHeight="1" thickBot="1">
      <c r="A16" s="13" t="s">
        <v>301</v>
      </c>
      <c r="B16" s="202"/>
      <c r="C16" s="183"/>
      <c r="D16" s="183"/>
      <c r="E16" s="183"/>
      <c r="F16" s="183"/>
      <c r="G16" s="183"/>
      <c r="H16" s="183"/>
      <c r="I16" s="208">
        <f t="shared" si="0"/>
        <v>0</v>
      </c>
      <c r="J16" s="40"/>
      <c r="K16" s="86"/>
      <c r="L16" s="86"/>
      <c r="M16" s="86"/>
      <c r="N16" s="86"/>
      <c r="O16" s="86"/>
      <c r="P16" s="86"/>
      <c r="Q16" s="86"/>
      <c r="R16" s="40"/>
      <c r="S16" s="40"/>
      <c r="T16" s="40"/>
      <c r="U16" s="40"/>
      <c r="V16" s="40"/>
      <c r="W16" s="40"/>
      <c r="X16" s="40"/>
      <c r="Y16" s="40"/>
      <c r="Z16" s="40"/>
      <c r="AA16" s="40"/>
      <c r="AB16" s="40"/>
      <c r="AC16" s="40"/>
      <c r="AD16" s="40"/>
      <c r="AE16" s="40"/>
      <c r="AF16" s="40"/>
      <c r="AG16" s="40"/>
      <c r="AH16" s="40"/>
      <c r="AI16" s="40"/>
      <c r="AJ16" s="40"/>
      <c r="AK16" s="40"/>
      <c r="AL16" s="40"/>
      <c r="AM16" s="106"/>
      <c r="AN16" s="86"/>
      <c r="AO16" s="40"/>
      <c r="AQ16" s="7"/>
      <c r="AR16" s="7"/>
      <c r="AS16" s="7"/>
      <c r="AT16" s="7"/>
      <c r="AU16" s="7"/>
      <c r="AV16" s="7"/>
      <c r="AW16" s="7"/>
    </row>
    <row r="17" spans="1:49" customFormat="1" ht="18.75" hidden="1" customHeight="1" thickBot="1">
      <c r="A17" s="13" t="s">
        <v>302</v>
      </c>
      <c r="B17" s="202"/>
      <c r="C17" s="183"/>
      <c r="D17" s="183"/>
      <c r="E17" s="183"/>
      <c r="F17" s="183"/>
      <c r="G17" s="183"/>
      <c r="H17" s="183"/>
      <c r="I17" s="208">
        <f t="shared" si="0"/>
        <v>0</v>
      </c>
      <c r="J17" s="40"/>
      <c r="K17" s="86"/>
      <c r="L17" s="86"/>
      <c r="M17" s="86"/>
      <c r="N17" s="86"/>
      <c r="O17" s="86"/>
      <c r="P17" s="86"/>
      <c r="Q17" s="86"/>
      <c r="R17" s="40"/>
      <c r="S17" s="40"/>
      <c r="T17" s="40"/>
      <c r="U17" s="40"/>
      <c r="V17" s="40"/>
      <c r="W17" s="40"/>
      <c r="X17" s="40"/>
      <c r="Y17" s="40"/>
      <c r="Z17" s="40"/>
      <c r="AA17" s="40"/>
      <c r="AB17" s="40"/>
      <c r="AC17" s="40"/>
      <c r="AD17" s="40"/>
      <c r="AE17" s="40"/>
      <c r="AF17" s="40"/>
      <c r="AG17" s="40"/>
      <c r="AH17" s="40"/>
      <c r="AI17" s="40"/>
      <c r="AJ17" s="40"/>
      <c r="AK17" s="40"/>
      <c r="AL17" s="40"/>
      <c r="AM17" s="106"/>
      <c r="AN17" s="86"/>
      <c r="AO17" s="40"/>
      <c r="AQ17" s="7"/>
      <c r="AR17" s="7"/>
      <c r="AS17" s="7"/>
      <c r="AT17" s="7"/>
      <c r="AU17" s="7"/>
      <c r="AV17" s="7"/>
      <c r="AW17" s="7"/>
    </row>
    <row r="18" spans="1:49" ht="13.5" thickBot="1">
      <c r="A18" s="56" t="s">
        <v>303</v>
      </c>
      <c r="B18" s="209" t="s">
        <v>391</v>
      </c>
      <c r="C18" s="204"/>
      <c r="D18" s="204"/>
      <c r="E18" s="204"/>
      <c r="F18" s="204"/>
      <c r="G18" s="204"/>
      <c r="H18" s="204"/>
      <c r="I18" s="208">
        <f t="shared" si="0"/>
        <v>0</v>
      </c>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106"/>
      <c r="AN18" s="86"/>
      <c r="AO18" s="86"/>
    </row>
    <row r="19" spans="1:49" ht="18" customHeight="1" thickBot="1">
      <c r="A19" s="13" t="s">
        <v>304</v>
      </c>
      <c r="B19" s="202" t="s">
        <v>392</v>
      </c>
      <c r="C19" s="183"/>
      <c r="D19" s="183"/>
      <c r="E19" s="183"/>
      <c r="F19" s="183"/>
      <c r="G19" s="183"/>
      <c r="H19" s="183"/>
      <c r="I19" s="208">
        <f t="shared" si="0"/>
        <v>0</v>
      </c>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106"/>
      <c r="AN19" s="86"/>
      <c r="AO19" s="86"/>
    </row>
    <row r="20" spans="1:49" ht="18" customHeight="1" thickBot="1">
      <c r="A20" s="13" t="s">
        <v>305</v>
      </c>
      <c r="B20" s="202" t="s">
        <v>393</v>
      </c>
      <c r="C20" s="183"/>
      <c r="D20" s="183"/>
      <c r="E20" s="183"/>
      <c r="F20" s="183"/>
      <c r="G20" s="183"/>
      <c r="H20" s="183"/>
      <c r="I20" s="208">
        <f t="shared" si="0"/>
        <v>0</v>
      </c>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106"/>
      <c r="AN20" s="86"/>
      <c r="AO20" s="86"/>
    </row>
    <row r="21" spans="1:49" ht="18" customHeight="1" thickBot="1">
      <c r="A21" s="13" t="s">
        <v>306</v>
      </c>
      <c r="B21" s="202" t="s">
        <v>394</v>
      </c>
      <c r="C21" s="183"/>
      <c r="D21" s="183"/>
      <c r="E21" s="183"/>
      <c r="F21" s="183"/>
      <c r="G21" s="183"/>
      <c r="H21" s="183"/>
      <c r="I21" s="208">
        <f t="shared" si="0"/>
        <v>0</v>
      </c>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106"/>
      <c r="AN21" s="86"/>
      <c r="AO21" s="86"/>
    </row>
    <row r="22" spans="1:49" ht="18" customHeight="1" thickBot="1">
      <c r="A22" s="13" t="s">
        <v>307</v>
      </c>
      <c r="B22" s="202" t="s">
        <v>395</v>
      </c>
      <c r="C22" s="183"/>
      <c r="D22" s="183"/>
      <c r="E22" s="183"/>
      <c r="F22" s="183"/>
      <c r="G22" s="183"/>
      <c r="H22" s="183"/>
      <c r="I22" s="208">
        <f t="shared" si="0"/>
        <v>0</v>
      </c>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106"/>
      <c r="AN22" s="86"/>
      <c r="AO22" s="86"/>
    </row>
    <row r="23" spans="1:49" ht="18" customHeight="1" thickBot="1">
      <c r="A23" s="13" t="s">
        <v>308</v>
      </c>
      <c r="B23" s="202" t="s">
        <v>396</v>
      </c>
      <c r="C23" s="183"/>
      <c r="D23" s="183"/>
      <c r="E23" s="183"/>
      <c r="F23" s="183"/>
      <c r="G23" s="183"/>
      <c r="H23" s="183"/>
      <c r="I23" s="208">
        <f t="shared" si="0"/>
        <v>0</v>
      </c>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106"/>
      <c r="AN23" s="86"/>
      <c r="AO23" s="86"/>
    </row>
    <row r="24" spans="1:49" ht="18" customHeight="1" thickBot="1">
      <c r="A24" s="13" t="s">
        <v>309</v>
      </c>
      <c r="B24" s="202" t="s">
        <v>397</v>
      </c>
      <c r="C24" s="183"/>
      <c r="D24" s="183"/>
      <c r="E24" s="183"/>
      <c r="F24" s="183"/>
      <c r="G24" s="183"/>
      <c r="H24" s="183"/>
      <c r="I24" s="208">
        <f t="shared" si="0"/>
        <v>0</v>
      </c>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106"/>
      <c r="AN24" s="86"/>
      <c r="AO24" s="86"/>
    </row>
    <row r="25" spans="1:49" ht="18" customHeight="1" thickBot="1">
      <c r="A25" s="13" t="s">
        <v>310</v>
      </c>
      <c r="B25" s="202" t="s">
        <v>398</v>
      </c>
      <c r="C25" s="183"/>
      <c r="D25" s="183"/>
      <c r="E25" s="183"/>
      <c r="F25" s="183"/>
      <c r="G25" s="183"/>
      <c r="H25" s="183"/>
      <c r="I25" s="208">
        <f t="shared" si="0"/>
        <v>0</v>
      </c>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106"/>
      <c r="AN25" s="86"/>
      <c r="AO25" s="86"/>
    </row>
    <row r="26" spans="1:49" ht="18" customHeight="1" thickBot="1">
      <c r="A26" s="13" t="s">
        <v>311</v>
      </c>
      <c r="B26" s="202" t="s">
        <v>399</v>
      </c>
      <c r="C26" s="183"/>
      <c r="D26" s="183"/>
      <c r="E26" s="183"/>
      <c r="F26" s="183"/>
      <c r="G26" s="183"/>
      <c r="H26" s="183"/>
      <c r="I26" s="208">
        <f t="shared" si="0"/>
        <v>0</v>
      </c>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106"/>
      <c r="AN26" s="86"/>
      <c r="AO26" s="86"/>
    </row>
    <row r="27" spans="1:49" ht="18" customHeight="1" thickBot="1">
      <c r="A27" s="13" t="s">
        <v>312</v>
      </c>
      <c r="B27" s="202" t="s">
        <v>400</v>
      </c>
      <c r="C27" s="183"/>
      <c r="D27" s="183"/>
      <c r="E27" s="183"/>
      <c r="F27" s="183"/>
      <c r="G27" s="183"/>
      <c r="H27" s="183"/>
      <c r="I27" s="208">
        <f t="shared" si="0"/>
        <v>0</v>
      </c>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106"/>
      <c r="AN27" s="86"/>
      <c r="AO27" s="86"/>
    </row>
    <row r="28" spans="1:49" ht="18" customHeight="1" thickBot="1">
      <c r="A28" s="13" t="s">
        <v>313</v>
      </c>
      <c r="B28" s="202" t="s">
        <v>401</v>
      </c>
      <c r="C28" s="183"/>
      <c r="D28" s="183"/>
      <c r="E28" s="183"/>
      <c r="F28" s="183"/>
      <c r="G28" s="183"/>
      <c r="H28" s="183"/>
      <c r="I28" s="208">
        <f t="shared" si="0"/>
        <v>0</v>
      </c>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106"/>
      <c r="AN28" s="86"/>
      <c r="AO28" s="86"/>
    </row>
    <row r="29" spans="1:49" ht="18" customHeight="1" thickBot="1">
      <c r="A29" s="13" t="s">
        <v>314</v>
      </c>
      <c r="B29" s="202" t="s">
        <v>402</v>
      </c>
      <c r="C29" s="183"/>
      <c r="D29" s="183"/>
      <c r="E29" s="183"/>
      <c r="F29" s="183"/>
      <c r="G29" s="183"/>
      <c r="H29" s="183"/>
      <c r="I29" s="208">
        <f t="shared" si="0"/>
        <v>0</v>
      </c>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106"/>
      <c r="AN29" s="86"/>
      <c r="AO29" s="86"/>
    </row>
    <row r="30" spans="1:49" ht="18" customHeight="1" thickBot="1">
      <c r="A30" s="13" t="s">
        <v>315</v>
      </c>
      <c r="B30" s="202" t="s">
        <v>403</v>
      </c>
      <c r="C30" s="183"/>
      <c r="D30" s="183"/>
      <c r="E30" s="183"/>
      <c r="F30" s="183"/>
      <c r="G30" s="183"/>
      <c r="H30" s="183"/>
      <c r="I30" s="208">
        <f t="shared" si="0"/>
        <v>0</v>
      </c>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106"/>
      <c r="AN30" s="86"/>
      <c r="AO30" s="86"/>
    </row>
    <row r="31" spans="1:49" ht="18" customHeight="1" thickBot="1">
      <c r="A31" s="13" t="s">
        <v>316</v>
      </c>
      <c r="B31" s="202" t="s">
        <v>404</v>
      </c>
      <c r="C31" s="183"/>
      <c r="D31" s="183"/>
      <c r="E31" s="183"/>
      <c r="F31" s="183"/>
      <c r="G31" s="183"/>
      <c r="H31" s="183"/>
      <c r="I31" s="208">
        <f t="shared" si="0"/>
        <v>0</v>
      </c>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106"/>
      <c r="AN31" s="86"/>
      <c r="AO31" s="86"/>
    </row>
    <row r="32" spans="1:49" ht="18" customHeight="1" thickBot="1">
      <c r="A32" s="9" t="s">
        <v>317</v>
      </c>
      <c r="B32" s="202"/>
      <c r="C32" s="104">
        <f t="shared" ref="C32:I32" si="1">SUM(C11:C31)</f>
        <v>0</v>
      </c>
      <c r="D32" s="104">
        <f>SUM(D11:D31)</f>
        <v>0</v>
      </c>
      <c r="E32" s="104">
        <f>SUM(E11:E31)</f>
        <v>0</v>
      </c>
      <c r="F32" s="104">
        <f t="shared" si="1"/>
        <v>0</v>
      </c>
      <c r="G32" s="104">
        <f t="shared" si="1"/>
        <v>0</v>
      </c>
      <c r="H32" s="104">
        <f t="shared" si="1"/>
        <v>0</v>
      </c>
      <c r="I32" s="104">
        <f t="shared" si="1"/>
        <v>0</v>
      </c>
      <c r="J32" s="86"/>
      <c r="K32" s="86"/>
      <c r="L32" s="86"/>
      <c r="M32" s="86"/>
      <c r="N32" s="86"/>
      <c r="O32" s="86"/>
      <c r="P32" s="86"/>
      <c r="Q32" s="86"/>
      <c r="R32" s="86"/>
      <c r="S32" s="86"/>
      <c r="T32" s="86"/>
      <c r="U32" s="86"/>
      <c r="V32" s="86"/>
      <c r="W32" s="86"/>
      <c r="X32" s="86"/>
      <c r="Y32" s="86"/>
      <c r="Z32" s="86"/>
      <c r="AA32" s="86"/>
      <c r="AB32" s="86"/>
      <c r="AC32" s="86"/>
      <c r="AD32" s="86"/>
      <c r="AE32" s="40"/>
      <c r="AF32" s="86"/>
      <c r="AG32" s="86"/>
      <c r="AH32" s="86"/>
      <c r="AI32" s="86"/>
      <c r="AJ32" s="86"/>
      <c r="AK32" s="86"/>
      <c r="AL32" s="86"/>
      <c r="AM32" s="106"/>
      <c r="AN32" s="86"/>
      <c r="AO32" s="86"/>
    </row>
    <row r="33" spans="1:41" ht="11.25" customHeight="1">
      <c r="A33" s="210"/>
      <c r="B33" s="210"/>
      <c r="C33" s="88"/>
      <c r="D33" s="88"/>
      <c r="E33" s="88"/>
      <c r="F33" s="88"/>
      <c r="G33" s="88"/>
      <c r="H33" s="88"/>
      <c r="I33" s="88"/>
      <c r="J33" s="88"/>
      <c r="K33" s="88"/>
      <c r="L33" s="88"/>
      <c r="M33" s="88"/>
      <c r="N33" s="88"/>
      <c r="O33" s="88"/>
      <c r="P33" s="88"/>
      <c r="Q33" s="86"/>
      <c r="R33" s="86"/>
      <c r="S33" s="86"/>
      <c r="T33" s="86"/>
      <c r="U33" s="86"/>
      <c r="V33" s="86"/>
      <c r="W33" s="86"/>
      <c r="X33" s="86"/>
      <c r="Y33" s="86"/>
      <c r="Z33" s="86"/>
      <c r="AA33" s="86"/>
      <c r="AB33" s="86"/>
      <c r="AC33" s="86"/>
      <c r="AD33" s="86"/>
      <c r="AE33" s="40"/>
      <c r="AF33" s="86"/>
      <c r="AG33" s="86"/>
      <c r="AH33" s="86"/>
      <c r="AI33" s="86"/>
      <c r="AJ33" s="86"/>
      <c r="AK33" s="86"/>
      <c r="AL33" s="86"/>
      <c r="AM33" s="106"/>
      <c r="AN33" s="86"/>
      <c r="AO33" s="86"/>
    </row>
    <row r="34" spans="1:41" ht="15.6" customHeight="1">
      <c r="A34" s="40"/>
      <c r="B34" s="40"/>
      <c r="C34" s="40"/>
      <c r="D34" s="40"/>
      <c r="E34" s="40"/>
      <c r="F34" s="40"/>
      <c r="G34" s="40"/>
      <c r="H34" s="40"/>
      <c r="I34" s="40"/>
      <c r="J34" s="40"/>
      <c r="K34" s="40"/>
      <c r="L34" s="40"/>
      <c r="M34" s="40"/>
      <c r="N34" s="40"/>
      <c r="O34" s="40"/>
      <c r="P34" s="40"/>
      <c r="Q34" s="86"/>
      <c r="R34" s="86"/>
      <c r="S34" s="86"/>
      <c r="T34" s="86"/>
      <c r="U34" s="86"/>
      <c r="V34" s="86"/>
      <c r="W34" s="86"/>
      <c r="X34" s="86"/>
      <c r="Y34" s="86"/>
      <c r="Z34" s="86"/>
      <c r="AA34" s="86"/>
      <c r="AB34" s="86"/>
      <c r="AC34" s="86"/>
      <c r="AD34" s="86"/>
      <c r="AE34" s="40"/>
      <c r="AF34" s="86"/>
      <c r="AG34" s="86"/>
      <c r="AH34" s="86"/>
      <c r="AI34" s="86"/>
      <c r="AJ34" s="86"/>
      <c r="AK34" s="86"/>
      <c r="AL34" s="86"/>
      <c r="AM34" s="106"/>
      <c r="AN34" s="86"/>
      <c r="AO34" s="86"/>
    </row>
    <row r="35" spans="1:41" ht="15" customHeight="1">
      <c r="A35" s="40"/>
      <c r="B35" s="40"/>
      <c r="C35" s="40"/>
      <c r="D35" s="40"/>
      <c r="E35" s="40"/>
      <c r="F35" s="40"/>
      <c r="G35" s="40"/>
      <c r="H35" s="40"/>
      <c r="I35" s="40"/>
      <c r="J35" s="40"/>
      <c r="K35" s="40"/>
      <c r="L35" s="40"/>
      <c r="M35" s="40"/>
      <c r="N35" s="40"/>
      <c r="O35" s="40"/>
      <c r="P35" s="40"/>
      <c r="Q35" s="86"/>
      <c r="R35" s="86"/>
      <c r="S35" s="86"/>
      <c r="T35" s="86"/>
      <c r="U35" s="86"/>
      <c r="V35" s="86"/>
      <c r="W35" s="86"/>
      <c r="X35" s="86"/>
      <c r="Y35" s="86"/>
      <c r="Z35" s="86"/>
      <c r="AA35" s="86"/>
      <c r="AB35" s="86"/>
      <c r="AC35" s="86"/>
      <c r="AD35" s="86"/>
      <c r="AE35" s="40"/>
      <c r="AF35" s="86"/>
      <c r="AG35" s="86"/>
      <c r="AH35" s="86"/>
      <c r="AI35" s="86"/>
      <c r="AJ35" s="86"/>
      <c r="AK35" s="86"/>
      <c r="AL35" s="86"/>
      <c r="AM35" s="106"/>
      <c r="AN35" s="86"/>
      <c r="AO35" s="86"/>
    </row>
    <row r="36" spans="1:41" ht="6" customHeight="1" thickBot="1">
      <c r="A36" s="100"/>
      <c r="B36" s="100"/>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row>
    <row r="37" spans="1:41" ht="18.75" customHeight="1" thickBot="1">
      <c r="A37" s="188"/>
      <c r="B37" s="85"/>
      <c r="C37" s="15" t="s">
        <v>336</v>
      </c>
      <c r="D37" s="85"/>
      <c r="E37" s="85"/>
      <c r="F37" s="85"/>
      <c r="G37" s="85"/>
      <c r="H37" s="85"/>
      <c r="I37" s="1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row>
    <row r="38" spans="1:41" ht="65.25" customHeight="1" thickBot="1">
      <c r="A38" s="188"/>
      <c r="B38" s="202"/>
      <c r="C38" s="245" t="s">
        <v>405</v>
      </c>
      <c r="D38" s="246"/>
      <c r="E38" s="246"/>
      <c r="F38" s="246"/>
      <c r="G38" s="246"/>
      <c r="H38" s="246"/>
      <c r="I38" s="247"/>
      <c r="J38" s="86"/>
      <c r="K38" s="86"/>
      <c r="L38" s="86"/>
      <c r="M38" s="147" t="s">
        <v>447</v>
      </c>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row>
    <row r="39" spans="1:41" ht="24.75" customHeight="1">
      <c r="A39" s="100"/>
      <c r="B39" s="100"/>
      <c r="C39" s="86"/>
      <c r="D39" s="86"/>
      <c r="E39" s="86"/>
      <c r="F39" s="86"/>
      <c r="G39" s="86"/>
      <c r="H39" s="86"/>
      <c r="I39" s="86"/>
      <c r="J39" s="86"/>
      <c r="K39" s="86"/>
      <c r="L39" s="86"/>
      <c r="M39" s="86" t="b">
        <f>IF(H32=I32,TRUE)</f>
        <v>1</v>
      </c>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row>
    <row r="40" spans="1:4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row>
    <row r="41" spans="1:41" ht="12.75" customHeight="1">
      <c r="A41" s="100"/>
      <c r="B41" s="100"/>
      <c r="C41" s="86"/>
      <c r="D41" s="86"/>
      <c r="E41" s="86"/>
      <c r="F41" s="86"/>
      <c r="G41" s="86"/>
      <c r="H41" s="86"/>
      <c r="I41" s="86"/>
      <c r="J41" s="86"/>
      <c r="K41" s="86"/>
      <c r="L41" s="86"/>
      <c r="M41" s="277" t="s">
        <v>448</v>
      </c>
      <c r="N41" s="277"/>
      <c r="O41" s="277"/>
      <c r="P41" s="277"/>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row>
    <row r="42" spans="1:41">
      <c r="A42" s="100"/>
      <c r="B42" s="100"/>
      <c r="C42" s="86"/>
      <c r="D42" s="86"/>
      <c r="E42" s="86"/>
      <c r="F42" s="86"/>
      <c r="G42" s="86"/>
      <c r="H42" s="86"/>
      <c r="I42" s="86"/>
      <c r="J42" s="86"/>
      <c r="K42" s="86"/>
      <c r="L42" s="86"/>
      <c r="M42" s="277"/>
      <c r="N42" s="277"/>
      <c r="O42" s="277"/>
      <c r="P42" s="277"/>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row>
    <row r="43" spans="1:4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row>
    <row r="44" spans="1:41">
      <c r="A44" s="100"/>
      <c r="B44" s="100"/>
      <c r="C44" s="86"/>
      <c r="D44" s="86"/>
      <c r="E44" s="86"/>
      <c r="F44" s="86"/>
      <c r="G44" s="86"/>
      <c r="H44" s="86"/>
      <c r="I44" s="86"/>
      <c r="J44" s="86"/>
      <c r="K44" s="86"/>
      <c r="L44" s="86"/>
      <c r="M44" s="278"/>
      <c r="N44" s="279"/>
      <c r="O44" s="279"/>
      <c r="P44" s="280"/>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row>
    <row r="45" spans="1:41">
      <c r="A45" s="100"/>
      <c r="B45" s="100"/>
      <c r="C45" s="86"/>
      <c r="D45" s="86"/>
      <c r="E45" s="86"/>
      <c r="F45" s="86"/>
      <c r="G45" s="86"/>
      <c r="H45" s="86"/>
      <c r="I45" s="86"/>
      <c r="J45" s="86"/>
      <c r="K45" s="86"/>
      <c r="L45" s="86"/>
      <c r="M45" s="281"/>
      <c r="N45" s="282"/>
      <c r="O45" s="282"/>
      <c r="P45" s="283"/>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row>
    <row r="46" spans="1:41">
      <c r="A46" s="100"/>
      <c r="B46" s="100"/>
      <c r="C46" s="86"/>
      <c r="D46" s="86"/>
      <c r="E46" s="86"/>
      <c r="F46" s="86"/>
      <c r="G46" s="86"/>
      <c r="H46" s="86"/>
      <c r="I46" s="86"/>
      <c r="J46" s="86"/>
      <c r="K46" s="86"/>
      <c r="L46" s="86"/>
      <c r="M46" s="281"/>
      <c r="N46" s="282"/>
      <c r="O46" s="282"/>
      <c r="P46" s="283"/>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row>
    <row r="47" spans="1:41" ht="40.5" customHeight="1">
      <c r="A47" s="100"/>
      <c r="B47" s="100"/>
      <c r="C47" s="86"/>
      <c r="D47" s="86"/>
      <c r="E47" s="86"/>
      <c r="F47" s="86"/>
      <c r="G47" s="86"/>
      <c r="H47" s="86"/>
      <c r="I47" s="86"/>
      <c r="J47" s="86"/>
      <c r="K47" s="86"/>
      <c r="L47" s="86"/>
      <c r="M47" s="284"/>
      <c r="N47" s="285"/>
      <c r="O47" s="285"/>
      <c r="P47" s="2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row>
    <row r="48" spans="1:4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row>
    <row r="49" spans="1:4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row>
    <row r="50" spans="1:4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row>
    <row r="51" spans="1:4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row>
    <row r="52" spans="1:4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row>
    <row r="53" spans="1:4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row>
    <row r="54" spans="1:4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row>
    <row r="55" spans="1:4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row>
    <row r="56" spans="1:4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row>
    <row r="57" spans="1:4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row>
    <row r="58" spans="1:4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row>
    <row r="59" spans="1:4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row>
    <row r="60" spans="1:4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row>
    <row r="61" spans="1:4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row>
    <row r="62" spans="1:4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row>
    <row r="63" spans="1:4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row>
    <row r="64" spans="1:4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row>
    <row r="65" spans="1:4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row>
    <row r="66" spans="1:4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row>
    <row r="67" spans="1:4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row>
    <row r="68" spans="1:4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row>
    <row r="69" spans="1:4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row>
    <row r="70" spans="1:4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row>
    <row r="71" spans="1:4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row>
    <row r="72" spans="1:4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row>
    <row r="73" spans="1:4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row>
    <row r="74" spans="1:4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row>
    <row r="75" spans="1:4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row>
    <row r="76" spans="1:41">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row>
    <row r="77" spans="1:41">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row>
    <row r="78" spans="1:41">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row>
    <row r="79" spans="1:41">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row>
    <row r="80" spans="1:41">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row>
    <row r="81" spans="1:41">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row>
    <row r="82" spans="1:41">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row>
    <row r="83" spans="1:41">
      <c r="A83" s="100"/>
      <c r="B83" s="100"/>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row>
    <row r="84" spans="1:41">
      <c r="A84" s="100"/>
      <c r="B84" s="100"/>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row>
  </sheetData>
  <customSheetViews>
    <customSheetView guid="{C0288C5C-A803-495F-B0CA-42FBBD5677AA}" scale="85" showPageBreaks="1" showGridLines="0" printArea="1" showRuler="0">
      <pane xSplit="1" ySplit="1" topLeftCell="B2" activePane="bottomRight" state="frozen"/>
      <selection pane="bottomRight" activeCell="A33" sqref="A33"/>
      <pageMargins left="0" right="0" top="0" bottom="0" header="0" footer="0"/>
      <pageSetup paperSize="9" scale="75" fitToHeight="2" orientation="landscape" r:id="rId1"/>
      <headerFooter alignWithMargins="0">
        <oddHeader>&amp;LAnnual Returns 2010-11&amp;RFS7 - Prosecutions</oddHeader>
      </headerFooter>
    </customSheetView>
  </customSheetViews>
  <mergeCells count="7">
    <mergeCell ref="D3:I4"/>
    <mergeCell ref="A7:I7"/>
    <mergeCell ref="M41:P42"/>
    <mergeCell ref="M44:P47"/>
    <mergeCell ref="C38:I38"/>
    <mergeCell ref="A6:I6"/>
    <mergeCell ref="A8:I8"/>
  </mergeCells>
  <phoneticPr fontId="0" type="noConversion"/>
  <conditionalFormatting sqref="M39">
    <cfRule type="containsText" dxfId="42" priority="1" operator="containsText" text="true">
      <formula>NOT(ISERROR(SEARCH("true",M39)))</formula>
    </cfRule>
    <cfRule type="containsText" dxfId="41" priority="2" operator="containsText" text="false">
      <formula>NOT(ISERROR(SEARCH("false",M39)))</formula>
    </cfRule>
  </conditionalFormatting>
  <dataValidations count="2">
    <dataValidation type="whole" errorStyle="warning" allowBlank="1" showInputMessage="1" showErrorMessage="1" error="The figure inputted is either unexpectedly large or not a positive whole number." sqref="C11:G31 I11:I31 H18" xr:uid="{BE46A5C1-369C-45BA-95D1-DBE4C0BA34CE}">
      <formula1>0</formula1>
      <formula2>1000</formula2>
    </dataValidation>
    <dataValidation errorStyle="warning" allowBlank="1" showInputMessage="1" error="The figure does not match the Number of prosecutions carried forward to the next reporting period in the previous years return_x000a_" sqref="H11:H17 H19:H31" xr:uid="{119ED326-4614-4647-B490-16A1ABE41145}"/>
  </dataValidations>
  <printOptions horizontalCentered="1"/>
  <pageMargins left="0.74803149606299213" right="0.74803149606299213" top="0.98425196850393704" bottom="0.98425196850393704" header="0.51181102362204722" footer="0.51181102362204722"/>
  <pageSetup paperSize="9" scale="64" orientation="landscape" r:id="rId2"/>
  <headerFooter alignWithMargins="0">
    <oddHeader>&amp;LAnnual Returns 2016-17&amp;C&amp;"Aptos"&amp;10&amp;K000000 OFFICIAL&amp;1#_x000D_&amp;RFS7 - Prosecutions&amp;LAnnual Returns 2016-17</oddHeader>
    <oddFooter>&amp;C_x000D_&amp;1#&amp;"Aptos"&amp;10&amp;K000000 OFFICIAL</oddFooter>
  </headerFooter>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80CF9-7526-4665-BD20-D3CBDC10DC54}">
  <sheetPr codeName="Sheet19">
    <tabColor rgb="FFFF0000"/>
    <pageSetUpPr fitToPage="1"/>
  </sheetPr>
  <dimension ref="A1:AW34"/>
  <sheetViews>
    <sheetView showGridLines="0" zoomScale="73" workbookViewId="0">
      <selection activeCell="H25" sqref="H25"/>
    </sheetView>
  </sheetViews>
  <sheetFormatPr defaultColWidth="9.140625" defaultRowHeight="12.75"/>
  <cols>
    <col min="1" max="1" width="39.5703125" style="3" customWidth="1"/>
    <col min="2" max="2" width="35.5703125" style="3" hidden="1" customWidth="1"/>
    <col min="3" max="9" width="22.5703125" style="7" customWidth="1"/>
    <col min="10" max="10" width="14.42578125" style="7" customWidth="1"/>
    <col min="11" max="22" width="10" style="7" customWidth="1"/>
    <col min="23" max="26" width="9.140625" style="7"/>
    <col min="27" max="68" width="9.140625" style="7" customWidth="1"/>
    <col min="69" max="16384" width="9.140625" style="7"/>
  </cols>
  <sheetData>
    <row r="1" spans="1:49" ht="12.75" customHeight="1" thickBot="1">
      <c r="A1" s="287" t="s">
        <v>433</v>
      </c>
      <c r="B1" s="288"/>
      <c r="C1" s="288"/>
      <c r="D1" s="289"/>
      <c r="E1" s="288"/>
      <c r="F1" s="288"/>
      <c r="G1" s="288"/>
      <c r="H1" s="288"/>
      <c r="I1" s="290"/>
    </row>
    <row r="2" spans="1:49" ht="67.5" customHeight="1" thickBot="1">
      <c r="A2" s="17"/>
      <c r="C2" s="166" t="s">
        <v>434</v>
      </c>
      <c r="D2" s="167" t="s">
        <v>435</v>
      </c>
      <c r="E2" s="168" t="s">
        <v>436</v>
      </c>
      <c r="F2" s="169" t="s">
        <v>237</v>
      </c>
      <c r="G2" s="168" t="s">
        <v>437</v>
      </c>
      <c r="H2" s="180" t="s">
        <v>449</v>
      </c>
      <c r="I2" s="170" t="s">
        <v>439</v>
      </c>
      <c r="J2"/>
    </row>
    <row r="3" spans="1:49" ht="18.75" hidden="1" customHeight="1" thickBot="1">
      <c r="C3" s="171" t="s">
        <v>440</v>
      </c>
      <c r="D3" s="171" t="s">
        <v>441</v>
      </c>
      <c r="E3" s="171" t="s">
        <v>442</v>
      </c>
      <c r="F3" s="171" t="s">
        <v>443</v>
      </c>
      <c r="G3" s="171" t="s">
        <v>444</v>
      </c>
      <c r="H3" s="171" t="s">
        <v>445</v>
      </c>
      <c r="I3" s="172" t="s">
        <v>446</v>
      </c>
      <c r="J3"/>
    </row>
    <row r="4" spans="1:49" ht="18" customHeight="1" thickBot="1">
      <c r="A4" s="173" t="s">
        <v>296</v>
      </c>
      <c r="B4" s="165" t="s">
        <v>388</v>
      </c>
      <c r="C4" s="174"/>
      <c r="D4" s="174"/>
      <c r="E4" s="174"/>
      <c r="F4" s="174"/>
      <c r="G4" s="174"/>
      <c r="H4" s="174"/>
      <c r="I4" s="174"/>
      <c r="J4"/>
      <c r="AM4" s="175"/>
    </row>
    <row r="5" spans="1:49" ht="18" customHeight="1" thickBot="1">
      <c r="A5" s="176" t="s">
        <v>297</v>
      </c>
      <c r="B5" s="165" t="s">
        <v>389</v>
      </c>
      <c r="C5" s="174"/>
      <c r="D5" s="174"/>
      <c r="E5" s="174"/>
      <c r="F5" s="174"/>
      <c r="G5" s="174"/>
      <c r="H5" s="174"/>
      <c r="I5" s="174"/>
      <c r="J5"/>
      <c r="AM5" s="175"/>
    </row>
    <row r="6" spans="1:49" ht="18" customHeight="1" thickBot="1">
      <c r="A6" s="176" t="s">
        <v>298</v>
      </c>
      <c r="B6" s="165" t="s">
        <v>390</v>
      </c>
      <c r="C6" s="174"/>
      <c r="D6" s="174"/>
      <c r="E6" s="174"/>
      <c r="F6" s="174"/>
      <c r="G6" s="174"/>
      <c r="H6" s="174"/>
      <c r="I6" s="174"/>
      <c r="J6"/>
      <c r="AM6" s="175"/>
    </row>
    <row r="7" spans="1:49" customFormat="1" ht="18.75" customHeight="1" thickBot="1">
      <c r="A7" s="176" t="s">
        <v>299</v>
      </c>
      <c r="B7" s="165"/>
      <c r="C7" s="174"/>
      <c r="D7" s="174"/>
      <c r="E7" s="174"/>
      <c r="F7" s="174"/>
      <c r="G7" s="174"/>
      <c r="H7" s="174"/>
      <c r="I7" s="174"/>
      <c r="K7" s="7"/>
      <c r="L7" s="7"/>
      <c r="M7" s="7"/>
      <c r="N7" s="7"/>
      <c r="O7" s="7"/>
      <c r="P7" s="7"/>
      <c r="Q7" s="7"/>
      <c r="AM7" s="175"/>
      <c r="AN7" s="7"/>
      <c r="AQ7" s="7"/>
      <c r="AR7" s="7"/>
      <c r="AS7" s="7"/>
      <c r="AT7" s="7"/>
      <c r="AU7" s="7"/>
      <c r="AV7" s="7"/>
      <c r="AW7" s="7"/>
    </row>
    <row r="8" spans="1:49" customFormat="1" ht="18.75" customHeight="1" thickBot="1">
      <c r="A8" s="176" t="s">
        <v>300</v>
      </c>
      <c r="B8" s="165"/>
      <c r="C8" s="174"/>
      <c r="D8" s="174"/>
      <c r="E8" s="174"/>
      <c r="F8" s="174"/>
      <c r="G8" s="174"/>
      <c r="H8" s="174"/>
      <c r="I8" s="174"/>
      <c r="M8" s="7"/>
      <c r="N8" s="7"/>
      <c r="O8" s="7"/>
      <c r="P8" s="7"/>
      <c r="Q8" s="7"/>
      <c r="AM8" s="175"/>
      <c r="AN8" s="7"/>
      <c r="AQ8" s="7"/>
      <c r="AR8" s="7"/>
      <c r="AS8" s="7"/>
      <c r="AT8" s="7"/>
      <c r="AU8" s="7"/>
      <c r="AV8" s="7"/>
      <c r="AW8" s="7"/>
    </row>
    <row r="9" spans="1:49" customFormat="1" ht="18.75" customHeight="1" thickBot="1">
      <c r="A9" s="176" t="s">
        <v>301</v>
      </c>
      <c r="B9" s="165"/>
      <c r="C9" s="174"/>
      <c r="D9" s="174"/>
      <c r="E9" s="174"/>
      <c r="F9" s="174"/>
      <c r="G9" s="174"/>
      <c r="H9" s="174"/>
      <c r="I9" s="174"/>
      <c r="K9" s="7"/>
      <c r="L9" s="7"/>
      <c r="M9" s="7"/>
      <c r="N9" s="7"/>
      <c r="O9" s="7"/>
      <c r="P9" s="7"/>
      <c r="Q9" s="7"/>
      <c r="AM9" s="175"/>
      <c r="AN9" s="7"/>
      <c r="AQ9" s="7"/>
      <c r="AR9" s="7"/>
      <c r="AS9" s="7"/>
      <c r="AT9" s="7"/>
      <c r="AU9" s="7"/>
      <c r="AV9" s="7"/>
      <c r="AW9" s="7"/>
    </row>
    <row r="10" spans="1:49" customFormat="1" ht="18.75" customHeight="1" thickBot="1">
      <c r="A10" s="176" t="s">
        <v>302</v>
      </c>
      <c r="B10" s="165"/>
      <c r="C10" s="174"/>
      <c r="D10" s="174"/>
      <c r="E10" s="174"/>
      <c r="F10" s="174"/>
      <c r="G10" s="174"/>
      <c r="H10" s="174"/>
      <c r="I10" s="174"/>
      <c r="K10" s="7"/>
      <c r="L10" s="7"/>
      <c r="M10" s="7"/>
      <c r="N10" s="7"/>
      <c r="O10" s="7"/>
      <c r="P10" s="7"/>
      <c r="Q10" s="7"/>
      <c r="AM10" s="175"/>
      <c r="AN10" s="7"/>
      <c r="AQ10" s="7"/>
      <c r="AR10" s="7"/>
      <c r="AS10" s="7"/>
      <c r="AT10" s="7"/>
      <c r="AU10" s="7"/>
      <c r="AV10" s="7"/>
      <c r="AW10" s="7"/>
    </row>
    <row r="11" spans="1:49" ht="13.5" hidden="1" thickBot="1">
      <c r="A11" s="176" t="s">
        <v>303</v>
      </c>
      <c r="B11" s="165" t="s">
        <v>391</v>
      </c>
      <c r="C11" s="174"/>
      <c r="D11" s="174"/>
      <c r="E11" s="174"/>
      <c r="F11" s="174"/>
      <c r="G11" s="174"/>
      <c r="H11" s="174"/>
      <c r="I11" s="174"/>
      <c r="AM11" s="175"/>
    </row>
    <row r="12" spans="1:49" ht="18" customHeight="1" thickBot="1">
      <c r="A12" s="176" t="s">
        <v>304</v>
      </c>
      <c r="B12" s="165" t="s">
        <v>392</v>
      </c>
      <c r="C12" s="174"/>
      <c r="D12" s="174"/>
      <c r="E12" s="174"/>
      <c r="F12" s="174"/>
      <c r="G12" s="174"/>
      <c r="H12" s="174"/>
      <c r="I12" s="174"/>
      <c r="AM12" s="175"/>
    </row>
    <row r="13" spans="1:49" ht="18" customHeight="1" thickBot="1">
      <c r="A13" s="176" t="s">
        <v>305</v>
      </c>
      <c r="B13" s="165" t="s">
        <v>393</v>
      </c>
      <c r="C13" s="174"/>
      <c r="D13" s="174"/>
      <c r="E13" s="174"/>
      <c r="F13" s="174"/>
      <c r="G13" s="174"/>
      <c r="H13" s="174"/>
      <c r="I13" s="174"/>
      <c r="AM13" s="175"/>
    </row>
    <row r="14" spans="1:49" ht="18" customHeight="1" thickBot="1">
      <c r="A14" s="176" t="s">
        <v>306</v>
      </c>
      <c r="B14" s="165" t="s">
        <v>394</v>
      </c>
      <c r="C14" s="174"/>
      <c r="D14" s="174"/>
      <c r="E14" s="174"/>
      <c r="F14" s="174"/>
      <c r="G14" s="174"/>
      <c r="H14" s="174"/>
      <c r="I14" s="174"/>
      <c r="AM14" s="175"/>
    </row>
    <row r="15" spans="1:49" ht="18" customHeight="1" thickBot="1">
      <c r="A15" s="176" t="s">
        <v>307</v>
      </c>
      <c r="B15" s="165" t="s">
        <v>395</v>
      </c>
      <c r="C15" s="174"/>
      <c r="D15" s="174"/>
      <c r="E15" s="174"/>
      <c r="F15" s="174"/>
      <c r="G15" s="174"/>
      <c r="H15" s="174"/>
      <c r="I15" s="174"/>
      <c r="AM15" s="175"/>
    </row>
    <row r="16" spans="1:49" ht="18" customHeight="1" thickBot="1">
      <c r="A16" s="176" t="s">
        <v>308</v>
      </c>
      <c r="B16" s="165" t="s">
        <v>396</v>
      </c>
      <c r="C16" s="174"/>
      <c r="D16" s="174"/>
      <c r="E16" s="174"/>
      <c r="F16" s="174"/>
      <c r="G16" s="174"/>
      <c r="H16" s="174"/>
      <c r="I16" s="174"/>
      <c r="AM16" s="175"/>
    </row>
    <row r="17" spans="1:39" ht="18" customHeight="1" thickBot="1">
      <c r="A17" s="176" t="s">
        <v>309</v>
      </c>
      <c r="B17" s="165" t="s">
        <v>397</v>
      </c>
      <c r="C17" s="174"/>
      <c r="D17" s="174"/>
      <c r="E17" s="174"/>
      <c r="F17" s="174"/>
      <c r="G17" s="174"/>
      <c r="H17" s="174"/>
      <c r="I17" s="174"/>
      <c r="AM17" s="175"/>
    </row>
    <row r="18" spans="1:39" ht="18" customHeight="1" thickBot="1">
      <c r="A18" s="176" t="s">
        <v>310</v>
      </c>
      <c r="B18" s="165" t="s">
        <v>398</v>
      </c>
      <c r="C18" s="174"/>
      <c r="D18" s="174"/>
      <c r="E18" s="174"/>
      <c r="F18" s="174"/>
      <c r="G18" s="174"/>
      <c r="H18" s="174"/>
      <c r="I18" s="174"/>
      <c r="AM18" s="175"/>
    </row>
    <row r="19" spans="1:39" ht="18" customHeight="1" thickBot="1">
      <c r="A19" s="176" t="s">
        <v>311</v>
      </c>
      <c r="B19" s="165" t="s">
        <v>399</v>
      </c>
      <c r="C19" s="174"/>
      <c r="D19" s="174"/>
      <c r="E19" s="174"/>
      <c r="F19" s="174"/>
      <c r="G19" s="174"/>
      <c r="H19" s="174"/>
      <c r="I19" s="174"/>
      <c r="AM19" s="175"/>
    </row>
    <row r="20" spans="1:39" ht="18" customHeight="1" thickBot="1">
      <c r="A20" s="176" t="s">
        <v>312</v>
      </c>
      <c r="B20" s="165" t="s">
        <v>400</v>
      </c>
      <c r="C20" s="174"/>
      <c r="D20" s="174"/>
      <c r="E20" s="174"/>
      <c r="F20" s="174"/>
      <c r="G20" s="174"/>
      <c r="H20" s="174"/>
      <c r="I20" s="174"/>
      <c r="AM20" s="175"/>
    </row>
    <row r="21" spans="1:39" ht="18" customHeight="1" thickBot="1">
      <c r="A21" s="176" t="s">
        <v>313</v>
      </c>
      <c r="B21" s="165" t="s">
        <v>401</v>
      </c>
      <c r="C21" s="174"/>
      <c r="D21" s="174"/>
      <c r="E21" s="174"/>
      <c r="F21" s="174"/>
      <c r="G21" s="174"/>
      <c r="H21" s="174"/>
      <c r="I21" s="174"/>
      <c r="AM21" s="175"/>
    </row>
    <row r="22" spans="1:39" ht="18" customHeight="1" thickBot="1">
      <c r="A22" s="176" t="s">
        <v>314</v>
      </c>
      <c r="B22" s="165" t="s">
        <v>402</v>
      </c>
      <c r="C22" s="174"/>
      <c r="D22" s="174"/>
      <c r="E22" s="174"/>
      <c r="F22" s="174"/>
      <c r="G22" s="174"/>
      <c r="H22" s="174"/>
      <c r="I22" s="174"/>
      <c r="AM22" s="175"/>
    </row>
    <row r="23" spans="1:39" ht="18" customHeight="1" thickBot="1">
      <c r="A23" s="176" t="s">
        <v>315</v>
      </c>
      <c r="B23" s="165" t="s">
        <v>403</v>
      </c>
      <c r="C23" s="174"/>
      <c r="D23" s="174"/>
      <c r="E23" s="174"/>
      <c r="F23" s="174"/>
      <c r="G23" s="174"/>
      <c r="H23" s="174"/>
      <c r="I23" s="174"/>
      <c r="AM23" s="175"/>
    </row>
    <row r="24" spans="1:39" ht="18" customHeight="1" thickBot="1">
      <c r="A24" s="176" t="s">
        <v>316</v>
      </c>
      <c r="B24" s="165" t="s">
        <v>404</v>
      </c>
      <c r="C24" s="174"/>
      <c r="D24" s="174"/>
      <c r="E24" s="174"/>
      <c r="F24" s="174"/>
      <c r="G24" s="174"/>
      <c r="H24" s="174"/>
      <c r="I24" s="174"/>
      <c r="AM24" s="175"/>
    </row>
    <row r="25" spans="1:39" ht="18" customHeight="1" thickBot="1">
      <c r="A25" s="177" t="s">
        <v>317</v>
      </c>
      <c r="B25" s="165"/>
      <c r="C25" s="178" cm="1">
        <f t="array" ref="C25">SUMPRODUCT(('FS7 - PY data'!$E$2:$E$10000='FS7 PY'!C$2)*('FS7 - PY data'!$F$2:$F$10000))</f>
        <v>0</v>
      </c>
      <c r="D25" s="178" cm="1">
        <f t="array" ref="D25">SUMPRODUCT(('FS7 - PY data'!$E$2:$E$10000='FS7 PY'!D$2)*('FS7 - PY data'!$F$2:$F$10000))</f>
        <v>0</v>
      </c>
      <c r="E25" s="178" cm="1">
        <f t="array" ref="E25">SUMPRODUCT(('FS7 - PY data'!$E$2:$E$10000='FS7 PY'!E$2)*('FS7 - PY data'!$F$2:$F$10000))</f>
        <v>0</v>
      </c>
      <c r="F25" s="178" cm="1">
        <f t="array" ref="F25">SUMPRODUCT(('FS7 - PY data'!$E$2:$E$10000='FS7 PY'!F$2)*('FS7 - PY data'!$F$2:$F$10000))</f>
        <v>0</v>
      </c>
      <c r="G25" s="178" cm="1">
        <f t="array" ref="G25">SUMPRODUCT(('FS7 - PY data'!$E$2:$E$10000='FS7 PY'!G$2)*('FS7 - PY data'!$F$2:$F$10000))</f>
        <v>0</v>
      </c>
      <c r="H25" s="178" cm="1">
        <f t="array" ref="H25">SUMPRODUCT(('FS7 - PY data'!$E$2:$E$10000='FS7 PY'!H$2)*('FS7 - PY data'!$F$2:$F$10000))</f>
        <v>0</v>
      </c>
      <c r="I25" s="178" cm="1">
        <f t="array" ref="I25">SUMPRODUCT(('FS7 - PY data'!$E$2:$E$10000='FS7 PY'!I$2)*('FS7 - PY data'!$F$2:$F$10000))</f>
        <v>0</v>
      </c>
      <c r="AE25"/>
      <c r="AM25" s="175"/>
    </row>
    <row r="26" spans="1:39" ht="11.25" customHeight="1">
      <c r="A26" s="165"/>
      <c r="B26" s="165"/>
      <c r="C26" s="126"/>
      <c r="D26" s="126"/>
      <c r="E26" s="126"/>
      <c r="F26" s="126"/>
      <c r="G26" s="126"/>
      <c r="H26" s="126"/>
      <c r="I26" s="126"/>
      <c r="J26" s="126"/>
      <c r="K26" s="126"/>
      <c r="L26" s="126"/>
      <c r="M26" s="126"/>
      <c r="N26" s="126"/>
      <c r="O26" s="126"/>
      <c r="P26" s="126"/>
      <c r="AE26"/>
      <c r="AM26" s="175"/>
    </row>
    <row r="27" spans="1:39" ht="15.6" customHeight="1">
      <c r="A27"/>
      <c r="B27"/>
      <c r="C27"/>
      <c r="D27"/>
      <c r="E27"/>
      <c r="F27"/>
      <c r="G27"/>
      <c r="H27"/>
      <c r="I27"/>
      <c r="J27"/>
      <c r="K27"/>
      <c r="L27"/>
      <c r="M27"/>
      <c r="N27"/>
      <c r="O27"/>
      <c r="P27"/>
      <c r="AE27"/>
      <c r="AM27" s="175"/>
    </row>
    <row r="28" spans="1:39" ht="15" customHeight="1">
      <c r="A28"/>
      <c r="B28"/>
      <c r="C28"/>
      <c r="D28"/>
      <c r="E28"/>
      <c r="F28"/>
      <c r="G28"/>
      <c r="H28"/>
      <c r="I28"/>
      <c r="J28"/>
      <c r="K28"/>
      <c r="L28"/>
      <c r="M28"/>
      <c r="N28"/>
      <c r="O28"/>
      <c r="P28"/>
      <c r="AE28"/>
      <c r="AM28" s="175"/>
    </row>
    <row r="29" spans="1:39" ht="6" customHeight="1">
      <c r="C29" s="3"/>
      <c r="D29" s="3"/>
      <c r="E29" s="3"/>
      <c r="F29" s="3"/>
      <c r="G29" s="3"/>
      <c r="H29" s="3"/>
      <c r="I29" s="3"/>
      <c r="J29" s="3"/>
      <c r="K29" s="3"/>
      <c r="L29" s="3"/>
      <c r="M29" s="3"/>
      <c r="N29" s="3"/>
    </row>
    <row r="30" spans="1:39" ht="18.75" customHeight="1">
      <c r="A30" s="179"/>
      <c r="B30" s="179"/>
      <c r="C30" s="179"/>
      <c r="D30" s="179"/>
      <c r="E30" s="179"/>
      <c r="F30" s="179"/>
      <c r="G30" s="179"/>
      <c r="H30" s="179"/>
      <c r="I30" s="179"/>
      <c r="J30" s="179"/>
      <c r="K30" s="179"/>
      <c r="L30" s="179"/>
      <c r="M30" s="179"/>
      <c r="N30" s="179"/>
    </row>
    <row r="31" spans="1:39" ht="49.5" customHeight="1">
      <c r="A31" s="179"/>
      <c r="B31" s="179"/>
      <c r="C31" s="179"/>
      <c r="D31" s="179"/>
      <c r="E31" s="179"/>
      <c r="F31" s="179"/>
      <c r="G31" s="179"/>
      <c r="H31" s="179"/>
      <c r="I31" s="179"/>
      <c r="J31" s="179"/>
      <c r="K31" s="179"/>
      <c r="L31" s="179"/>
      <c r="M31" s="179"/>
      <c r="N31" s="179"/>
    </row>
    <row r="32" spans="1:39">
      <c r="C32" s="3"/>
      <c r="D32" s="3"/>
      <c r="E32" s="3"/>
      <c r="F32" s="3"/>
      <c r="G32" s="3"/>
      <c r="H32" s="3"/>
      <c r="I32" s="3"/>
      <c r="J32" s="3"/>
      <c r="K32" s="3"/>
      <c r="L32" s="3"/>
      <c r="M32" s="3"/>
      <c r="N32" s="3"/>
    </row>
    <row r="33" spans="1:14">
      <c r="A33" s="179"/>
      <c r="B33" s="179"/>
      <c r="C33" s="179"/>
      <c r="D33" s="179"/>
      <c r="E33" s="179"/>
      <c r="F33" s="179"/>
      <c r="G33" s="179"/>
      <c r="H33" s="179"/>
      <c r="I33" s="179"/>
      <c r="J33" s="179"/>
      <c r="K33" s="179"/>
      <c r="L33" s="179"/>
      <c r="M33" s="179"/>
      <c r="N33" s="179"/>
    </row>
    <row r="34" spans="1:14">
      <c r="C34" s="3"/>
      <c r="D34" s="3"/>
      <c r="E34" s="3"/>
      <c r="F34" s="3"/>
      <c r="G34" s="3"/>
      <c r="H34" s="3"/>
      <c r="I34" s="3"/>
      <c r="J34" s="3"/>
      <c r="K34" s="3"/>
      <c r="L34" s="3"/>
      <c r="M34" s="3"/>
      <c r="N34" s="3"/>
    </row>
  </sheetData>
  <mergeCells count="1">
    <mergeCell ref="A1:I1"/>
  </mergeCells>
  <dataValidations count="1">
    <dataValidation type="whole" errorStyle="warning" allowBlank="1" showInputMessage="1" showErrorMessage="1" error="The figure inputted is either unexpectedly large or not a positive whole number." sqref="C4:I24" xr:uid="{C993D5CE-F5DA-42F8-A5A8-C0A9957F852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4" orientation="landscape" r:id="rId1"/>
  <headerFooter alignWithMargins="0">
    <oddHeader>&amp;LAnnual Returns 2016-17&amp;C&amp;"Aptos"&amp;10&amp;K000000 OFFICIAL&amp;1#_x000D_&amp;RFS7 - Prosecutions&amp;LAnnual Returns 2016-17</oddHeader>
    <oddFooter>&amp;C_x000D_&amp;1#&amp;"Aptos"&amp;10&amp;K000000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7EF70-58A7-421C-9B84-C3C8A7A0AEEF}">
  <sheetPr codeName="Sheet18">
    <tabColor theme="1" tint="0.499984740745262"/>
  </sheetPr>
  <dimension ref="A1:F1"/>
  <sheetViews>
    <sheetView workbookViewId="0"/>
  </sheetViews>
  <sheetFormatPr defaultColWidth="9.140625" defaultRowHeight="12.75"/>
  <cols>
    <col min="1" max="3" width="9.140625" style="143"/>
    <col min="4" max="4" width="50.140625" style="143" bestFit="1" customWidth="1"/>
    <col min="5" max="5" width="36.28515625" style="143" bestFit="1" customWidth="1"/>
    <col min="6" max="16384" width="9.140625" style="143"/>
  </cols>
  <sheetData>
    <row r="1" spans="1:6">
      <c r="A1" s="143" t="s">
        <v>318</v>
      </c>
      <c r="B1" s="143" t="s">
        <v>319</v>
      </c>
      <c r="C1" s="143" t="s">
        <v>320</v>
      </c>
      <c r="D1" s="143" t="s">
        <v>337</v>
      </c>
      <c r="E1" s="143" t="s">
        <v>450</v>
      </c>
      <c r="F1" s="143" t="s">
        <v>451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pageSetUpPr fitToPage="1"/>
  </sheetPr>
  <dimension ref="A1:AU82"/>
  <sheetViews>
    <sheetView topLeftCell="A6" zoomScale="70" zoomScaleNormal="70" workbookViewId="0">
      <selection activeCell="A15" sqref="A15:XFD17"/>
    </sheetView>
  </sheetViews>
  <sheetFormatPr defaultColWidth="9.140625" defaultRowHeight="12.75"/>
  <cols>
    <col min="1" max="1" width="37.140625" style="3" customWidth="1"/>
    <col min="2" max="2" width="31.5703125" style="3" hidden="1" customWidth="1"/>
    <col min="3" max="14" width="17.140625" style="7" customWidth="1"/>
    <col min="15" max="19" width="10" style="7" customWidth="1"/>
    <col min="20" max="33" width="9.140625" style="7"/>
    <col min="34" max="34" width="9.140625" style="7" customWidth="1"/>
    <col min="35" max="36" width="26.5703125" style="7" customWidth="1"/>
    <col min="37" max="58" width="9.140625" style="7" customWidth="1"/>
    <col min="59" max="16384" width="9.140625" style="7"/>
  </cols>
  <sheetData>
    <row r="1" spans="1:47">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row>
    <row r="2" spans="1:4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row>
    <row r="3" spans="1:47" ht="29.25" customHeight="1">
      <c r="A3" s="86"/>
      <c r="B3" s="86"/>
      <c r="C3" s="86"/>
      <c r="D3" s="248" t="str">
        <f>Cover!A10</f>
        <v>Shropshire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row>
    <row r="4" spans="1:47"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row>
    <row r="5" spans="1:47" ht="33" customHeight="1" thickBot="1">
      <c r="A5" s="86"/>
      <c r="B5" s="86"/>
      <c r="C5" s="86"/>
      <c r="D5" s="86"/>
      <c r="E5" s="86"/>
      <c r="F5" s="86"/>
      <c r="G5" s="86"/>
      <c r="H5" s="86"/>
      <c r="I5" s="86"/>
      <c r="J5" s="86"/>
      <c r="K5" s="86"/>
      <c r="L5" s="86"/>
      <c r="M5" s="86"/>
      <c r="N5" s="86"/>
      <c r="O5" s="40"/>
      <c r="P5" s="40"/>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row>
    <row r="6" spans="1:47" ht="16.5" thickBot="1">
      <c r="A6" s="254" t="s">
        <v>452</v>
      </c>
      <c r="B6" s="255"/>
      <c r="C6" s="255"/>
      <c r="D6" s="255"/>
      <c r="E6" s="255"/>
      <c r="F6" s="255"/>
      <c r="G6" s="255"/>
      <c r="H6" s="255"/>
      <c r="I6" s="255"/>
      <c r="J6" s="255"/>
      <c r="K6" s="255"/>
      <c r="L6" s="255"/>
      <c r="M6" s="255"/>
      <c r="N6" s="256"/>
      <c r="O6" s="40"/>
      <c r="P6" s="40"/>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row>
    <row r="7" spans="1:47" ht="38.1" customHeight="1" thickBot="1">
      <c r="A7" s="291" t="s">
        <v>325</v>
      </c>
      <c r="B7" s="292"/>
      <c r="C7" s="292"/>
      <c r="D7" s="292"/>
      <c r="E7" s="292"/>
      <c r="F7" s="292"/>
      <c r="G7" s="292"/>
      <c r="H7" s="292"/>
      <c r="I7" s="292"/>
      <c r="J7" s="292"/>
      <c r="K7" s="292"/>
      <c r="L7" s="292"/>
      <c r="M7" s="292"/>
      <c r="N7" s="293"/>
      <c r="O7" s="40"/>
      <c r="P7" s="40"/>
      <c r="Q7" s="86"/>
      <c r="R7" s="86"/>
      <c r="S7" s="86"/>
      <c r="T7" s="86"/>
      <c r="U7" s="86"/>
      <c r="V7" s="86"/>
      <c r="W7" s="86"/>
      <c r="X7" s="86"/>
      <c r="Y7" s="86"/>
      <c r="Z7" s="86"/>
      <c r="AA7" s="86"/>
      <c r="AB7" s="86"/>
      <c r="AC7" s="86"/>
      <c r="AD7" s="86"/>
      <c r="AE7" s="86"/>
      <c r="AF7" s="86"/>
      <c r="AG7" s="86"/>
      <c r="AH7" s="86"/>
      <c r="AI7" s="101"/>
      <c r="AJ7" s="101"/>
      <c r="AK7" s="86"/>
      <c r="AL7" s="86"/>
      <c r="AM7" s="86"/>
      <c r="AN7" s="86"/>
      <c r="AO7" s="86"/>
      <c r="AP7" s="86"/>
      <c r="AQ7" s="86"/>
      <c r="AR7" s="86"/>
      <c r="AS7" s="86"/>
      <c r="AT7" s="86"/>
    </row>
    <row r="8" spans="1:47" ht="12.75" customHeight="1" thickBot="1">
      <c r="A8" s="260" t="s">
        <v>453</v>
      </c>
      <c r="B8" s="261"/>
      <c r="C8" s="261"/>
      <c r="D8" s="261"/>
      <c r="E8" s="261"/>
      <c r="F8" s="261"/>
      <c r="G8" s="261"/>
      <c r="H8" s="261"/>
      <c r="I8" s="261"/>
      <c r="J8" s="261"/>
      <c r="K8" s="261"/>
      <c r="L8" s="261"/>
      <c r="M8" s="261"/>
      <c r="N8" s="262"/>
      <c r="O8" s="40"/>
      <c r="P8" s="40"/>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row>
    <row r="9" spans="1:47" ht="90" thickBot="1">
      <c r="A9" s="17"/>
      <c r="C9" s="14" t="s">
        <v>364</v>
      </c>
      <c r="D9" s="23" t="s">
        <v>365</v>
      </c>
      <c r="E9" s="23" t="s">
        <v>366</v>
      </c>
      <c r="F9" s="23" t="s">
        <v>367</v>
      </c>
      <c r="G9" s="23" t="s">
        <v>368</v>
      </c>
      <c r="H9" s="23" t="s">
        <v>369</v>
      </c>
      <c r="I9" s="23" t="s">
        <v>370</v>
      </c>
      <c r="J9" s="23" t="s">
        <v>371</v>
      </c>
      <c r="K9" s="23" t="s">
        <v>372</v>
      </c>
      <c r="L9" s="23" t="s">
        <v>373</v>
      </c>
      <c r="M9" s="23" t="s">
        <v>374</v>
      </c>
      <c r="N9" s="23" t="s">
        <v>375</v>
      </c>
      <c r="O9" s="40"/>
      <c r="P9" s="40"/>
      <c r="Q9" s="86"/>
      <c r="R9" s="86"/>
      <c r="S9" s="86"/>
      <c r="T9" s="86"/>
      <c r="U9" s="86"/>
      <c r="V9" s="86"/>
      <c r="W9" s="86"/>
      <c r="X9" s="86"/>
      <c r="Y9" s="86"/>
      <c r="Z9" s="86"/>
      <c r="AA9" s="86"/>
      <c r="AB9" s="86"/>
      <c r="AC9" s="86"/>
      <c r="AD9" s="86"/>
      <c r="AE9" s="86"/>
      <c r="AF9" s="86"/>
      <c r="AG9" s="86"/>
      <c r="AH9" s="86"/>
      <c r="AI9" s="102"/>
      <c r="AJ9" s="102"/>
      <c r="AK9" s="86"/>
      <c r="AL9" s="86"/>
      <c r="AM9" s="86"/>
      <c r="AN9" s="86"/>
      <c r="AO9" s="86"/>
      <c r="AP9" s="86"/>
      <c r="AQ9" s="86"/>
      <c r="AR9" s="86"/>
      <c r="AS9" s="86"/>
      <c r="AT9" s="86"/>
    </row>
    <row r="10" spans="1:47" ht="10.5" hidden="1" customHeight="1">
      <c r="C10" s="29" t="s">
        <v>454</v>
      </c>
      <c r="D10" s="29" t="s">
        <v>455</v>
      </c>
      <c r="E10" s="29" t="s">
        <v>456</v>
      </c>
      <c r="F10" s="29" t="s">
        <v>457</v>
      </c>
      <c r="G10" s="29" t="s">
        <v>458</v>
      </c>
      <c r="H10" s="29" t="s">
        <v>459</v>
      </c>
      <c r="I10" s="29" t="s">
        <v>460</v>
      </c>
      <c r="J10" s="29" t="s">
        <v>461</v>
      </c>
      <c r="K10" s="29" t="s">
        <v>462</v>
      </c>
      <c r="L10" s="29" t="s">
        <v>463</v>
      </c>
      <c r="M10" s="29" t="s">
        <v>464</v>
      </c>
      <c r="N10" s="29" t="s">
        <v>465</v>
      </c>
      <c r="O10" s="40"/>
      <c r="P10" s="40"/>
      <c r="Q10" s="86"/>
      <c r="R10" s="86"/>
      <c r="S10" s="86"/>
      <c r="T10" s="86"/>
      <c r="U10" s="86"/>
      <c r="V10" s="86"/>
      <c r="W10" s="86"/>
      <c r="X10" s="86"/>
      <c r="Y10" s="86"/>
      <c r="Z10" s="86"/>
      <c r="AA10" s="86"/>
      <c r="AB10" s="86"/>
      <c r="AC10" s="86"/>
      <c r="AD10" s="86"/>
      <c r="AE10" s="86"/>
      <c r="AF10" s="86"/>
      <c r="AG10" s="86"/>
      <c r="AH10" s="86"/>
      <c r="AI10" s="102"/>
      <c r="AJ10" s="102"/>
      <c r="AK10" s="86"/>
      <c r="AL10" s="86"/>
      <c r="AM10" s="86"/>
      <c r="AN10" s="86"/>
      <c r="AO10" s="86"/>
      <c r="AP10" s="86"/>
      <c r="AQ10" s="86"/>
      <c r="AR10" s="86"/>
      <c r="AS10" s="86"/>
      <c r="AT10" s="86"/>
    </row>
    <row r="11" spans="1:47" ht="18.75" customHeight="1" thickBot="1">
      <c r="A11" s="201" t="s">
        <v>296</v>
      </c>
      <c r="B11" s="202" t="s">
        <v>388</v>
      </c>
      <c r="C11" s="183"/>
      <c r="D11" s="183"/>
      <c r="E11" s="183"/>
      <c r="F11" s="183"/>
      <c r="G11" s="183"/>
      <c r="H11" s="183"/>
      <c r="I11" s="183"/>
      <c r="J11" s="183"/>
      <c r="K11" s="183"/>
      <c r="L11" s="183"/>
      <c r="M11" s="183"/>
      <c r="N11" s="183"/>
      <c r="O11" s="40"/>
      <c r="P11" s="40"/>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row>
    <row r="12" spans="1:47" ht="18.75" customHeight="1" thickBot="1">
      <c r="A12" s="13" t="s">
        <v>297</v>
      </c>
      <c r="B12" s="202" t="s">
        <v>389</v>
      </c>
      <c r="C12" s="183"/>
      <c r="D12" s="183"/>
      <c r="E12" s="183"/>
      <c r="F12" s="183"/>
      <c r="G12" s="183"/>
      <c r="H12" s="183"/>
      <c r="I12" s="183"/>
      <c r="J12" s="183"/>
      <c r="K12" s="183"/>
      <c r="L12" s="183"/>
      <c r="M12" s="183"/>
      <c r="N12" s="183"/>
      <c r="O12" s="40"/>
      <c r="P12" s="40"/>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row>
    <row r="13" spans="1:47" ht="18.75" customHeight="1" thickBot="1">
      <c r="A13" s="13" t="s">
        <v>298</v>
      </c>
      <c r="B13" s="202" t="s">
        <v>390</v>
      </c>
      <c r="C13" s="183"/>
      <c r="D13" s="183"/>
      <c r="E13" s="183"/>
      <c r="F13" s="183"/>
      <c r="G13" s="183"/>
      <c r="H13" s="183"/>
      <c r="I13" s="183"/>
      <c r="J13" s="183"/>
      <c r="K13" s="183"/>
      <c r="L13" s="183"/>
      <c r="M13" s="183"/>
      <c r="N13" s="183"/>
      <c r="O13" s="40"/>
      <c r="P13" s="40"/>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row>
    <row r="14" spans="1:47" customFormat="1" ht="18.75" customHeight="1" thickBot="1">
      <c r="A14" s="13" t="s">
        <v>299</v>
      </c>
      <c r="B14" s="202"/>
      <c r="C14" s="183"/>
      <c r="D14" s="183"/>
      <c r="E14" s="183"/>
      <c r="F14" s="183"/>
      <c r="G14" s="183"/>
      <c r="H14" s="183"/>
      <c r="I14" s="183"/>
      <c r="J14" s="183"/>
      <c r="K14" s="183"/>
      <c r="L14" s="183"/>
      <c r="M14" s="183"/>
      <c r="N14" s="183"/>
      <c r="O14" s="40"/>
      <c r="P14" s="40"/>
      <c r="Q14" s="86"/>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86"/>
      <c r="AT14" s="86"/>
      <c r="AU14" s="7"/>
    </row>
    <row r="15" spans="1:47" customFormat="1" ht="18.75" hidden="1" customHeight="1" thickBot="1">
      <c r="A15" s="13" t="s">
        <v>300</v>
      </c>
      <c r="B15" s="202"/>
      <c r="C15" s="183"/>
      <c r="D15" s="183"/>
      <c r="E15" s="183"/>
      <c r="F15" s="183"/>
      <c r="G15" s="183"/>
      <c r="H15" s="183"/>
      <c r="I15" s="183"/>
      <c r="J15" s="183"/>
      <c r="K15" s="183"/>
      <c r="L15" s="183"/>
      <c r="M15" s="183"/>
      <c r="N15" s="183"/>
      <c r="O15" s="40"/>
      <c r="P15" s="40"/>
      <c r="Q15" s="86"/>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86"/>
      <c r="AT15" s="86"/>
      <c r="AU15" s="7"/>
    </row>
    <row r="16" spans="1:47" customFormat="1" ht="18.75" hidden="1" customHeight="1" thickBot="1">
      <c r="A16" s="13" t="s">
        <v>301</v>
      </c>
      <c r="B16" s="202"/>
      <c r="C16" s="183"/>
      <c r="D16" s="183"/>
      <c r="E16" s="183"/>
      <c r="F16" s="183"/>
      <c r="G16" s="183"/>
      <c r="H16" s="183"/>
      <c r="I16" s="183"/>
      <c r="J16" s="183"/>
      <c r="K16" s="183"/>
      <c r="L16" s="183"/>
      <c r="M16" s="183"/>
      <c r="N16" s="183"/>
      <c r="O16" s="40"/>
      <c r="P16" s="40"/>
      <c r="Q16" s="86"/>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86"/>
      <c r="AT16" s="86"/>
      <c r="AU16" s="7"/>
    </row>
    <row r="17" spans="1:47" customFormat="1" ht="18.75" hidden="1" customHeight="1" thickBot="1">
      <c r="A17" s="13" t="s">
        <v>302</v>
      </c>
      <c r="B17" s="202"/>
      <c r="C17" s="183"/>
      <c r="D17" s="183"/>
      <c r="E17" s="183"/>
      <c r="F17" s="183"/>
      <c r="G17" s="183"/>
      <c r="H17" s="183"/>
      <c r="I17" s="183"/>
      <c r="J17" s="183"/>
      <c r="K17" s="183"/>
      <c r="L17" s="183"/>
      <c r="M17" s="183"/>
      <c r="N17" s="183"/>
      <c r="O17" s="40"/>
      <c r="P17" s="40"/>
      <c r="Q17" s="86"/>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86"/>
      <c r="AT17" s="86"/>
      <c r="AU17" s="7"/>
    </row>
    <row r="18" spans="1:47" ht="13.5" thickBot="1">
      <c r="A18" s="56" t="s">
        <v>303</v>
      </c>
      <c r="B18" s="209" t="s">
        <v>391</v>
      </c>
      <c r="C18" s="204"/>
      <c r="D18" s="204"/>
      <c r="E18" s="204"/>
      <c r="F18" s="204"/>
      <c r="G18" s="204"/>
      <c r="H18" s="204"/>
      <c r="I18" s="204"/>
      <c r="J18" s="204"/>
      <c r="K18" s="204"/>
      <c r="L18" s="204"/>
      <c r="M18" s="204"/>
      <c r="N18" s="204"/>
      <c r="O18" s="40"/>
      <c r="P18" s="40"/>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row>
    <row r="19" spans="1:47" ht="18.75" customHeight="1" thickBot="1">
      <c r="A19" s="13" t="s">
        <v>304</v>
      </c>
      <c r="B19" s="202" t="s">
        <v>392</v>
      </c>
      <c r="C19" s="183"/>
      <c r="D19" s="183"/>
      <c r="E19" s="183"/>
      <c r="F19" s="183"/>
      <c r="G19" s="183"/>
      <c r="H19" s="183"/>
      <c r="I19" s="183"/>
      <c r="J19" s="183"/>
      <c r="K19" s="183"/>
      <c r="L19" s="183"/>
      <c r="M19" s="183"/>
      <c r="N19" s="183"/>
      <c r="O19" s="40"/>
      <c r="P19" s="40"/>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row>
    <row r="20" spans="1:47" ht="18.75" customHeight="1" thickBot="1">
      <c r="A20" s="13" t="s">
        <v>305</v>
      </c>
      <c r="B20" s="202" t="s">
        <v>393</v>
      </c>
      <c r="C20" s="183"/>
      <c r="D20" s="183"/>
      <c r="E20" s="183"/>
      <c r="F20" s="183"/>
      <c r="G20" s="183"/>
      <c r="H20" s="183"/>
      <c r="I20" s="183"/>
      <c r="J20" s="183"/>
      <c r="K20" s="183"/>
      <c r="L20" s="183"/>
      <c r="M20" s="183"/>
      <c r="N20" s="183"/>
      <c r="O20" s="40"/>
      <c r="P20" s="40"/>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row>
    <row r="21" spans="1:47" ht="18.75" customHeight="1" thickBot="1">
      <c r="A21" s="13" t="s">
        <v>306</v>
      </c>
      <c r="B21" s="202" t="s">
        <v>394</v>
      </c>
      <c r="C21" s="183"/>
      <c r="D21" s="183"/>
      <c r="E21" s="183"/>
      <c r="F21" s="183"/>
      <c r="G21" s="183"/>
      <c r="H21" s="183"/>
      <c r="I21" s="183"/>
      <c r="J21" s="183"/>
      <c r="K21" s="183"/>
      <c r="L21" s="183"/>
      <c r="M21" s="183"/>
      <c r="N21" s="183"/>
      <c r="O21" s="40"/>
      <c r="P21" s="40"/>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row>
    <row r="22" spans="1:47" ht="18.75"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row>
    <row r="23" spans="1:47" ht="18.75"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row>
    <row r="24" spans="1:47" ht="18.75"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row>
    <row r="25" spans="1:47" ht="18.75"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row>
    <row r="26" spans="1:47" ht="18.75"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row>
    <row r="27" spans="1:47" ht="18.75"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row>
    <row r="28" spans="1:47" ht="18.75"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row>
    <row r="29" spans="1:47" ht="18.75" customHeight="1" thickBot="1">
      <c r="A29" s="13" t="s">
        <v>314</v>
      </c>
      <c r="B29" s="202" t="s">
        <v>402</v>
      </c>
      <c r="C29" s="183"/>
      <c r="D29" s="183"/>
      <c r="E29" s="183"/>
      <c r="F29" s="183"/>
      <c r="G29" s="183"/>
      <c r="H29" s="183"/>
      <c r="I29" s="183"/>
      <c r="J29" s="183"/>
      <c r="K29" s="183"/>
      <c r="L29" s="183"/>
      <c r="M29" s="183"/>
      <c r="N29" s="183"/>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row>
    <row r="30" spans="1:47" ht="18.75" customHeight="1" thickBot="1">
      <c r="A30" s="13" t="s">
        <v>315</v>
      </c>
      <c r="B30" s="202" t="s">
        <v>403</v>
      </c>
      <c r="C30" s="183"/>
      <c r="D30" s="183"/>
      <c r="E30" s="183"/>
      <c r="F30" s="183"/>
      <c r="G30" s="183"/>
      <c r="H30" s="183"/>
      <c r="I30" s="183"/>
      <c r="J30" s="183"/>
      <c r="K30" s="183"/>
      <c r="L30" s="183"/>
      <c r="M30" s="183"/>
      <c r="N30" s="183"/>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row>
    <row r="31" spans="1:47" ht="18.75" customHeight="1" thickBot="1">
      <c r="A31" s="13" t="s">
        <v>316</v>
      </c>
      <c r="B31" s="202" t="s">
        <v>404</v>
      </c>
      <c r="C31" s="183"/>
      <c r="D31" s="183"/>
      <c r="E31" s="183"/>
      <c r="F31" s="183"/>
      <c r="G31" s="183"/>
      <c r="H31" s="183"/>
      <c r="I31" s="183"/>
      <c r="J31" s="183"/>
      <c r="K31" s="183"/>
      <c r="L31" s="183"/>
      <c r="M31" s="183"/>
      <c r="N31" s="183"/>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row>
    <row r="32" spans="1:47" ht="18.75" customHeight="1" thickBot="1">
      <c r="A32" s="9" t="s">
        <v>317</v>
      </c>
      <c r="B32" s="202"/>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row>
    <row r="33" spans="1:46" ht="6" customHeight="1">
      <c r="A33" s="100"/>
      <c r="B33" s="10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row>
    <row r="34" spans="1:46" ht="1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c r="AS34" s="86"/>
      <c r="AT34" s="86"/>
    </row>
    <row r="35" spans="1:46" ht="24"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c r="AS35" s="86"/>
      <c r="AT35" s="86"/>
    </row>
    <row r="36" spans="1:46" ht="15" customHeight="1" thickBo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c r="AS36" s="86"/>
      <c r="AT36" s="86"/>
    </row>
    <row r="37" spans="1:46" ht="13.5" thickBot="1">
      <c r="A37" s="86"/>
      <c r="B37" s="85"/>
      <c r="C37" s="15" t="s">
        <v>336</v>
      </c>
      <c r="D37" s="85"/>
      <c r="E37" s="85"/>
      <c r="F37" s="85"/>
      <c r="G37" s="85"/>
      <c r="H37" s="85"/>
      <c r="I37" s="85"/>
      <c r="J37" s="85"/>
      <c r="K37" s="85"/>
      <c r="L37" s="85"/>
      <c r="M37" s="85"/>
      <c r="N37" s="1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row>
    <row r="38" spans="1:46" ht="66" customHeight="1" thickBot="1">
      <c r="A38" s="100"/>
      <c r="B38" s="202"/>
      <c r="C38" s="245"/>
      <c r="D38" s="246"/>
      <c r="E38" s="246"/>
      <c r="F38" s="246"/>
      <c r="G38" s="246"/>
      <c r="H38" s="246"/>
      <c r="I38" s="246"/>
      <c r="J38" s="246"/>
      <c r="K38" s="246"/>
      <c r="L38" s="246"/>
      <c r="M38" s="246"/>
      <c r="N38" s="247"/>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row>
    <row r="39" spans="1:46">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row>
    <row r="40" spans="1:46">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row>
    <row r="41" spans="1:46">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row>
    <row r="42" spans="1:46">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row>
    <row r="43" spans="1:46">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row>
    <row r="44" spans="1:46">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row>
    <row r="45" spans="1:46">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row>
    <row r="46" spans="1:46">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row>
    <row r="47" spans="1:46">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row>
    <row r="48" spans="1:46">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row>
    <row r="49" spans="1:46">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row>
    <row r="50" spans="1:46">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row>
    <row r="51" spans="1:46">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row>
    <row r="52" spans="1:46">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row>
    <row r="53" spans="1:46">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row>
    <row r="54" spans="1:46">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row>
    <row r="55" spans="1:46">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row>
    <row r="56" spans="1:46">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row>
    <row r="57" spans="1:46">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row>
    <row r="58" spans="1:46">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row>
    <row r="59" spans="1:46">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row>
    <row r="60" spans="1:46">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row>
    <row r="61" spans="1:46">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row>
    <row r="62" spans="1:46">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row>
    <row r="63" spans="1:46">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row>
    <row r="64" spans="1:46">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row>
    <row r="65" spans="1:46">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row>
    <row r="66" spans="1:46">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row>
    <row r="67" spans="1:46">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row>
    <row r="68" spans="1:46">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row>
    <row r="69" spans="1:46">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row>
    <row r="70" spans="1:46">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row>
    <row r="71" spans="1:46">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row>
    <row r="72" spans="1:46">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row>
    <row r="73" spans="1:46">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row>
    <row r="74" spans="1:46">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row>
    <row r="75" spans="1:46">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row>
    <row r="76" spans="1:46">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row>
    <row r="77" spans="1:46">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row>
    <row r="78" spans="1:46">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row>
    <row r="79" spans="1:46">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row>
    <row r="80" spans="1:46">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row>
    <row r="81" spans="1:46">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row>
    <row r="82" spans="1:46">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row>
  </sheetData>
  <customSheetViews>
    <customSheetView guid="{C0288C5C-A803-495F-B0CA-42FBBD5677AA}" scale="85" showPageBreaks="1" showGridLines="0" printArea="1" showRuler="0">
      <pane xSplit="1" ySplit="1" topLeftCell="B2" activePane="bottomRight" state="frozen"/>
      <selection pane="bottomRight" activeCell="A18" sqref="A18"/>
      <rowBreaks count="1" manualBreakCount="1">
        <brk id="23" max="12" man="1"/>
      </rowBreaks>
      <pageMargins left="0" right="0" top="0" bottom="0" header="0" footer="0"/>
      <pageSetup paperSize="9" scale="74" fitToHeight="2" orientation="landscape" r:id="rId1"/>
      <headerFooter alignWithMargins="0">
        <oddHeader>&amp;LAnnual Returns 2010-11&amp;RFS8a -  Number of prosecutions (convictions)</oddHeader>
      </headerFooter>
    </customSheetView>
  </customSheetViews>
  <mergeCells count="5">
    <mergeCell ref="D3:N4"/>
    <mergeCell ref="C38:N38"/>
    <mergeCell ref="A8:N8"/>
    <mergeCell ref="A6:N6"/>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BB4B5B2B-2BEB-4C04-BD1D-13CE168757A0}">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OFFICIAL&amp;1#_x000D_&amp;RFS8a -  Number of prosecutions (convictions)&amp;LAnnual Returns 2016-17</oddHeader>
    <oddFooter>&amp;C_x000D_&amp;1#&amp;"Aptos"&amp;10&amp;K000000 OFFICIAL</oddFooter>
  </headerFooter>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pageSetUpPr fitToPage="1"/>
  </sheetPr>
  <dimension ref="A1:AU74"/>
  <sheetViews>
    <sheetView zoomScale="67" workbookViewId="0">
      <selection activeCell="C32" sqref="C32"/>
    </sheetView>
  </sheetViews>
  <sheetFormatPr defaultColWidth="34.140625" defaultRowHeight="26.25" customHeight="1"/>
  <cols>
    <col min="1" max="1" width="37.140625" style="3" customWidth="1"/>
    <col min="2" max="2" width="36.140625" style="3" hidden="1" customWidth="1"/>
    <col min="3" max="14" width="17.140625" style="7" customWidth="1"/>
    <col min="15" max="16" width="11.42578125" style="7" customWidth="1"/>
    <col min="17" max="68" width="11.140625" style="7" customWidth="1"/>
    <col min="69" max="16384" width="34.140625" style="7"/>
  </cols>
  <sheetData>
    <row r="1" spans="1:47"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row>
    <row r="2" spans="1:4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row>
    <row r="3" spans="1:47" ht="29.25" customHeight="1">
      <c r="A3" s="86"/>
      <c r="B3" s="86"/>
      <c r="C3" s="86"/>
      <c r="D3" s="248" t="str">
        <f>Cover!A10</f>
        <v>Shropshire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row>
    <row r="4" spans="1:47"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row>
    <row r="5" spans="1:47"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row>
    <row r="6" spans="1:47" ht="21" customHeight="1" thickBot="1">
      <c r="A6" s="254" t="s">
        <v>466</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row>
    <row r="7" spans="1:47" ht="38.1"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F7" s="86"/>
      <c r="AG7" s="86"/>
      <c r="AH7" s="86"/>
      <c r="AI7" s="86"/>
      <c r="AJ7" s="101"/>
      <c r="AK7" s="86"/>
      <c r="AL7" s="86"/>
      <c r="AM7" s="86"/>
      <c r="AN7" s="86"/>
      <c r="AO7" s="86"/>
      <c r="AP7" s="86"/>
      <c r="AQ7" s="86"/>
      <c r="AR7" s="86"/>
    </row>
    <row r="8" spans="1:47" ht="16.5" customHeight="1" thickBot="1">
      <c r="A8" s="260" t="s">
        <v>467</v>
      </c>
      <c r="B8" s="261"/>
      <c r="C8" s="261"/>
      <c r="D8" s="261"/>
      <c r="E8" s="261"/>
      <c r="F8" s="261"/>
      <c r="G8" s="261"/>
      <c r="H8" s="261"/>
      <c r="I8" s="261"/>
      <c r="J8" s="261"/>
      <c r="K8" s="261"/>
      <c r="L8" s="261"/>
      <c r="M8" s="261"/>
      <c r="N8" s="262"/>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row>
    <row r="9" spans="1:47" ht="108.75" customHeight="1" thickBot="1">
      <c r="A9" s="17"/>
      <c r="B9" s="19"/>
      <c r="C9" s="211" t="s">
        <v>408</v>
      </c>
      <c r="D9" s="205" t="s">
        <v>409</v>
      </c>
      <c r="E9" s="205" t="s">
        <v>410</v>
      </c>
      <c r="F9" s="205" t="s">
        <v>411</v>
      </c>
      <c r="G9" s="205" t="s">
        <v>412</v>
      </c>
      <c r="H9" s="205" t="s">
        <v>413</v>
      </c>
      <c r="I9" s="212" t="s">
        <v>414</v>
      </c>
      <c r="J9" s="213" t="s">
        <v>415</v>
      </c>
      <c r="K9" s="214" t="s">
        <v>416</v>
      </c>
      <c r="L9" s="205" t="s">
        <v>417</v>
      </c>
      <c r="M9" s="205" t="s">
        <v>418</v>
      </c>
      <c r="N9" s="206" t="s">
        <v>419</v>
      </c>
      <c r="O9" s="40"/>
      <c r="P9" s="40"/>
      <c r="Q9" s="40"/>
      <c r="R9" s="40"/>
      <c r="S9" s="40"/>
      <c r="T9" s="40"/>
      <c r="U9" s="40"/>
      <c r="V9" s="40"/>
      <c r="W9" s="40"/>
      <c r="X9" s="40"/>
      <c r="Y9" s="40"/>
      <c r="Z9" s="40"/>
      <c r="AA9" s="86"/>
      <c r="AB9" s="86"/>
      <c r="AC9" s="86"/>
      <c r="AD9" s="86"/>
      <c r="AE9" s="86"/>
      <c r="AF9" s="86"/>
      <c r="AG9" s="86"/>
      <c r="AH9" s="86"/>
      <c r="AI9" s="86"/>
      <c r="AJ9" s="102"/>
      <c r="AK9" s="86"/>
      <c r="AL9" s="86"/>
      <c r="AM9" s="86"/>
      <c r="AN9" s="86"/>
      <c r="AO9" s="86"/>
      <c r="AP9" s="86"/>
      <c r="AQ9" s="86"/>
      <c r="AR9" s="86"/>
    </row>
    <row r="10" spans="1:47" ht="12.75" hidden="1">
      <c r="C10" s="18" t="s">
        <v>468</v>
      </c>
      <c r="D10" s="18" t="s">
        <v>469</v>
      </c>
      <c r="E10" s="18" t="s">
        <v>470</v>
      </c>
      <c r="F10" s="18" t="s">
        <v>471</v>
      </c>
      <c r="G10" s="18" t="s">
        <v>472</v>
      </c>
      <c r="H10" s="18" t="s">
        <v>473</v>
      </c>
      <c r="I10" s="18" t="s">
        <v>474</v>
      </c>
      <c r="J10" s="18" t="s">
        <v>475</v>
      </c>
      <c r="K10" s="18" t="s">
        <v>476</v>
      </c>
      <c r="L10" s="18" t="s">
        <v>477</v>
      </c>
      <c r="M10" s="18" t="s">
        <v>478</v>
      </c>
      <c r="N10" s="18" t="s">
        <v>479</v>
      </c>
      <c r="O10" s="40"/>
      <c r="P10" s="40"/>
      <c r="Q10" s="40"/>
      <c r="R10" s="40"/>
      <c r="S10" s="40"/>
      <c r="T10" s="40"/>
      <c r="U10" s="40"/>
      <c r="V10" s="40"/>
      <c r="W10" s="40"/>
      <c r="X10" s="40"/>
      <c r="Y10" s="40"/>
      <c r="Z10" s="40"/>
      <c r="AA10" s="86"/>
      <c r="AB10" s="86"/>
      <c r="AC10" s="86"/>
      <c r="AD10" s="86"/>
      <c r="AE10" s="86"/>
      <c r="AF10" s="86"/>
      <c r="AG10" s="86"/>
      <c r="AH10" s="86"/>
      <c r="AI10" s="86"/>
      <c r="AJ10" s="102"/>
      <c r="AK10" s="86"/>
      <c r="AL10" s="86"/>
      <c r="AM10" s="86"/>
      <c r="AN10" s="86"/>
      <c r="AO10" s="86"/>
      <c r="AP10" s="86"/>
      <c r="AQ10" s="86"/>
      <c r="AR10" s="86"/>
    </row>
    <row r="11" spans="1:47" ht="16.5" customHeight="1" thickBot="1">
      <c r="A11" s="201" t="s">
        <v>296</v>
      </c>
      <c r="B11" s="202" t="s">
        <v>388</v>
      </c>
      <c r="C11" s="183"/>
      <c r="D11" s="183"/>
      <c r="E11" s="183"/>
      <c r="F11" s="183"/>
      <c r="G11" s="183"/>
      <c r="H11" s="183"/>
      <c r="I11" s="183"/>
      <c r="J11" s="183"/>
      <c r="K11" s="183"/>
      <c r="L11" s="183"/>
      <c r="M11" s="183"/>
      <c r="N11" s="183"/>
      <c r="O11" s="40"/>
      <c r="P11" s="40"/>
      <c r="Q11" s="40"/>
      <c r="R11" s="40"/>
      <c r="S11" s="40"/>
      <c r="T11" s="40"/>
      <c r="U11" s="40"/>
      <c r="V11" s="40"/>
      <c r="W11" s="40"/>
      <c r="X11" s="40"/>
      <c r="Y11" s="40"/>
      <c r="Z11" s="40"/>
      <c r="AA11" s="86"/>
      <c r="AB11" s="86"/>
      <c r="AC11" s="86"/>
      <c r="AD11" s="86"/>
      <c r="AE11" s="86"/>
      <c r="AF11" s="86"/>
      <c r="AG11" s="86"/>
      <c r="AH11" s="86"/>
      <c r="AI11" s="86"/>
      <c r="AJ11" s="86"/>
      <c r="AK11" s="86"/>
      <c r="AL11" s="86"/>
      <c r="AM11" s="86"/>
      <c r="AN11" s="86"/>
      <c r="AO11" s="86"/>
      <c r="AP11" s="86"/>
      <c r="AQ11" s="86"/>
      <c r="AR11" s="86"/>
    </row>
    <row r="12" spans="1:47" ht="16.5" customHeight="1" thickBot="1">
      <c r="A12" s="13" t="s">
        <v>297</v>
      </c>
      <c r="B12" s="202" t="s">
        <v>389</v>
      </c>
      <c r="C12" s="183"/>
      <c r="D12" s="183"/>
      <c r="E12" s="183"/>
      <c r="F12" s="183"/>
      <c r="G12" s="183"/>
      <c r="H12" s="183"/>
      <c r="I12" s="183"/>
      <c r="J12" s="183"/>
      <c r="K12" s="183"/>
      <c r="L12" s="183"/>
      <c r="M12" s="183"/>
      <c r="N12" s="183"/>
      <c r="O12" s="40"/>
      <c r="P12" s="40"/>
      <c r="Q12" s="40"/>
      <c r="R12" s="40"/>
      <c r="S12" s="40"/>
      <c r="T12" s="40"/>
      <c r="U12" s="40"/>
      <c r="V12" s="40"/>
      <c r="W12" s="40"/>
      <c r="X12" s="40"/>
      <c r="Y12" s="40"/>
      <c r="Z12" s="40"/>
      <c r="AA12" s="86"/>
      <c r="AB12" s="86"/>
      <c r="AC12" s="86"/>
      <c r="AD12" s="86"/>
      <c r="AE12" s="86"/>
      <c r="AF12" s="86"/>
      <c r="AG12" s="86"/>
      <c r="AH12" s="86"/>
      <c r="AI12" s="86"/>
      <c r="AJ12" s="86"/>
      <c r="AK12" s="86"/>
      <c r="AL12" s="86"/>
      <c r="AM12" s="86"/>
      <c r="AN12" s="86"/>
      <c r="AO12" s="86"/>
      <c r="AP12" s="86"/>
      <c r="AQ12" s="86"/>
      <c r="AR12" s="86"/>
    </row>
    <row r="13" spans="1:47" ht="20.25" customHeight="1" thickBot="1">
      <c r="A13" s="13" t="s">
        <v>298</v>
      </c>
      <c r="B13" s="202" t="s">
        <v>390</v>
      </c>
      <c r="C13" s="183"/>
      <c r="D13" s="183"/>
      <c r="E13" s="183"/>
      <c r="F13" s="183"/>
      <c r="G13" s="183"/>
      <c r="H13" s="183"/>
      <c r="I13" s="183"/>
      <c r="J13" s="183"/>
      <c r="K13" s="183"/>
      <c r="L13" s="183"/>
      <c r="M13" s="183"/>
      <c r="N13" s="183"/>
      <c r="O13" s="40"/>
      <c r="P13" s="40"/>
      <c r="Q13" s="40"/>
      <c r="R13" s="40"/>
      <c r="S13" s="40"/>
      <c r="T13" s="40"/>
      <c r="U13" s="40"/>
      <c r="V13" s="40"/>
      <c r="W13" s="40"/>
      <c r="X13" s="40"/>
      <c r="Y13" s="40"/>
      <c r="Z13" s="40"/>
      <c r="AA13" s="86"/>
      <c r="AB13" s="86"/>
      <c r="AC13" s="86"/>
      <c r="AD13" s="86"/>
      <c r="AE13" s="86"/>
      <c r="AF13" s="86"/>
      <c r="AG13" s="86"/>
      <c r="AH13" s="86"/>
      <c r="AI13" s="86"/>
      <c r="AJ13" s="86"/>
      <c r="AK13" s="86"/>
      <c r="AL13" s="86"/>
      <c r="AM13" s="86"/>
      <c r="AN13" s="86"/>
      <c r="AO13" s="86"/>
      <c r="AP13" s="86"/>
      <c r="AQ13" s="86"/>
      <c r="AR13" s="86"/>
    </row>
    <row r="14" spans="1:47" customFormat="1" ht="18.75" customHeight="1" thickBot="1">
      <c r="A14" s="13" t="s">
        <v>299</v>
      </c>
      <c r="B14" s="202"/>
      <c r="C14" s="183"/>
      <c r="D14" s="183"/>
      <c r="E14" s="183"/>
      <c r="F14" s="183"/>
      <c r="G14" s="183"/>
      <c r="H14" s="183"/>
      <c r="I14" s="183"/>
      <c r="J14" s="183"/>
      <c r="K14" s="183"/>
      <c r="L14" s="183"/>
      <c r="M14" s="183"/>
      <c r="N14" s="183"/>
      <c r="O14" s="40"/>
      <c r="P14" s="40"/>
      <c r="Q14" s="40"/>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7"/>
      <c r="AT14" s="7"/>
      <c r="AU14" s="7"/>
    </row>
    <row r="15" spans="1:47" customFormat="1" ht="18.75" hidden="1" customHeight="1" thickBot="1">
      <c r="A15" s="13" t="s">
        <v>300</v>
      </c>
      <c r="B15" s="202"/>
      <c r="C15" s="183"/>
      <c r="D15" s="183"/>
      <c r="E15" s="183"/>
      <c r="F15" s="183"/>
      <c r="G15" s="183"/>
      <c r="H15" s="183"/>
      <c r="I15" s="183"/>
      <c r="J15" s="183"/>
      <c r="K15" s="183"/>
      <c r="L15" s="183"/>
      <c r="M15" s="183"/>
      <c r="N15" s="183"/>
      <c r="O15" s="40"/>
      <c r="P15" s="40"/>
      <c r="Q15" s="40"/>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7"/>
      <c r="AT15" s="7"/>
      <c r="AU15" s="7"/>
    </row>
    <row r="16" spans="1:47" customFormat="1" ht="18.75" hidden="1" customHeight="1" thickBot="1">
      <c r="A16" s="13" t="s">
        <v>301</v>
      </c>
      <c r="B16" s="202"/>
      <c r="C16" s="183"/>
      <c r="D16" s="183"/>
      <c r="E16" s="183"/>
      <c r="F16" s="183"/>
      <c r="G16" s="183"/>
      <c r="H16" s="183"/>
      <c r="I16" s="183"/>
      <c r="J16" s="183"/>
      <c r="K16" s="183"/>
      <c r="L16" s="183"/>
      <c r="M16" s="183"/>
      <c r="N16" s="183"/>
      <c r="O16" s="40"/>
      <c r="P16" s="40"/>
      <c r="Q16" s="40"/>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7"/>
      <c r="AT16" s="7"/>
      <c r="AU16" s="7"/>
    </row>
    <row r="17" spans="1:47" customFormat="1" ht="18.75" hidden="1" customHeight="1" thickBot="1">
      <c r="A17" s="13" t="s">
        <v>302</v>
      </c>
      <c r="B17" s="202"/>
      <c r="C17" s="183"/>
      <c r="D17" s="183"/>
      <c r="E17" s="183"/>
      <c r="F17" s="183"/>
      <c r="G17" s="183"/>
      <c r="H17" s="183"/>
      <c r="I17" s="183"/>
      <c r="J17" s="183"/>
      <c r="K17" s="183"/>
      <c r="L17" s="183"/>
      <c r="M17" s="183"/>
      <c r="N17" s="183"/>
      <c r="O17" s="40"/>
      <c r="P17" s="40"/>
      <c r="Q17" s="40"/>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7"/>
      <c r="AT17" s="7"/>
      <c r="AU17" s="7"/>
    </row>
    <row r="18" spans="1:47" ht="13.5" thickBot="1">
      <c r="A18" s="56" t="s">
        <v>303</v>
      </c>
      <c r="B18" s="203" t="s">
        <v>391</v>
      </c>
      <c r="C18" s="204"/>
      <c r="D18" s="204"/>
      <c r="E18" s="204"/>
      <c r="F18" s="204"/>
      <c r="G18" s="204"/>
      <c r="H18" s="204"/>
      <c r="I18" s="204"/>
      <c r="J18" s="204"/>
      <c r="K18" s="204"/>
      <c r="L18" s="204"/>
      <c r="M18" s="204"/>
      <c r="N18" s="204"/>
      <c r="O18" s="40"/>
      <c r="P18" s="40"/>
      <c r="Q18" s="40"/>
      <c r="R18" s="40"/>
      <c r="S18" s="40"/>
      <c r="T18" s="40"/>
      <c r="U18" s="40"/>
      <c r="V18" s="40"/>
      <c r="W18" s="40"/>
      <c r="X18" s="40"/>
      <c r="Y18" s="40"/>
      <c r="Z18" s="40"/>
      <c r="AA18" s="86"/>
      <c r="AB18" s="86"/>
      <c r="AC18" s="86"/>
      <c r="AD18" s="86"/>
      <c r="AE18" s="86"/>
      <c r="AF18" s="86"/>
      <c r="AG18" s="86"/>
      <c r="AH18" s="86"/>
      <c r="AI18" s="86"/>
      <c r="AJ18" s="86"/>
      <c r="AK18" s="86"/>
      <c r="AL18" s="86"/>
      <c r="AM18" s="86"/>
      <c r="AN18" s="86"/>
      <c r="AO18" s="86"/>
      <c r="AP18" s="86"/>
      <c r="AQ18" s="86"/>
      <c r="AR18" s="86"/>
    </row>
    <row r="19" spans="1:47" ht="16.5" customHeight="1" thickBot="1">
      <c r="A19" s="13" t="s">
        <v>304</v>
      </c>
      <c r="B19" s="202" t="s">
        <v>392</v>
      </c>
      <c r="C19" s="183"/>
      <c r="D19" s="183"/>
      <c r="E19" s="183"/>
      <c r="F19" s="183"/>
      <c r="G19" s="183"/>
      <c r="H19" s="183"/>
      <c r="I19" s="183"/>
      <c r="J19" s="183"/>
      <c r="K19" s="183"/>
      <c r="L19" s="183"/>
      <c r="M19" s="183"/>
      <c r="N19" s="183"/>
      <c r="O19" s="40"/>
      <c r="P19" s="40"/>
      <c r="Q19" s="40"/>
      <c r="R19" s="40"/>
      <c r="S19" s="40"/>
      <c r="T19" s="40"/>
      <c r="U19" s="40"/>
      <c r="V19" s="40"/>
      <c r="W19" s="40"/>
      <c r="X19" s="40"/>
      <c r="Y19" s="40"/>
      <c r="Z19" s="40"/>
      <c r="AA19" s="86"/>
      <c r="AB19" s="86"/>
      <c r="AC19" s="86"/>
      <c r="AD19" s="86"/>
      <c r="AE19" s="86"/>
      <c r="AF19" s="86"/>
      <c r="AG19" s="86"/>
      <c r="AH19" s="86"/>
      <c r="AI19" s="86"/>
      <c r="AJ19" s="86"/>
      <c r="AK19" s="86"/>
      <c r="AL19" s="86"/>
      <c r="AM19" s="86"/>
      <c r="AN19" s="86"/>
      <c r="AO19" s="86"/>
      <c r="AP19" s="86"/>
      <c r="AQ19" s="86"/>
      <c r="AR19" s="86"/>
    </row>
    <row r="20" spans="1:47" ht="16.5" customHeight="1" thickBot="1">
      <c r="A20" s="13" t="s">
        <v>305</v>
      </c>
      <c r="B20" s="202" t="s">
        <v>393</v>
      </c>
      <c r="C20" s="183"/>
      <c r="D20" s="183"/>
      <c r="E20" s="183"/>
      <c r="F20" s="183"/>
      <c r="G20" s="183"/>
      <c r="H20" s="183"/>
      <c r="I20" s="183"/>
      <c r="J20" s="183"/>
      <c r="K20" s="183"/>
      <c r="L20" s="183"/>
      <c r="M20" s="183"/>
      <c r="N20" s="183"/>
      <c r="O20" s="40"/>
      <c r="P20" s="40"/>
      <c r="Q20" s="40"/>
      <c r="R20" s="40"/>
      <c r="S20" s="40"/>
      <c r="T20" s="40"/>
      <c r="U20" s="40"/>
      <c r="V20" s="40"/>
      <c r="W20" s="40"/>
      <c r="X20" s="40"/>
      <c r="Y20" s="40"/>
      <c r="Z20" s="40"/>
      <c r="AA20" s="86"/>
      <c r="AB20" s="86"/>
      <c r="AC20" s="86"/>
      <c r="AD20" s="86"/>
      <c r="AE20" s="86"/>
      <c r="AF20" s="86"/>
      <c r="AG20" s="86"/>
      <c r="AH20" s="86"/>
      <c r="AI20" s="86"/>
      <c r="AJ20" s="86"/>
      <c r="AK20" s="86"/>
      <c r="AL20" s="86"/>
      <c r="AM20" s="86"/>
      <c r="AN20" s="86"/>
      <c r="AO20" s="86"/>
      <c r="AP20" s="86"/>
      <c r="AQ20" s="86"/>
      <c r="AR20" s="86"/>
    </row>
    <row r="21" spans="1:47" ht="16.5" customHeight="1" thickBot="1">
      <c r="A21" s="13" t="s">
        <v>306</v>
      </c>
      <c r="B21" s="202" t="s">
        <v>394</v>
      </c>
      <c r="C21" s="183"/>
      <c r="D21" s="183"/>
      <c r="E21" s="183"/>
      <c r="F21" s="183"/>
      <c r="G21" s="183"/>
      <c r="H21" s="183"/>
      <c r="I21" s="183"/>
      <c r="J21" s="183"/>
      <c r="K21" s="183"/>
      <c r="L21" s="183"/>
      <c r="M21" s="183"/>
      <c r="N21" s="183"/>
      <c r="O21" s="40"/>
      <c r="P21" s="40"/>
      <c r="Q21" s="40"/>
      <c r="R21" s="40"/>
      <c r="S21" s="40"/>
      <c r="T21" s="40"/>
      <c r="U21" s="40"/>
      <c r="V21" s="40"/>
      <c r="W21" s="40"/>
      <c r="X21" s="40"/>
      <c r="Y21" s="40"/>
      <c r="Z21" s="40"/>
      <c r="AA21" s="86"/>
      <c r="AB21" s="86"/>
      <c r="AC21" s="86"/>
      <c r="AD21" s="86"/>
      <c r="AE21" s="86"/>
      <c r="AF21" s="86"/>
      <c r="AG21" s="86"/>
      <c r="AH21" s="86"/>
      <c r="AI21" s="86"/>
      <c r="AJ21" s="86"/>
      <c r="AK21" s="86"/>
      <c r="AL21" s="86"/>
      <c r="AM21" s="86"/>
      <c r="AN21" s="86"/>
      <c r="AO21" s="86"/>
      <c r="AP21" s="86"/>
      <c r="AQ21" s="86"/>
      <c r="AR21" s="86"/>
    </row>
    <row r="22" spans="1:47" ht="16.5" customHeight="1" thickBot="1">
      <c r="A22" s="13" t="s">
        <v>307</v>
      </c>
      <c r="B22" s="202" t="s">
        <v>395</v>
      </c>
      <c r="C22" s="183"/>
      <c r="D22" s="183"/>
      <c r="E22" s="183"/>
      <c r="F22" s="183"/>
      <c r="G22" s="183"/>
      <c r="H22" s="183"/>
      <c r="I22" s="183"/>
      <c r="J22" s="183"/>
      <c r="K22" s="183"/>
      <c r="L22" s="183"/>
      <c r="M22" s="183"/>
      <c r="N22" s="183"/>
      <c r="O22" s="40"/>
      <c r="P22" s="40"/>
      <c r="Q22" s="40"/>
      <c r="R22" s="40"/>
      <c r="S22" s="40"/>
      <c r="T22" s="40"/>
      <c r="U22" s="40"/>
      <c r="V22" s="40"/>
      <c r="W22" s="40"/>
      <c r="X22" s="40"/>
      <c r="Y22" s="40"/>
      <c r="Z22" s="40"/>
      <c r="AA22" s="86"/>
      <c r="AB22" s="86"/>
      <c r="AC22" s="86"/>
      <c r="AD22" s="86"/>
      <c r="AE22" s="86"/>
      <c r="AF22" s="86"/>
      <c r="AG22" s="86"/>
      <c r="AH22" s="86"/>
      <c r="AI22" s="86"/>
      <c r="AJ22" s="86"/>
      <c r="AK22" s="86"/>
      <c r="AL22" s="86"/>
      <c r="AM22" s="86"/>
      <c r="AN22" s="86"/>
      <c r="AO22" s="86"/>
      <c r="AP22" s="86"/>
      <c r="AQ22" s="86"/>
      <c r="AR22" s="86"/>
    </row>
    <row r="23" spans="1:47" ht="16.5" customHeight="1" thickBot="1">
      <c r="A23" s="13" t="s">
        <v>308</v>
      </c>
      <c r="B23" s="202" t="s">
        <v>396</v>
      </c>
      <c r="C23" s="183"/>
      <c r="D23" s="183"/>
      <c r="E23" s="183"/>
      <c r="F23" s="183"/>
      <c r="G23" s="183"/>
      <c r="H23" s="183"/>
      <c r="I23" s="183"/>
      <c r="J23" s="183"/>
      <c r="K23" s="183"/>
      <c r="L23" s="183"/>
      <c r="M23" s="183"/>
      <c r="N23" s="183"/>
      <c r="O23" s="40"/>
      <c r="P23" s="40"/>
      <c r="Q23" s="40"/>
      <c r="R23" s="40"/>
      <c r="S23" s="40"/>
      <c r="T23" s="40"/>
      <c r="U23" s="40"/>
      <c r="V23" s="40"/>
      <c r="W23" s="40"/>
      <c r="X23" s="40"/>
      <c r="Y23" s="40"/>
      <c r="Z23" s="40"/>
      <c r="AA23" s="86"/>
      <c r="AB23" s="86"/>
      <c r="AC23" s="86"/>
      <c r="AD23" s="86"/>
      <c r="AE23" s="86"/>
      <c r="AF23" s="86"/>
      <c r="AG23" s="86"/>
      <c r="AH23" s="86"/>
      <c r="AI23" s="86"/>
      <c r="AJ23" s="86"/>
      <c r="AK23" s="86"/>
      <c r="AL23" s="86"/>
      <c r="AM23" s="86"/>
      <c r="AN23" s="86"/>
      <c r="AO23" s="86"/>
      <c r="AP23" s="86"/>
      <c r="AQ23" s="86"/>
      <c r="AR23" s="86"/>
    </row>
    <row r="24" spans="1:47" ht="16.5" customHeight="1" thickBot="1">
      <c r="A24" s="13" t="s">
        <v>309</v>
      </c>
      <c r="B24" s="202" t="s">
        <v>397</v>
      </c>
      <c r="C24" s="183"/>
      <c r="D24" s="183"/>
      <c r="E24" s="183"/>
      <c r="F24" s="183"/>
      <c r="G24" s="183"/>
      <c r="H24" s="183"/>
      <c r="I24" s="183"/>
      <c r="J24" s="183"/>
      <c r="K24" s="183"/>
      <c r="L24" s="183"/>
      <c r="M24" s="183"/>
      <c r="N24" s="183"/>
      <c r="O24" s="40"/>
      <c r="P24" s="40"/>
      <c r="Q24" s="40"/>
      <c r="R24" s="40"/>
      <c r="S24" s="40"/>
      <c r="T24" s="40"/>
      <c r="U24" s="40"/>
      <c r="V24" s="40"/>
      <c r="W24" s="40"/>
      <c r="X24" s="40"/>
      <c r="Y24" s="40"/>
      <c r="Z24" s="40"/>
      <c r="AA24" s="86"/>
      <c r="AB24" s="86"/>
      <c r="AC24" s="86"/>
      <c r="AD24" s="86"/>
      <c r="AE24" s="86"/>
      <c r="AF24" s="86"/>
      <c r="AG24" s="86"/>
      <c r="AH24" s="86"/>
      <c r="AI24" s="86"/>
      <c r="AJ24" s="86"/>
      <c r="AK24" s="86"/>
      <c r="AL24" s="86"/>
      <c r="AM24" s="86"/>
      <c r="AN24" s="86"/>
      <c r="AO24" s="86"/>
      <c r="AP24" s="86"/>
      <c r="AQ24" s="86"/>
      <c r="AR24" s="86"/>
    </row>
    <row r="25" spans="1:47" ht="16.5" customHeight="1" thickBot="1">
      <c r="A25" s="13" t="s">
        <v>310</v>
      </c>
      <c r="B25" s="202" t="s">
        <v>398</v>
      </c>
      <c r="C25" s="183"/>
      <c r="D25" s="183"/>
      <c r="E25" s="183"/>
      <c r="F25" s="183"/>
      <c r="G25" s="183"/>
      <c r="H25" s="183"/>
      <c r="I25" s="183"/>
      <c r="J25" s="183"/>
      <c r="K25" s="183"/>
      <c r="L25" s="183"/>
      <c r="M25" s="183"/>
      <c r="N25" s="183"/>
      <c r="O25" s="40"/>
      <c r="P25" s="40"/>
      <c r="Q25" s="40"/>
      <c r="R25" s="40"/>
      <c r="S25" s="40"/>
      <c r="T25" s="40"/>
      <c r="U25" s="40"/>
      <c r="V25" s="40"/>
      <c r="W25" s="40"/>
      <c r="X25" s="40"/>
      <c r="Y25" s="40"/>
      <c r="Z25" s="40"/>
      <c r="AA25" s="86"/>
      <c r="AB25" s="86"/>
      <c r="AC25" s="86"/>
      <c r="AD25" s="86"/>
      <c r="AE25" s="86"/>
      <c r="AF25" s="86"/>
      <c r="AG25" s="86"/>
      <c r="AH25" s="86"/>
      <c r="AI25" s="86"/>
      <c r="AJ25" s="86"/>
      <c r="AK25" s="86"/>
      <c r="AL25" s="86"/>
      <c r="AM25" s="86"/>
      <c r="AN25" s="86"/>
      <c r="AO25" s="86"/>
      <c r="AP25" s="86"/>
      <c r="AQ25" s="86"/>
      <c r="AR25" s="86"/>
    </row>
    <row r="26" spans="1:47" ht="16.5" customHeight="1" thickBot="1">
      <c r="A26" s="13" t="s">
        <v>311</v>
      </c>
      <c r="B26" s="202" t="s">
        <v>399</v>
      </c>
      <c r="C26" s="183"/>
      <c r="D26" s="183"/>
      <c r="E26" s="183"/>
      <c r="F26" s="183"/>
      <c r="G26" s="183"/>
      <c r="H26" s="183"/>
      <c r="I26" s="183"/>
      <c r="J26" s="183"/>
      <c r="K26" s="183"/>
      <c r="L26" s="183"/>
      <c r="M26" s="183"/>
      <c r="N26" s="183"/>
      <c r="O26" s="40"/>
      <c r="P26" s="40"/>
      <c r="Q26" s="40"/>
      <c r="R26" s="40"/>
      <c r="S26" s="40"/>
      <c r="T26" s="40"/>
      <c r="U26" s="40"/>
      <c r="V26" s="40"/>
      <c r="W26" s="40"/>
      <c r="X26" s="40"/>
      <c r="Y26" s="40"/>
      <c r="Z26" s="40"/>
      <c r="AA26" s="86"/>
      <c r="AB26" s="86"/>
      <c r="AC26" s="86"/>
      <c r="AD26" s="86"/>
      <c r="AE26" s="86"/>
      <c r="AF26" s="86"/>
      <c r="AG26" s="86"/>
      <c r="AH26" s="86"/>
      <c r="AI26" s="86"/>
      <c r="AJ26" s="86"/>
      <c r="AK26" s="86"/>
      <c r="AL26" s="86"/>
      <c r="AM26" s="86"/>
      <c r="AN26" s="86"/>
      <c r="AO26" s="86"/>
      <c r="AP26" s="86"/>
      <c r="AQ26" s="86"/>
      <c r="AR26" s="86"/>
    </row>
    <row r="27" spans="1:47" ht="16.5" customHeight="1" thickBot="1">
      <c r="A27" s="13" t="s">
        <v>312</v>
      </c>
      <c r="B27" s="202" t="s">
        <v>400</v>
      </c>
      <c r="C27" s="183"/>
      <c r="D27" s="183"/>
      <c r="E27" s="183"/>
      <c r="F27" s="183"/>
      <c r="G27" s="183"/>
      <c r="H27" s="183"/>
      <c r="I27" s="183"/>
      <c r="J27" s="183"/>
      <c r="K27" s="183"/>
      <c r="L27" s="183"/>
      <c r="M27" s="183"/>
      <c r="N27" s="183"/>
      <c r="O27" s="40"/>
      <c r="P27" s="40"/>
      <c r="Q27" s="40"/>
      <c r="R27" s="40"/>
      <c r="S27" s="40"/>
      <c r="T27" s="40"/>
      <c r="U27" s="40"/>
      <c r="V27" s="40"/>
      <c r="W27" s="40"/>
      <c r="X27" s="40"/>
      <c r="Y27" s="40"/>
      <c r="Z27" s="40"/>
      <c r="AA27" s="86"/>
      <c r="AB27" s="86"/>
      <c r="AC27" s="86"/>
      <c r="AD27" s="86"/>
      <c r="AE27" s="86"/>
      <c r="AF27" s="86"/>
      <c r="AG27" s="86"/>
      <c r="AH27" s="86"/>
      <c r="AI27" s="86"/>
      <c r="AJ27" s="86"/>
      <c r="AK27" s="86"/>
      <c r="AL27" s="86"/>
      <c r="AM27" s="86"/>
      <c r="AN27" s="86"/>
      <c r="AO27" s="86"/>
      <c r="AP27" s="86"/>
      <c r="AQ27" s="86"/>
      <c r="AR27" s="86"/>
    </row>
    <row r="28" spans="1:47" ht="16.5" customHeight="1" thickBot="1">
      <c r="A28" s="13" t="s">
        <v>313</v>
      </c>
      <c r="B28" s="202" t="s">
        <v>401</v>
      </c>
      <c r="C28" s="183"/>
      <c r="D28" s="183"/>
      <c r="E28" s="183"/>
      <c r="F28" s="183"/>
      <c r="G28" s="183"/>
      <c r="H28" s="183"/>
      <c r="I28" s="183"/>
      <c r="J28" s="183"/>
      <c r="K28" s="183"/>
      <c r="L28" s="183"/>
      <c r="M28" s="183"/>
      <c r="N28" s="183"/>
      <c r="O28" s="40"/>
      <c r="P28" s="40"/>
      <c r="Q28" s="40"/>
      <c r="R28" s="40"/>
      <c r="S28" s="40"/>
      <c r="T28" s="40"/>
      <c r="U28" s="40"/>
      <c r="V28" s="40"/>
      <c r="W28" s="40"/>
      <c r="X28" s="40"/>
      <c r="Y28" s="40"/>
      <c r="Z28" s="40"/>
      <c r="AA28" s="86"/>
      <c r="AB28" s="86"/>
      <c r="AC28" s="86"/>
      <c r="AD28" s="86"/>
      <c r="AE28" s="86"/>
      <c r="AF28" s="86"/>
      <c r="AG28" s="86"/>
      <c r="AH28" s="86"/>
      <c r="AI28" s="86"/>
      <c r="AJ28" s="86"/>
      <c r="AK28" s="86"/>
      <c r="AL28" s="86"/>
      <c r="AM28" s="86"/>
      <c r="AN28" s="86"/>
      <c r="AO28" s="86"/>
      <c r="AP28" s="86"/>
      <c r="AQ28" s="86"/>
      <c r="AR28" s="86"/>
    </row>
    <row r="29" spans="1:47"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86"/>
      <c r="AB29" s="86"/>
      <c r="AC29" s="86"/>
      <c r="AD29" s="86"/>
      <c r="AE29" s="86"/>
      <c r="AF29" s="86"/>
      <c r="AG29" s="86"/>
      <c r="AH29" s="86"/>
      <c r="AI29" s="86"/>
      <c r="AJ29" s="86"/>
      <c r="AK29" s="86"/>
      <c r="AL29" s="86"/>
      <c r="AM29" s="86"/>
      <c r="AN29" s="86"/>
      <c r="AO29" s="86"/>
      <c r="AP29" s="86"/>
      <c r="AQ29" s="86"/>
      <c r="AR29" s="86"/>
    </row>
    <row r="30" spans="1:47"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86"/>
      <c r="AB30" s="86"/>
      <c r="AC30" s="86"/>
      <c r="AD30" s="86"/>
      <c r="AE30" s="86"/>
      <c r="AF30" s="86"/>
      <c r="AG30" s="86"/>
      <c r="AH30" s="86"/>
      <c r="AI30" s="86"/>
      <c r="AJ30" s="86"/>
      <c r="AK30" s="86"/>
      <c r="AL30" s="86"/>
      <c r="AM30" s="86"/>
      <c r="AN30" s="86"/>
      <c r="AO30" s="86"/>
      <c r="AP30" s="86"/>
      <c r="AQ30" s="86"/>
      <c r="AR30" s="86"/>
    </row>
    <row r="31" spans="1:47"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86"/>
      <c r="AB31" s="86"/>
      <c r="AC31" s="86"/>
      <c r="AD31" s="86"/>
      <c r="AE31" s="86"/>
      <c r="AF31" s="86"/>
      <c r="AG31" s="86"/>
      <c r="AH31" s="86"/>
      <c r="AI31" s="86"/>
      <c r="AJ31" s="86"/>
      <c r="AK31" s="86"/>
      <c r="AL31" s="86"/>
      <c r="AM31" s="86"/>
      <c r="AN31" s="86"/>
      <c r="AO31" s="86"/>
      <c r="AP31" s="86"/>
      <c r="AQ31" s="86"/>
      <c r="AR31" s="86"/>
    </row>
    <row r="32" spans="1:47" ht="16.5" customHeight="1" thickBot="1">
      <c r="A32" s="20" t="s">
        <v>317</v>
      </c>
      <c r="B32" s="202"/>
      <c r="C32" s="108">
        <f>SUM(C11:C31)</f>
        <v>0</v>
      </c>
      <c r="D32" s="108">
        <f>SUM(D11:D31)</f>
        <v>0</v>
      </c>
      <c r="E32" s="108">
        <f t="shared" ref="E32:N32" si="0">SUM(E11:E31)</f>
        <v>0</v>
      </c>
      <c r="F32" s="108">
        <f t="shared" si="0"/>
        <v>0</v>
      </c>
      <c r="G32" s="108">
        <f t="shared" si="0"/>
        <v>0</v>
      </c>
      <c r="H32" s="108">
        <f t="shared" si="0"/>
        <v>0</v>
      </c>
      <c r="I32" s="108">
        <f t="shared" si="0"/>
        <v>0</v>
      </c>
      <c r="J32" s="108">
        <f t="shared" si="0"/>
        <v>0</v>
      </c>
      <c r="K32" s="108">
        <f t="shared" si="0"/>
        <v>0</v>
      </c>
      <c r="L32" s="108">
        <f t="shared" si="0"/>
        <v>0</v>
      </c>
      <c r="M32" s="108">
        <f t="shared" si="0"/>
        <v>0</v>
      </c>
      <c r="N32" s="108">
        <f t="shared" si="0"/>
        <v>0</v>
      </c>
      <c r="O32" s="40"/>
      <c r="P32" s="40"/>
      <c r="Q32" s="40"/>
      <c r="R32" s="40"/>
      <c r="S32" s="40"/>
      <c r="T32" s="40"/>
      <c r="U32" s="40"/>
      <c r="V32" s="40"/>
      <c r="W32" s="40"/>
      <c r="X32" s="40"/>
      <c r="Y32" s="40"/>
      <c r="Z32" s="40"/>
      <c r="AA32" s="86"/>
      <c r="AB32" s="86"/>
      <c r="AC32" s="86"/>
      <c r="AD32" s="86"/>
      <c r="AE32" s="86"/>
      <c r="AF32" s="86"/>
      <c r="AG32" s="86"/>
      <c r="AH32" s="86"/>
      <c r="AI32" s="86"/>
      <c r="AJ32" s="86"/>
      <c r="AK32" s="86"/>
      <c r="AL32" s="86"/>
      <c r="AM32" s="86"/>
      <c r="AN32" s="86"/>
      <c r="AO32" s="86"/>
      <c r="AP32" s="86"/>
      <c r="AQ32" s="86"/>
      <c r="AR32" s="86"/>
    </row>
    <row r="33" spans="1:44" ht="6"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F33" s="86"/>
      <c r="AG33" s="86"/>
      <c r="AH33" s="86"/>
      <c r="AI33" s="86"/>
      <c r="AJ33" s="86"/>
      <c r="AK33" s="86"/>
      <c r="AL33" s="86"/>
      <c r="AM33" s="86"/>
      <c r="AN33" s="86"/>
      <c r="AO33" s="86"/>
      <c r="AP33" s="86"/>
      <c r="AQ33" s="86"/>
      <c r="AR33" s="86"/>
    </row>
    <row r="34" spans="1:44" ht="21.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row>
    <row r="35" spans="1:44" ht="25.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row>
    <row r="36" spans="1:44" ht="15" customHeight="1" thickBot="1">
      <c r="A36" s="100"/>
      <c r="B36" s="100"/>
      <c r="C36" s="109"/>
      <c r="D36" s="109"/>
      <c r="E36" s="109"/>
      <c r="F36" s="109"/>
      <c r="G36" s="109"/>
      <c r="H36" s="109"/>
      <c r="I36" s="109"/>
      <c r="J36" s="109"/>
      <c r="K36" s="109"/>
      <c r="L36" s="109"/>
      <c r="M36" s="109"/>
      <c r="N36" s="109"/>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row>
    <row r="37" spans="1:44" ht="16.5" customHeight="1" thickBot="1">
      <c r="A37" s="188"/>
      <c r="B37" s="85"/>
      <c r="C37" s="15" t="s">
        <v>336</v>
      </c>
      <c r="D37" s="85"/>
      <c r="E37" s="85"/>
      <c r="F37" s="85"/>
      <c r="G37" s="85"/>
      <c r="H37" s="85"/>
      <c r="I37" s="85"/>
      <c r="J37" s="85"/>
      <c r="K37" s="85"/>
      <c r="L37" s="85"/>
      <c r="M37" s="85"/>
      <c r="N37" s="1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row>
    <row r="38" spans="1:44" ht="63" customHeight="1" thickBot="1">
      <c r="A38" s="188"/>
      <c r="B38" s="202"/>
      <c r="C38" s="245"/>
      <c r="D38" s="246"/>
      <c r="E38" s="246"/>
      <c r="F38" s="246"/>
      <c r="G38" s="246"/>
      <c r="H38" s="246"/>
      <c r="I38" s="246"/>
      <c r="J38" s="246"/>
      <c r="K38" s="246"/>
      <c r="L38" s="246"/>
      <c r="M38" s="246"/>
      <c r="N38" s="247"/>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row>
    <row r="39" spans="1:44"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row>
    <row r="40" spans="1:44"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row>
    <row r="41" spans="1:44"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row>
    <row r="42" spans="1:44"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row>
    <row r="43" spans="1:44"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row>
    <row r="44" spans="1:44"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row>
    <row r="45" spans="1:44"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row>
    <row r="46" spans="1:44"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row>
    <row r="47" spans="1:44"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row>
    <row r="48" spans="1:44"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row>
    <row r="49" spans="1:44"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row>
    <row r="50" spans="1:44"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row>
    <row r="51" spans="1:44"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row>
    <row r="52" spans="1:44"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row>
    <row r="53" spans="1:44"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row>
    <row r="54" spans="1:44"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row>
    <row r="55" spans="1:44"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row>
    <row r="56" spans="1:44"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row>
    <row r="57" spans="1:44"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row>
    <row r="58" spans="1:44"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row>
    <row r="59" spans="1:44"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row>
    <row r="60" spans="1:44"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row>
    <row r="61" spans="1:44"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row>
    <row r="62" spans="1:44"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row>
    <row r="63" spans="1:44"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row>
    <row r="64" spans="1:44"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row>
    <row r="65" spans="1:44"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row>
    <row r="66" spans="1:44"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row>
    <row r="67" spans="1:44"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row>
    <row r="68" spans="1:44"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row>
    <row r="69" spans="1:44"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row>
    <row r="70" spans="1:44" ht="26.25"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row>
    <row r="71" spans="1:44" ht="26.25"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row>
    <row r="72" spans="1:44" ht="26.25"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row>
    <row r="73" spans="1:44" ht="26.25"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row>
    <row r="74" spans="1:44" ht="26.25"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row>
  </sheetData>
  <customSheetViews>
    <customSheetView guid="{C0288C5C-A803-495F-B0CA-42FBBD5677AA}" scale="85" showPageBreaks="1" showGridLines="0" printArea="1" showRuler="0">
      <pane xSplit="1" ySplit="1" topLeftCell="B2" activePane="bottomRight" state="frozen"/>
      <selection pane="bottomRight" activeCell="E33" sqref="E33"/>
      <rowBreaks count="1" manualBreakCount="1">
        <brk id="23" max="12" man="1"/>
      </rowBreaks>
      <pageMargins left="0" right="0" top="0" bottom="0" header="0" footer="0"/>
      <pageSetup paperSize="9" scale="74" fitToHeight="2" orientation="landscape" r:id="rId1"/>
      <headerFooter alignWithMargins="0">
        <oddHeader>&amp;LAnnual Returns 2010-11&amp;RFS8b -  Number of prosecutions (acquittals)</oddHeader>
      </headerFooter>
    </customSheetView>
  </customSheetViews>
  <mergeCells count="5">
    <mergeCell ref="D3:N4"/>
    <mergeCell ref="C38:N38"/>
    <mergeCell ref="A6:N6"/>
    <mergeCell ref="A8:N8"/>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56816D47-7537-48E5-AAA3-D6D1B1A2EE4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OFFICIAL&amp;1#_x000D_&amp;RFS8b -  Number of prosecutions - convictions  (continued)&amp;LAnnual Returns 2016-17</oddHeader>
    <oddFooter>&amp;C_x000D_&amp;1#&amp;"Aptos"&amp;10&amp;K000000 OFFICIAL</oddFooter>
  </headerFooter>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2"/>
  <dimension ref="A1:AV88"/>
  <sheetViews>
    <sheetView zoomScale="70" zoomScaleNormal="70" workbookViewId="0">
      <selection activeCell="A15" sqref="A15:XFD17"/>
    </sheetView>
  </sheetViews>
  <sheetFormatPr defaultColWidth="34.140625" defaultRowHeight="26.25" customHeight="1"/>
  <cols>
    <col min="1" max="1" width="37.140625" style="3" customWidth="1"/>
    <col min="2" max="2" width="36.140625" style="3" hidden="1" customWidth="1"/>
    <col min="3" max="14" width="17.140625" style="7" customWidth="1"/>
    <col min="15" max="72" width="11.42578125" style="7" customWidth="1"/>
    <col min="73" max="16384" width="34.140625" style="7"/>
  </cols>
  <sheetData>
    <row r="1" spans="1:48"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row>
    <row r="2" spans="1:48"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row>
    <row r="3" spans="1:48" ht="29.25" customHeight="1">
      <c r="A3" s="86"/>
      <c r="B3" s="86"/>
      <c r="C3" s="86"/>
      <c r="D3" s="248" t="str">
        <f>Cover!A10</f>
        <v>Shropshire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row>
    <row r="4" spans="1:48"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row>
    <row r="5" spans="1:48"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row>
    <row r="6" spans="1:48" ht="18" customHeight="1" thickBot="1">
      <c r="A6" s="254" t="s">
        <v>480</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row>
    <row r="7" spans="1:48" ht="39"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F7" s="86"/>
      <c r="AG7" s="86"/>
      <c r="AH7" s="86"/>
      <c r="AI7" s="86"/>
      <c r="AJ7" s="101"/>
      <c r="AK7" s="86"/>
      <c r="AL7" s="86"/>
      <c r="AM7" s="86"/>
      <c r="AN7" s="86"/>
      <c r="AO7" s="86"/>
      <c r="AP7" s="86"/>
      <c r="AQ7" s="86"/>
      <c r="AR7" s="86"/>
      <c r="AS7" s="86"/>
      <c r="AT7" s="86"/>
      <c r="AU7" s="86"/>
      <c r="AV7" s="86"/>
    </row>
    <row r="8" spans="1:48" ht="16.5" customHeight="1" thickBot="1">
      <c r="A8" s="260" t="s">
        <v>481</v>
      </c>
      <c r="B8" s="261"/>
      <c r="C8" s="261"/>
      <c r="D8" s="261"/>
      <c r="E8" s="261"/>
      <c r="F8" s="261"/>
      <c r="G8" s="261"/>
      <c r="H8" s="261"/>
      <c r="I8" s="261"/>
      <c r="J8" s="261"/>
      <c r="K8" s="261"/>
      <c r="L8" s="261"/>
      <c r="M8" s="261"/>
      <c r="N8" s="262"/>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row>
    <row r="9" spans="1:48" ht="93" customHeight="1" thickBot="1">
      <c r="A9" s="17"/>
      <c r="C9" s="213" t="s">
        <v>364</v>
      </c>
      <c r="D9" s="213" t="s">
        <v>365</v>
      </c>
      <c r="E9" s="213" t="s">
        <v>366</v>
      </c>
      <c r="F9" s="213" t="s">
        <v>367</v>
      </c>
      <c r="G9" s="213" t="s">
        <v>368</v>
      </c>
      <c r="H9" s="213" t="s">
        <v>369</v>
      </c>
      <c r="I9" s="213" t="s">
        <v>370</v>
      </c>
      <c r="J9" s="213" t="s">
        <v>371</v>
      </c>
      <c r="K9" s="213" t="s">
        <v>372</v>
      </c>
      <c r="L9" s="213" t="s">
        <v>373</v>
      </c>
      <c r="M9" s="213" t="s">
        <v>374</v>
      </c>
      <c r="N9" s="213" t="s">
        <v>375</v>
      </c>
      <c r="O9" s="40"/>
      <c r="P9" s="40"/>
      <c r="Q9" s="40"/>
      <c r="R9" s="40"/>
      <c r="S9" s="40"/>
      <c r="T9" s="40"/>
      <c r="U9" s="40"/>
      <c r="V9" s="40"/>
      <c r="W9" s="40"/>
      <c r="X9" s="40"/>
      <c r="Y9" s="40"/>
      <c r="Z9" s="40"/>
      <c r="AA9" s="86"/>
      <c r="AB9" s="86"/>
      <c r="AC9" s="86"/>
      <c r="AD9" s="86"/>
      <c r="AE9" s="86"/>
      <c r="AF9" s="86"/>
      <c r="AG9" s="86"/>
      <c r="AH9" s="86"/>
      <c r="AI9" s="86"/>
      <c r="AJ9" s="102"/>
      <c r="AK9" s="86"/>
      <c r="AL9" s="86"/>
      <c r="AM9" s="86"/>
      <c r="AN9" s="86"/>
      <c r="AO9" s="86"/>
      <c r="AP9" s="86"/>
      <c r="AQ9" s="86"/>
      <c r="AR9" s="86"/>
      <c r="AS9" s="86"/>
      <c r="AT9" s="86"/>
      <c r="AU9" s="86"/>
      <c r="AV9" s="86"/>
    </row>
    <row r="10" spans="1:48" ht="12.75" hidden="1">
      <c r="C10" s="29" t="s">
        <v>482</v>
      </c>
      <c r="D10" s="29" t="s">
        <v>483</v>
      </c>
      <c r="E10" s="29" t="s">
        <v>484</v>
      </c>
      <c r="F10" s="29" t="s">
        <v>485</v>
      </c>
      <c r="G10" s="29" t="s">
        <v>486</v>
      </c>
      <c r="H10" s="29" t="s">
        <v>487</v>
      </c>
      <c r="I10" s="29" t="s">
        <v>488</v>
      </c>
      <c r="J10" s="29" t="s">
        <v>489</v>
      </c>
      <c r="K10" s="29" t="s">
        <v>490</v>
      </c>
      <c r="L10" s="29" t="s">
        <v>491</v>
      </c>
      <c r="M10" s="29" t="s">
        <v>492</v>
      </c>
      <c r="N10" s="29" t="s">
        <v>493</v>
      </c>
      <c r="O10" s="40"/>
      <c r="P10" s="40"/>
      <c r="Q10" s="40"/>
      <c r="R10" s="40"/>
      <c r="S10" s="40"/>
      <c r="T10" s="40"/>
      <c r="U10" s="40"/>
      <c r="V10" s="40"/>
      <c r="W10" s="40"/>
      <c r="X10" s="40"/>
      <c r="Y10" s="40"/>
      <c r="Z10" s="40"/>
      <c r="AA10" s="86"/>
      <c r="AB10" s="86"/>
      <c r="AC10" s="86"/>
      <c r="AD10" s="86"/>
      <c r="AE10" s="86"/>
      <c r="AF10" s="86"/>
      <c r="AG10" s="86"/>
      <c r="AH10" s="86"/>
      <c r="AI10" s="86"/>
      <c r="AJ10" s="102"/>
      <c r="AK10" s="86"/>
      <c r="AL10" s="86"/>
      <c r="AM10" s="86"/>
      <c r="AN10" s="86"/>
      <c r="AO10" s="86"/>
      <c r="AP10" s="86"/>
      <c r="AQ10" s="86"/>
      <c r="AR10" s="86"/>
      <c r="AS10" s="86"/>
      <c r="AT10" s="86"/>
      <c r="AU10" s="86"/>
      <c r="AV10" s="86"/>
    </row>
    <row r="11" spans="1:48" ht="16.5" customHeight="1" thickBot="1">
      <c r="A11" s="201" t="s">
        <v>296</v>
      </c>
      <c r="B11" s="202" t="s">
        <v>388</v>
      </c>
      <c r="C11" s="183"/>
      <c r="D11" s="183"/>
      <c r="E11" s="183"/>
      <c r="F11" s="183"/>
      <c r="G11" s="183"/>
      <c r="H11" s="183"/>
      <c r="I11" s="183"/>
      <c r="J11" s="183"/>
      <c r="K11" s="183"/>
      <c r="L11" s="183"/>
      <c r="M11" s="183"/>
      <c r="N11" s="67"/>
      <c r="O11" s="40"/>
      <c r="P11" s="40"/>
      <c r="Q11" s="40"/>
      <c r="R11" s="40"/>
      <c r="S11" s="40"/>
      <c r="T11" s="40"/>
      <c r="U11" s="40"/>
      <c r="V11" s="40"/>
      <c r="W11" s="40"/>
      <c r="X11" s="40"/>
      <c r="Y11" s="40"/>
      <c r="Z11" s="40"/>
      <c r="AA11" s="86"/>
      <c r="AB11" s="86"/>
      <c r="AC11" s="86"/>
      <c r="AD11" s="86"/>
      <c r="AE11" s="86"/>
      <c r="AF11" s="86"/>
      <c r="AG11" s="86"/>
      <c r="AH11" s="86"/>
      <c r="AI11" s="86"/>
      <c r="AJ11" s="86"/>
      <c r="AK11" s="86"/>
      <c r="AL11" s="86"/>
      <c r="AM11" s="86"/>
      <c r="AN11" s="86"/>
      <c r="AO11" s="86"/>
      <c r="AP11" s="86"/>
      <c r="AQ11" s="86"/>
      <c r="AR11" s="86"/>
      <c r="AS11" s="86"/>
      <c r="AT11" s="86"/>
      <c r="AU11" s="86"/>
      <c r="AV11" s="86"/>
    </row>
    <row r="12" spans="1:48" ht="16.5" customHeight="1" thickBot="1">
      <c r="A12" s="13" t="s">
        <v>297</v>
      </c>
      <c r="B12" s="202" t="s">
        <v>389</v>
      </c>
      <c r="C12" s="183"/>
      <c r="D12" s="183"/>
      <c r="E12" s="183"/>
      <c r="F12" s="183"/>
      <c r="G12" s="183"/>
      <c r="H12" s="183"/>
      <c r="I12" s="183"/>
      <c r="J12" s="183"/>
      <c r="K12" s="183"/>
      <c r="L12" s="183"/>
      <c r="M12" s="183"/>
      <c r="N12" s="67"/>
      <c r="O12" s="40"/>
      <c r="P12" s="40"/>
      <c r="Q12" s="40"/>
      <c r="R12" s="40"/>
      <c r="S12" s="40"/>
      <c r="T12" s="40"/>
      <c r="U12" s="40"/>
      <c r="V12" s="40"/>
      <c r="W12" s="40"/>
      <c r="X12" s="40"/>
      <c r="Y12" s="40"/>
      <c r="Z12" s="40"/>
      <c r="AA12" s="86"/>
      <c r="AB12" s="86"/>
      <c r="AC12" s="86"/>
      <c r="AD12" s="86"/>
      <c r="AE12" s="86"/>
      <c r="AF12" s="86"/>
      <c r="AG12" s="86"/>
      <c r="AH12" s="86"/>
      <c r="AI12" s="86"/>
      <c r="AJ12" s="86"/>
      <c r="AK12" s="86"/>
      <c r="AL12" s="86"/>
      <c r="AM12" s="86"/>
      <c r="AN12" s="86"/>
      <c r="AO12" s="86"/>
      <c r="AP12" s="86"/>
      <c r="AQ12" s="86"/>
      <c r="AR12" s="86"/>
      <c r="AS12" s="86"/>
      <c r="AT12" s="86"/>
      <c r="AU12" s="86"/>
      <c r="AV12" s="86"/>
    </row>
    <row r="13" spans="1:48" ht="18" customHeight="1" thickBot="1">
      <c r="A13" s="13" t="s">
        <v>298</v>
      </c>
      <c r="B13" s="202" t="s">
        <v>390</v>
      </c>
      <c r="C13" s="183"/>
      <c r="D13" s="183"/>
      <c r="E13" s="183"/>
      <c r="F13" s="183"/>
      <c r="G13" s="183"/>
      <c r="H13" s="183"/>
      <c r="I13" s="183"/>
      <c r="J13" s="183"/>
      <c r="K13" s="183"/>
      <c r="L13" s="183"/>
      <c r="M13" s="183"/>
      <c r="N13" s="67"/>
      <c r="O13" s="40"/>
      <c r="P13" s="40"/>
      <c r="Q13" s="40"/>
      <c r="R13" s="40"/>
      <c r="S13" s="40"/>
      <c r="T13" s="40"/>
      <c r="U13" s="40"/>
      <c r="V13" s="40"/>
      <c r="W13" s="40"/>
      <c r="X13" s="40"/>
      <c r="Y13" s="40"/>
      <c r="Z13" s="40"/>
      <c r="AA13" s="86"/>
      <c r="AB13" s="86"/>
      <c r="AC13" s="86"/>
      <c r="AD13" s="86"/>
      <c r="AE13" s="86"/>
      <c r="AF13" s="86"/>
      <c r="AG13" s="86"/>
      <c r="AH13" s="86"/>
      <c r="AI13" s="86"/>
      <c r="AJ13" s="86"/>
      <c r="AK13" s="86"/>
      <c r="AL13" s="86"/>
      <c r="AM13" s="86"/>
      <c r="AN13" s="86"/>
      <c r="AO13" s="86"/>
      <c r="AP13" s="86"/>
      <c r="AQ13" s="86"/>
      <c r="AR13" s="86"/>
      <c r="AS13" s="86"/>
      <c r="AT13" s="86"/>
      <c r="AU13" s="86"/>
      <c r="AV13" s="86"/>
    </row>
    <row r="14" spans="1:48" customFormat="1" ht="18.75" customHeight="1" thickBot="1">
      <c r="A14" s="13" t="s">
        <v>299</v>
      </c>
      <c r="B14" s="202"/>
      <c r="C14" s="183"/>
      <c r="D14" s="183"/>
      <c r="E14" s="183"/>
      <c r="F14" s="183"/>
      <c r="G14" s="183"/>
      <c r="H14" s="183"/>
      <c r="I14" s="183"/>
      <c r="J14" s="183"/>
      <c r="K14" s="183"/>
      <c r="L14" s="183"/>
      <c r="M14" s="183"/>
      <c r="N14" s="67"/>
      <c r="O14" s="40"/>
      <c r="P14" s="40"/>
      <c r="Q14" s="40"/>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86"/>
      <c r="AT14" s="86"/>
      <c r="AU14" s="86"/>
      <c r="AV14" s="40"/>
    </row>
    <row r="15" spans="1:48" customFormat="1" ht="18.75" hidden="1" customHeight="1" thickBot="1">
      <c r="A15" s="13" t="s">
        <v>300</v>
      </c>
      <c r="B15" s="202"/>
      <c r="C15" s="183"/>
      <c r="D15" s="183"/>
      <c r="E15" s="183"/>
      <c r="F15" s="183"/>
      <c r="G15" s="183"/>
      <c r="H15" s="183"/>
      <c r="I15" s="183"/>
      <c r="J15" s="183"/>
      <c r="K15" s="183"/>
      <c r="L15" s="183"/>
      <c r="M15" s="183"/>
      <c r="N15" s="67"/>
      <c r="O15" s="40"/>
      <c r="P15" s="40"/>
      <c r="Q15" s="40"/>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86"/>
      <c r="AT15" s="86"/>
      <c r="AU15" s="86"/>
      <c r="AV15" s="40"/>
    </row>
    <row r="16" spans="1:48" customFormat="1" ht="18.75" hidden="1" customHeight="1" thickBot="1">
      <c r="A16" s="13" t="s">
        <v>301</v>
      </c>
      <c r="B16" s="202"/>
      <c r="C16" s="183"/>
      <c r="D16" s="183"/>
      <c r="E16" s="183"/>
      <c r="F16" s="183"/>
      <c r="G16" s="183"/>
      <c r="H16" s="183"/>
      <c r="I16" s="183"/>
      <c r="J16" s="183"/>
      <c r="K16" s="183"/>
      <c r="L16" s="183"/>
      <c r="M16" s="183"/>
      <c r="N16" s="67"/>
      <c r="O16" s="40"/>
      <c r="P16" s="40"/>
      <c r="Q16" s="40"/>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86"/>
      <c r="AT16" s="86"/>
      <c r="AU16" s="86"/>
      <c r="AV16" s="40"/>
    </row>
    <row r="17" spans="1:48" customFormat="1" ht="18.75" hidden="1" customHeight="1" thickBot="1">
      <c r="A17" s="13" t="s">
        <v>302</v>
      </c>
      <c r="B17" s="202"/>
      <c r="C17" s="183"/>
      <c r="D17" s="183"/>
      <c r="E17" s="183"/>
      <c r="F17" s="183"/>
      <c r="G17" s="183"/>
      <c r="H17" s="183"/>
      <c r="I17" s="183"/>
      <c r="J17" s="183"/>
      <c r="K17" s="183"/>
      <c r="L17" s="183"/>
      <c r="M17" s="183"/>
      <c r="N17" s="67"/>
      <c r="O17" s="40"/>
      <c r="P17" s="40"/>
      <c r="Q17" s="40"/>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86"/>
      <c r="AT17" s="86"/>
      <c r="AU17" s="86"/>
      <c r="AV17" s="40"/>
    </row>
    <row r="18" spans="1:48" ht="13.5" thickBot="1">
      <c r="A18" s="56" t="s">
        <v>303</v>
      </c>
      <c r="B18" s="203" t="s">
        <v>391</v>
      </c>
      <c r="C18" s="215"/>
      <c r="D18" s="215"/>
      <c r="E18" s="215"/>
      <c r="F18" s="215"/>
      <c r="G18" s="215"/>
      <c r="H18" s="215"/>
      <c r="I18" s="215"/>
      <c r="J18" s="215"/>
      <c r="K18" s="215"/>
      <c r="L18" s="215"/>
      <c r="M18" s="215"/>
      <c r="N18" s="107"/>
      <c r="O18" s="40"/>
      <c r="P18" s="40"/>
      <c r="Q18" s="40"/>
      <c r="R18" s="40"/>
      <c r="S18" s="40"/>
      <c r="T18" s="40"/>
      <c r="U18" s="40"/>
      <c r="V18" s="40"/>
      <c r="W18" s="40"/>
      <c r="X18" s="40"/>
      <c r="Y18" s="40"/>
      <c r="Z18" s="40"/>
      <c r="AA18" s="86"/>
      <c r="AB18" s="86"/>
      <c r="AC18" s="86"/>
      <c r="AD18" s="86"/>
      <c r="AE18" s="86"/>
      <c r="AF18" s="86"/>
      <c r="AG18" s="86"/>
      <c r="AH18" s="86"/>
      <c r="AI18" s="86"/>
      <c r="AJ18" s="86"/>
      <c r="AK18" s="86"/>
      <c r="AL18" s="86"/>
      <c r="AM18" s="86"/>
      <c r="AN18" s="86"/>
      <c r="AO18" s="86"/>
      <c r="AP18" s="86"/>
      <c r="AQ18" s="86"/>
      <c r="AR18" s="86"/>
      <c r="AS18" s="86"/>
      <c r="AT18" s="86"/>
      <c r="AU18" s="86"/>
      <c r="AV18" s="86"/>
    </row>
    <row r="19" spans="1:48" ht="16.5" customHeight="1" thickBot="1">
      <c r="A19" s="13" t="s">
        <v>304</v>
      </c>
      <c r="B19" s="202" t="s">
        <v>392</v>
      </c>
      <c r="C19" s="183"/>
      <c r="D19" s="183"/>
      <c r="E19" s="183"/>
      <c r="F19" s="183"/>
      <c r="G19" s="183"/>
      <c r="H19" s="183"/>
      <c r="I19" s="183"/>
      <c r="J19" s="183"/>
      <c r="K19" s="183"/>
      <c r="L19" s="183"/>
      <c r="M19" s="183"/>
      <c r="N19" s="67"/>
      <c r="O19" s="40"/>
      <c r="P19" s="40"/>
      <c r="Q19" s="40"/>
      <c r="R19" s="40"/>
      <c r="S19" s="40"/>
      <c r="T19" s="40"/>
      <c r="U19" s="40"/>
      <c r="V19" s="40"/>
      <c r="W19" s="40"/>
      <c r="X19" s="40"/>
      <c r="Y19" s="40"/>
      <c r="Z19" s="40"/>
      <c r="AA19" s="86"/>
      <c r="AB19" s="86"/>
      <c r="AC19" s="86"/>
      <c r="AD19" s="86"/>
      <c r="AE19" s="86"/>
      <c r="AF19" s="86"/>
      <c r="AG19" s="86"/>
      <c r="AH19" s="86"/>
      <c r="AI19" s="86"/>
      <c r="AJ19" s="86"/>
      <c r="AK19" s="86"/>
      <c r="AL19" s="86"/>
      <c r="AM19" s="86"/>
      <c r="AN19" s="86"/>
      <c r="AO19" s="86"/>
      <c r="AP19" s="86"/>
      <c r="AQ19" s="86"/>
      <c r="AR19" s="86"/>
      <c r="AS19" s="86"/>
      <c r="AT19" s="86"/>
      <c r="AU19" s="86"/>
      <c r="AV19" s="86"/>
    </row>
    <row r="20" spans="1:48" ht="16.5" customHeight="1" thickBot="1">
      <c r="A20" s="13" t="s">
        <v>305</v>
      </c>
      <c r="B20" s="202" t="s">
        <v>393</v>
      </c>
      <c r="C20" s="183"/>
      <c r="D20" s="183"/>
      <c r="E20" s="183"/>
      <c r="F20" s="183"/>
      <c r="G20" s="183"/>
      <c r="H20" s="183"/>
      <c r="I20" s="183"/>
      <c r="J20" s="183"/>
      <c r="K20" s="183"/>
      <c r="L20" s="183"/>
      <c r="M20" s="183"/>
      <c r="N20" s="67"/>
      <c r="O20" s="40"/>
      <c r="P20" s="40"/>
      <c r="Q20" s="40"/>
      <c r="R20" s="40"/>
      <c r="S20" s="40"/>
      <c r="T20" s="40"/>
      <c r="U20" s="40"/>
      <c r="V20" s="40"/>
      <c r="W20" s="40"/>
      <c r="X20" s="40"/>
      <c r="Y20" s="40"/>
      <c r="Z20" s="40"/>
      <c r="AA20" s="86"/>
      <c r="AB20" s="86"/>
      <c r="AC20" s="86"/>
      <c r="AD20" s="86"/>
      <c r="AE20" s="86"/>
      <c r="AF20" s="86"/>
      <c r="AG20" s="86"/>
      <c r="AH20" s="86"/>
      <c r="AI20" s="86"/>
      <c r="AJ20" s="86"/>
      <c r="AK20" s="86"/>
      <c r="AL20" s="86"/>
      <c r="AM20" s="86"/>
      <c r="AN20" s="86"/>
      <c r="AO20" s="86"/>
      <c r="AP20" s="86"/>
      <c r="AQ20" s="86"/>
      <c r="AR20" s="86"/>
      <c r="AS20" s="86"/>
      <c r="AT20" s="86"/>
      <c r="AU20" s="86"/>
      <c r="AV20" s="86"/>
    </row>
    <row r="21" spans="1:48" ht="16.5" customHeight="1" thickBot="1">
      <c r="A21" s="13" t="s">
        <v>306</v>
      </c>
      <c r="B21" s="202" t="s">
        <v>394</v>
      </c>
      <c r="C21" s="183"/>
      <c r="D21" s="183"/>
      <c r="E21" s="183"/>
      <c r="F21" s="183"/>
      <c r="G21" s="183"/>
      <c r="H21" s="183"/>
      <c r="I21" s="183"/>
      <c r="J21" s="183"/>
      <c r="K21" s="183"/>
      <c r="L21" s="183"/>
      <c r="M21" s="183"/>
      <c r="N21" s="67"/>
      <c r="O21" s="40"/>
      <c r="P21" s="40"/>
      <c r="Q21" s="40"/>
      <c r="R21" s="40"/>
      <c r="S21" s="40"/>
      <c r="T21" s="40"/>
      <c r="U21" s="40"/>
      <c r="V21" s="40"/>
      <c r="W21" s="40"/>
      <c r="X21" s="40"/>
      <c r="Y21" s="40"/>
      <c r="Z21" s="40"/>
      <c r="AA21" s="86"/>
      <c r="AB21" s="86"/>
      <c r="AC21" s="86"/>
      <c r="AD21" s="86"/>
      <c r="AE21" s="86"/>
      <c r="AF21" s="86"/>
      <c r="AG21" s="86"/>
      <c r="AH21" s="86"/>
      <c r="AI21" s="86"/>
      <c r="AJ21" s="86"/>
      <c r="AK21" s="86"/>
      <c r="AL21" s="86"/>
      <c r="AM21" s="86"/>
      <c r="AN21" s="86"/>
      <c r="AO21" s="86"/>
      <c r="AP21" s="86"/>
      <c r="AQ21" s="86"/>
      <c r="AR21" s="86"/>
      <c r="AS21" s="86"/>
      <c r="AT21" s="86"/>
      <c r="AU21" s="86"/>
      <c r="AV21" s="86"/>
    </row>
    <row r="22" spans="1:48" ht="16.5" customHeight="1" thickBot="1">
      <c r="A22" s="13" t="s">
        <v>307</v>
      </c>
      <c r="B22" s="202" t="s">
        <v>395</v>
      </c>
      <c r="C22" s="183"/>
      <c r="D22" s="183"/>
      <c r="E22" s="183"/>
      <c r="F22" s="183"/>
      <c r="G22" s="183"/>
      <c r="H22" s="183"/>
      <c r="I22" s="183"/>
      <c r="J22" s="183"/>
      <c r="K22" s="183"/>
      <c r="L22" s="183"/>
      <c r="M22" s="183"/>
      <c r="N22" s="67"/>
      <c r="O22" s="40"/>
      <c r="P22" s="40"/>
      <c r="Q22" s="40"/>
      <c r="R22" s="40"/>
      <c r="S22" s="40"/>
      <c r="T22" s="40"/>
      <c r="U22" s="40"/>
      <c r="V22" s="40"/>
      <c r="W22" s="40"/>
      <c r="X22" s="40"/>
      <c r="Y22" s="40"/>
      <c r="Z22" s="40"/>
      <c r="AA22" s="86"/>
      <c r="AB22" s="86"/>
      <c r="AC22" s="86"/>
      <c r="AD22" s="86"/>
      <c r="AE22" s="86"/>
      <c r="AF22" s="86"/>
      <c r="AG22" s="86"/>
      <c r="AH22" s="86"/>
      <c r="AI22" s="86"/>
      <c r="AJ22" s="86"/>
      <c r="AK22" s="86"/>
      <c r="AL22" s="86"/>
      <c r="AM22" s="86"/>
      <c r="AN22" s="86"/>
      <c r="AO22" s="86"/>
      <c r="AP22" s="86"/>
      <c r="AQ22" s="86"/>
      <c r="AR22" s="86"/>
      <c r="AS22" s="86"/>
      <c r="AT22" s="86"/>
      <c r="AU22" s="86"/>
      <c r="AV22" s="86"/>
    </row>
    <row r="23" spans="1:48" ht="16.5" customHeight="1" thickBot="1">
      <c r="A23" s="13" t="s">
        <v>308</v>
      </c>
      <c r="B23" s="202" t="s">
        <v>396</v>
      </c>
      <c r="C23" s="183"/>
      <c r="D23" s="183"/>
      <c r="E23" s="183"/>
      <c r="F23" s="183"/>
      <c r="G23" s="183"/>
      <c r="H23" s="183"/>
      <c r="I23" s="183"/>
      <c r="J23" s="183"/>
      <c r="K23" s="183"/>
      <c r="L23" s="183"/>
      <c r="M23" s="183"/>
      <c r="N23" s="67"/>
      <c r="O23" s="40"/>
      <c r="P23" s="40"/>
      <c r="Q23" s="40"/>
      <c r="R23" s="40"/>
      <c r="S23" s="40"/>
      <c r="T23" s="40"/>
      <c r="U23" s="40"/>
      <c r="V23" s="40"/>
      <c r="W23" s="40"/>
      <c r="X23" s="40"/>
      <c r="Y23" s="40"/>
      <c r="Z23" s="40"/>
      <c r="AA23" s="86"/>
      <c r="AB23" s="86"/>
      <c r="AC23" s="86"/>
      <c r="AD23" s="86"/>
      <c r="AE23" s="86"/>
      <c r="AF23" s="86"/>
      <c r="AG23" s="86"/>
      <c r="AH23" s="86"/>
      <c r="AI23" s="86"/>
      <c r="AJ23" s="86"/>
      <c r="AK23" s="86"/>
      <c r="AL23" s="86"/>
      <c r="AM23" s="86"/>
      <c r="AN23" s="86"/>
      <c r="AO23" s="86"/>
      <c r="AP23" s="86"/>
      <c r="AQ23" s="86"/>
      <c r="AR23" s="86"/>
      <c r="AS23" s="86"/>
      <c r="AT23" s="86"/>
      <c r="AU23" s="86"/>
      <c r="AV23" s="86"/>
    </row>
    <row r="24" spans="1:48" ht="16.5" customHeight="1" thickBot="1">
      <c r="A24" s="13" t="s">
        <v>309</v>
      </c>
      <c r="B24" s="202" t="s">
        <v>397</v>
      </c>
      <c r="C24" s="183"/>
      <c r="D24" s="183"/>
      <c r="E24" s="183"/>
      <c r="F24" s="183"/>
      <c r="G24" s="183"/>
      <c r="H24" s="183"/>
      <c r="I24" s="183"/>
      <c r="J24" s="183"/>
      <c r="K24" s="183"/>
      <c r="L24" s="183"/>
      <c r="M24" s="183"/>
      <c r="N24" s="67"/>
      <c r="O24" s="40"/>
      <c r="P24" s="40"/>
      <c r="Q24" s="40"/>
      <c r="R24" s="40"/>
      <c r="S24" s="40"/>
      <c r="T24" s="40"/>
      <c r="U24" s="40"/>
      <c r="V24" s="40"/>
      <c r="W24" s="40"/>
      <c r="X24" s="40"/>
      <c r="Y24" s="40"/>
      <c r="Z24" s="40"/>
      <c r="AA24" s="86"/>
      <c r="AB24" s="86"/>
      <c r="AC24" s="86"/>
      <c r="AD24" s="86"/>
      <c r="AE24" s="86"/>
      <c r="AF24" s="86"/>
      <c r="AG24" s="86"/>
      <c r="AH24" s="86"/>
      <c r="AI24" s="86"/>
      <c r="AJ24" s="86"/>
      <c r="AK24" s="86"/>
      <c r="AL24" s="86"/>
      <c r="AM24" s="86"/>
      <c r="AN24" s="86"/>
      <c r="AO24" s="86"/>
      <c r="AP24" s="86"/>
      <c r="AQ24" s="86"/>
      <c r="AR24" s="86"/>
      <c r="AS24" s="86"/>
      <c r="AT24" s="86"/>
      <c r="AU24" s="86"/>
      <c r="AV24" s="86"/>
    </row>
    <row r="25" spans="1:48" ht="16.5" customHeight="1" thickBot="1">
      <c r="A25" s="13" t="s">
        <v>310</v>
      </c>
      <c r="B25" s="202" t="s">
        <v>398</v>
      </c>
      <c r="C25" s="183"/>
      <c r="D25" s="183"/>
      <c r="E25" s="183"/>
      <c r="F25" s="183"/>
      <c r="G25" s="183"/>
      <c r="H25" s="183"/>
      <c r="I25" s="183"/>
      <c r="J25" s="183"/>
      <c r="K25" s="183"/>
      <c r="L25" s="183"/>
      <c r="M25" s="183"/>
      <c r="N25" s="67"/>
      <c r="O25" s="40"/>
      <c r="P25" s="40"/>
      <c r="Q25" s="40"/>
      <c r="R25" s="40"/>
      <c r="S25" s="40"/>
      <c r="T25" s="40"/>
      <c r="U25" s="40"/>
      <c r="V25" s="40"/>
      <c r="W25" s="40"/>
      <c r="X25" s="40"/>
      <c r="Y25" s="40"/>
      <c r="Z25" s="40"/>
      <c r="AA25" s="86"/>
      <c r="AB25" s="86"/>
      <c r="AC25" s="86"/>
      <c r="AD25" s="86"/>
      <c r="AE25" s="86"/>
      <c r="AF25" s="86"/>
      <c r="AG25" s="86"/>
      <c r="AH25" s="86"/>
      <c r="AI25" s="86"/>
      <c r="AJ25" s="86"/>
      <c r="AK25" s="86"/>
      <c r="AL25" s="86"/>
      <c r="AM25" s="86"/>
      <c r="AN25" s="86"/>
      <c r="AO25" s="86"/>
      <c r="AP25" s="86"/>
      <c r="AQ25" s="86"/>
      <c r="AR25" s="86"/>
      <c r="AS25" s="86"/>
      <c r="AT25" s="86"/>
      <c r="AU25" s="86"/>
      <c r="AV25" s="86"/>
    </row>
    <row r="26" spans="1:48" ht="16.5" customHeight="1" thickBot="1">
      <c r="A26" s="13" t="s">
        <v>311</v>
      </c>
      <c r="B26" s="202" t="s">
        <v>399</v>
      </c>
      <c r="C26" s="183"/>
      <c r="D26" s="183"/>
      <c r="E26" s="183"/>
      <c r="F26" s="183"/>
      <c r="G26" s="183"/>
      <c r="H26" s="183"/>
      <c r="I26" s="183"/>
      <c r="J26" s="183"/>
      <c r="K26" s="183"/>
      <c r="L26" s="183"/>
      <c r="M26" s="183"/>
      <c r="N26" s="67"/>
      <c r="O26" s="40"/>
      <c r="P26" s="40"/>
      <c r="Q26" s="40"/>
      <c r="R26" s="40"/>
      <c r="S26" s="40"/>
      <c r="T26" s="40"/>
      <c r="U26" s="40"/>
      <c r="V26" s="40"/>
      <c r="W26" s="40"/>
      <c r="X26" s="40"/>
      <c r="Y26" s="40"/>
      <c r="Z26" s="40"/>
      <c r="AA26" s="86"/>
      <c r="AB26" s="86"/>
      <c r="AC26" s="86"/>
      <c r="AD26" s="86"/>
      <c r="AE26" s="86"/>
      <c r="AF26" s="86"/>
      <c r="AG26" s="86"/>
      <c r="AH26" s="86"/>
      <c r="AI26" s="86"/>
      <c r="AJ26" s="86"/>
      <c r="AK26" s="86"/>
      <c r="AL26" s="86"/>
      <c r="AM26" s="86"/>
      <c r="AN26" s="86"/>
      <c r="AO26" s="86"/>
      <c r="AP26" s="86"/>
      <c r="AQ26" s="86"/>
      <c r="AR26" s="86"/>
      <c r="AS26" s="86"/>
      <c r="AT26" s="86"/>
      <c r="AU26" s="86"/>
      <c r="AV26" s="86"/>
    </row>
    <row r="27" spans="1:48" ht="16.5" customHeight="1" thickBot="1">
      <c r="A27" s="13" t="s">
        <v>312</v>
      </c>
      <c r="B27" s="202" t="s">
        <v>400</v>
      </c>
      <c r="C27" s="183"/>
      <c r="D27" s="183"/>
      <c r="E27" s="183"/>
      <c r="F27" s="183"/>
      <c r="G27" s="183"/>
      <c r="H27" s="183"/>
      <c r="I27" s="183"/>
      <c r="J27" s="183"/>
      <c r="K27" s="183"/>
      <c r="L27" s="183"/>
      <c r="M27" s="183"/>
      <c r="N27" s="67"/>
      <c r="O27" s="40"/>
      <c r="P27" s="40"/>
      <c r="Q27" s="40"/>
      <c r="R27" s="40"/>
      <c r="S27" s="40"/>
      <c r="T27" s="40"/>
      <c r="U27" s="40"/>
      <c r="V27" s="40"/>
      <c r="W27" s="40"/>
      <c r="X27" s="40"/>
      <c r="Y27" s="40"/>
      <c r="Z27" s="40"/>
      <c r="AA27" s="86"/>
      <c r="AB27" s="86"/>
      <c r="AC27" s="86"/>
      <c r="AD27" s="86"/>
      <c r="AE27" s="86"/>
      <c r="AF27" s="86"/>
      <c r="AG27" s="86"/>
      <c r="AH27" s="86"/>
      <c r="AI27" s="86"/>
      <c r="AJ27" s="86"/>
      <c r="AK27" s="86"/>
      <c r="AL27" s="86"/>
      <c r="AM27" s="86"/>
      <c r="AN27" s="86"/>
      <c r="AO27" s="86"/>
      <c r="AP27" s="86"/>
      <c r="AQ27" s="86"/>
      <c r="AR27" s="86"/>
      <c r="AS27" s="86"/>
      <c r="AT27" s="86"/>
      <c r="AU27" s="86"/>
      <c r="AV27" s="86"/>
    </row>
    <row r="28" spans="1:48" ht="16.5" customHeight="1" thickBot="1">
      <c r="A28" s="13" t="s">
        <v>313</v>
      </c>
      <c r="B28" s="202" t="s">
        <v>401</v>
      </c>
      <c r="C28" s="183"/>
      <c r="D28" s="183"/>
      <c r="E28" s="183"/>
      <c r="F28" s="183"/>
      <c r="G28" s="183"/>
      <c r="H28" s="183"/>
      <c r="I28" s="183"/>
      <c r="J28" s="183"/>
      <c r="K28" s="183"/>
      <c r="L28" s="183"/>
      <c r="M28" s="183"/>
      <c r="N28" s="67"/>
      <c r="O28" s="40"/>
      <c r="P28" s="40"/>
      <c r="Q28" s="40"/>
      <c r="R28" s="40"/>
      <c r="S28" s="40"/>
      <c r="T28" s="40"/>
      <c r="U28" s="40"/>
      <c r="V28" s="40"/>
      <c r="W28" s="40"/>
      <c r="X28" s="40"/>
      <c r="Y28" s="40"/>
      <c r="Z28" s="40"/>
      <c r="AA28" s="86"/>
      <c r="AB28" s="86"/>
      <c r="AC28" s="86"/>
      <c r="AD28" s="86"/>
      <c r="AE28" s="86"/>
      <c r="AF28" s="86"/>
      <c r="AG28" s="86"/>
      <c r="AH28" s="86"/>
      <c r="AI28" s="86"/>
      <c r="AJ28" s="86"/>
      <c r="AK28" s="86"/>
      <c r="AL28" s="86"/>
      <c r="AM28" s="86"/>
      <c r="AN28" s="86"/>
      <c r="AO28" s="86"/>
      <c r="AP28" s="86"/>
      <c r="AQ28" s="86"/>
      <c r="AR28" s="86"/>
      <c r="AS28" s="86"/>
      <c r="AT28" s="86"/>
      <c r="AU28" s="86"/>
      <c r="AV28" s="86"/>
    </row>
    <row r="29" spans="1:48" ht="16.5" customHeight="1" thickBot="1">
      <c r="A29" s="13" t="s">
        <v>314</v>
      </c>
      <c r="B29" s="202" t="s">
        <v>402</v>
      </c>
      <c r="C29" s="183"/>
      <c r="D29" s="183"/>
      <c r="E29" s="183"/>
      <c r="F29" s="183"/>
      <c r="G29" s="183"/>
      <c r="H29" s="183"/>
      <c r="I29" s="183"/>
      <c r="J29" s="183"/>
      <c r="K29" s="183"/>
      <c r="L29" s="183"/>
      <c r="M29" s="183"/>
      <c r="N29" s="67"/>
      <c r="O29" s="40"/>
      <c r="P29" s="40"/>
      <c r="Q29" s="40"/>
      <c r="R29" s="40"/>
      <c r="S29" s="40"/>
      <c r="T29" s="40"/>
      <c r="U29" s="40"/>
      <c r="V29" s="40"/>
      <c r="W29" s="40"/>
      <c r="X29" s="40"/>
      <c r="Y29" s="40"/>
      <c r="Z29" s="40"/>
      <c r="AA29" s="86"/>
      <c r="AB29" s="86"/>
      <c r="AC29" s="86"/>
      <c r="AD29" s="86"/>
      <c r="AE29" s="86"/>
      <c r="AF29" s="86"/>
      <c r="AG29" s="86"/>
      <c r="AH29" s="86"/>
      <c r="AI29" s="86"/>
      <c r="AJ29" s="86"/>
      <c r="AK29" s="86"/>
      <c r="AL29" s="86"/>
      <c r="AM29" s="86"/>
      <c r="AN29" s="86"/>
      <c r="AO29" s="86"/>
      <c r="AP29" s="86"/>
      <c r="AQ29" s="86"/>
      <c r="AR29" s="86"/>
      <c r="AS29" s="86"/>
      <c r="AT29" s="86"/>
      <c r="AU29" s="86"/>
      <c r="AV29" s="86"/>
    </row>
    <row r="30" spans="1:48" ht="16.5" customHeight="1" thickBot="1">
      <c r="A30" s="13" t="s">
        <v>315</v>
      </c>
      <c r="B30" s="202" t="s">
        <v>403</v>
      </c>
      <c r="C30" s="183"/>
      <c r="D30" s="183"/>
      <c r="E30" s="183"/>
      <c r="F30" s="183"/>
      <c r="G30" s="183"/>
      <c r="H30" s="183"/>
      <c r="I30" s="183"/>
      <c r="J30" s="183"/>
      <c r="K30" s="183"/>
      <c r="L30" s="183"/>
      <c r="M30" s="183"/>
      <c r="N30" s="67"/>
      <c r="O30" s="40"/>
      <c r="P30" s="40"/>
      <c r="Q30" s="40"/>
      <c r="R30" s="40"/>
      <c r="S30" s="40"/>
      <c r="T30" s="40"/>
      <c r="U30" s="40"/>
      <c r="V30" s="40"/>
      <c r="W30" s="40"/>
      <c r="X30" s="40"/>
      <c r="Y30" s="40"/>
      <c r="Z30" s="40"/>
      <c r="AA30" s="86"/>
      <c r="AB30" s="86"/>
      <c r="AC30" s="86"/>
      <c r="AD30" s="86"/>
      <c r="AE30" s="86"/>
      <c r="AF30" s="86"/>
      <c r="AG30" s="86"/>
      <c r="AH30" s="86"/>
      <c r="AI30" s="86"/>
      <c r="AJ30" s="86"/>
      <c r="AK30" s="86"/>
      <c r="AL30" s="86"/>
      <c r="AM30" s="86"/>
      <c r="AN30" s="86"/>
      <c r="AO30" s="86"/>
      <c r="AP30" s="86"/>
      <c r="AQ30" s="86"/>
      <c r="AR30" s="86"/>
      <c r="AS30" s="86"/>
      <c r="AT30" s="86"/>
      <c r="AU30" s="86"/>
      <c r="AV30" s="86"/>
    </row>
    <row r="31" spans="1:48" ht="16.5" customHeight="1" thickBot="1">
      <c r="A31" s="13" t="s">
        <v>316</v>
      </c>
      <c r="B31" s="202" t="s">
        <v>404</v>
      </c>
      <c r="C31" s="93"/>
      <c r="D31" s="93"/>
      <c r="E31" s="93"/>
      <c r="F31" s="93"/>
      <c r="G31" s="93"/>
      <c r="H31" s="93"/>
      <c r="I31" s="93"/>
      <c r="J31" s="93"/>
      <c r="K31" s="93"/>
      <c r="L31" s="93"/>
      <c r="M31" s="93"/>
      <c r="N31" s="68"/>
      <c r="O31" s="40"/>
      <c r="P31" s="40"/>
      <c r="Q31" s="40"/>
      <c r="R31" s="40"/>
      <c r="S31" s="40"/>
      <c r="T31" s="40"/>
      <c r="U31" s="40"/>
      <c r="V31" s="40"/>
      <c r="W31" s="40"/>
      <c r="X31" s="40"/>
      <c r="Y31" s="40"/>
      <c r="Z31" s="40"/>
      <c r="AA31" s="86"/>
      <c r="AB31" s="86"/>
      <c r="AC31" s="86"/>
      <c r="AD31" s="86"/>
      <c r="AE31" s="86"/>
      <c r="AF31" s="86"/>
      <c r="AG31" s="86"/>
      <c r="AH31" s="86"/>
      <c r="AI31" s="86"/>
      <c r="AJ31" s="86"/>
      <c r="AK31" s="86"/>
      <c r="AL31" s="86"/>
      <c r="AM31" s="86"/>
      <c r="AN31" s="86"/>
      <c r="AO31" s="86"/>
      <c r="AP31" s="86"/>
      <c r="AQ31" s="86"/>
      <c r="AR31" s="86"/>
      <c r="AS31" s="86"/>
      <c r="AT31" s="86"/>
      <c r="AU31" s="86"/>
      <c r="AV31" s="86"/>
    </row>
    <row r="32" spans="1:48" ht="16.5" customHeight="1" thickBot="1">
      <c r="A32" s="9" t="s">
        <v>317</v>
      </c>
      <c r="B32" s="202"/>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40"/>
      <c r="P32" s="40"/>
      <c r="Q32" s="40"/>
      <c r="R32" s="40"/>
      <c r="S32" s="40"/>
      <c r="T32" s="40"/>
      <c r="U32" s="40"/>
      <c r="V32" s="40"/>
      <c r="W32" s="40"/>
      <c r="X32" s="40"/>
      <c r="Y32" s="40"/>
      <c r="Z32" s="40"/>
      <c r="AA32" s="86"/>
      <c r="AB32" s="86"/>
      <c r="AC32" s="86"/>
      <c r="AD32" s="86"/>
      <c r="AE32" s="86"/>
      <c r="AF32" s="86"/>
      <c r="AG32" s="86"/>
      <c r="AH32" s="86"/>
      <c r="AI32" s="86"/>
      <c r="AJ32" s="86"/>
      <c r="AK32" s="86"/>
      <c r="AL32" s="86"/>
      <c r="AM32" s="86"/>
      <c r="AN32" s="86"/>
      <c r="AO32" s="86"/>
      <c r="AP32" s="86"/>
      <c r="AQ32" s="86"/>
      <c r="AR32" s="86"/>
      <c r="AS32" s="86"/>
      <c r="AT32" s="86"/>
      <c r="AU32" s="86"/>
      <c r="AV32" s="86"/>
    </row>
    <row r="33" spans="1:48" ht="8.25"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F33" s="86"/>
      <c r="AG33" s="86"/>
      <c r="AH33" s="86"/>
      <c r="AI33" s="86"/>
      <c r="AJ33" s="86"/>
      <c r="AK33" s="86"/>
      <c r="AL33" s="86"/>
      <c r="AM33" s="86"/>
      <c r="AN33" s="86"/>
      <c r="AO33" s="86"/>
      <c r="AP33" s="86"/>
      <c r="AQ33" s="86"/>
      <c r="AR33" s="86"/>
      <c r="AS33" s="86"/>
      <c r="AT33" s="86"/>
      <c r="AU33" s="86"/>
      <c r="AV33" s="86"/>
    </row>
    <row r="34" spans="1:48" ht="18"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c r="AS34" s="86"/>
      <c r="AT34" s="86"/>
      <c r="AU34" s="86"/>
      <c r="AV34" s="86"/>
    </row>
    <row r="35" spans="1:48" ht="18"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c r="AS35" s="86"/>
      <c r="AT35" s="86"/>
      <c r="AU35" s="86"/>
      <c r="AV35" s="86"/>
    </row>
    <row r="36" spans="1:48" ht="15" customHeight="1" thickBot="1">
      <c r="A36" s="100"/>
      <c r="B36" s="100"/>
      <c r="C36" s="86"/>
      <c r="D36" s="86"/>
      <c r="E36" s="86"/>
      <c r="F36" s="86"/>
      <c r="G36" s="86"/>
      <c r="H36" s="86"/>
      <c r="I36" s="86"/>
      <c r="J36" s="86"/>
      <c r="K36" s="86"/>
      <c r="L36" s="86"/>
      <c r="M36" s="86"/>
      <c r="N36" s="86"/>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c r="AS36" s="86"/>
      <c r="AT36" s="86"/>
      <c r="AU36" s="86"/>
      <c r="AV36" s="86"/>
    </row>
    <row r="37" spans="1:48" ht="16.5" customHeight="1" thickBot="1">
      <c r="A37" s="188"/>
      <c r="B37" s="85"/>
      <c r="C37" s="15" t="s">
        <v>336</v>
      </c>
      <c r="D37" s="85"/>
      <c r="E37" s="85"/>
      <c r="F37" s="85"/>
      <c r="G37" s="85"/>
      <c r="H37" s="85"/>
      <c r="I37" s="85"/>
      <c r="J37" s="85"/>
      <c r="K37" s="85"/>
      <c r="L37" s="85"/>
      <c r="M37" s="85"/>
      <c r="N37" s="16"/>
      <c r="O37" s="40"/>
      <c r="P37" s="40"/>
      <c r="Q37" s="40"/>
      <c r="R37" s="40"/>
      <c r="S37" s="40"/>
      <c r="T37" s="40"/>
      <c r="U37" s="40"/>
      <c r="V37" s="40"/>
      <c r="W37" s="40"/>
      <c r="X37" s="40"/>
      <c r="Y37" s="40"/>
      <c r="Z37" s="40"/>
      <c r="AA37" s="86"/>
      <c r="AB37" s="86"/>
      <c r="AC37" s="86"/>
      <c r="AD37" s="86"/>
      <c r="AE37" s="86"/>
      <c r="AF37" s="86"/>
      <c r="AG37" s="86"/>
      <c r="AH37" s="86"/>
      <c r="AI37" s="86"/>
      <c r="AJ37" s="86"/>
      <c r="AK37" s="86"/>
      <c r="AL37" s="86"/>
      <c r="AM37" s="86"/>
      <c r="AN37" s="86"/>
      <c r="AO37" s="86"/>
      <c r="AP37" s="86"/>
      <c r="AQ37" s="86"/>
      <c r="AR37" s="86"/>
      <c r="AS37" s="86"/>
      <c r="AT37" s="86"/>
      <c r="AU37" s="86"/>
      <c r="AV37" s="86"/>
    </row>
    <row r="38" spans="1:48" ht="81.75" customHeight="1" thickBot="1">
      <c r="A38" s="100"/>
      <c r="B38" s="202"/>
      <c r="C38" s="245"/>
      <c r="D38" s="246"/>
      <c r="E38" s="246"/>
      <c r="F38" s="246"/>
      <c r="G38" s="246"/>
      <c r="H38" s="246"/>
      <c r="I38" s="246"/>
      <c r="J38" s="246"/>
      <c r="K38" s="246"/>
      <c r="L38" s="246"/>
      <c r="M38" s="246"/>
      <c r="N38" s="247"/>
      <c r="O38" s="40"/>
      <c r="P38" s="40"/>
      <c r="Q38" s="40"/>
      <c r="R38" s="40"/>
      <c r="S38" s="40"/>
      <c r="T38" s="40"/>
      <c r="U38" s="40"/>
      <c r="V38" s="40"/>
      <c r="W38" s="40"/>
      <c r="X38" s="40"/>
      <c r="Y38" s="40"/>
      <c r="Z38" s="40"/>
      <c r="AA38" s="86"/>
      <c r="AB38" s="86"/>
      <c r="AC38" s="86"/>
      <c r="AD38" s="86"/>
      <c r="AE38" s="86"/>
      <c r="AF38" s="86"/>
      <c r="AG38" s="86"/>
      <c r="AH38" s="86"/>
      <c r="AI38" s="86"/>
      <c r="AJ38" s="86"/>
      <c r="AK38" s="86"/>
      <c r="AL38" s="86"/>
      <c r="AM38" s="86"/>
      <c r="AN38" s="86"/>
      <c r="AO38" s="86"/>
      <c r="AP38" s="86"/>
      <c r="AQ38" s="86"/>
      <c r="AR38" s="86"/>
      <c r="AS38" s="86"/>
      <c r="AT38" s="86"/>
      <c r="AU38" s="86"/>
      <c r="AV38" s="86"/>
    </row>
    <row r="39" spans="1:48"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row>
    <row r="40" spans="1:48"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row>
    <row r="41" spans="1:48"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row>
    <row r="42" spans="1:48"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row>
    <row r="43" spans="1:48"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row>
    <row r="44" spans="1:48"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row>
    <row r="45" spans="1:48"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row>
    <row r="46" spans="1:48"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row>
    <row r="47" spans="1:48"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row>
    <row r="48" spans="1:48"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row>
    <row r="49" spans="1:48"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row>
    <row r="50" spans="1:48"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row>
    <row r="51" spans="1:48"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row>
    <row r="52" spans="1:48"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row>
    <row r="53" spans="1:48"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row>
    <row r="54" spans="1:48"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row>
    <row r="55" spans="1:48"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row>
    <row r="56" spans="1:48"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row>
    <row r="57" spans="1:48"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row>
    <row r="58" spans="1:48"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row>
    <row r="59" spans="1:48"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row>
    <row r="60" spans="1:48"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row>
    <row r="61" spans="1:48"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row>
    <row r="62" spans="1:48"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row>
    <row r="63" spans="1:48"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row>
    <row r="64" spans="1:48"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row>
    <row r="65" spans="1:48"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row>
    <row r="66" spans="1:48"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row>
    <row r="67" spans="1:48"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c r="AU67" s="86"/>
      <c r="AV67" s="86"/>
    </row>
    <row r="68" spans="1:48"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c r="AU68" s="86"/>
      <c r="AV68" s="86"/>
    </row>
    <row r="69" spans="1:48"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c r="AU69" s="86"/>
      <c r="AV69" s="86"/>
    </row>
    <row r="70" spans="1:48" ht="26.25"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c r="AU70" s="86"/>
      <c r="AV70" s="86"/>
    </row>
    <row r="71" spans="1:48" ht="26.25"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c r="AU71" s="86"/>
      <c r="AV71" s="86"/>
    </row>
    <row r="72" spans="1:48" ht="26.25"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c r="AU72" s="86"/>
      <c r="AV72" s="86"/>
    </row>
    <row r="73" spans="1:48" ht="26.25"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c r="AU73" s="86"/>
      <c r="AV73" s="86"/>
    </row>
    <row r="74" spans="1:48" ht="26.25"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c r="AU74" s="86"/>
      <c r="AV74" s="86"/>
    </row>
    <row r="75" spans="1:48" ht="26.25" customHeight="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c r="AU75" s="86"/>
      <c r="AV75" s="86"/>
    </row>
    <row r="76" spans="1:48" ht="26.25" customHeight="1">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c r="AU76" s="86"/>
      <c r="AV76" s="86"/>
    </row>
    <row r="77" spans="1:48" ht="26.25" customHeight="1">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c r="AU77" s="86"/>
      <c r="AV77" s="86"/>
    </row>
    <row r="78" spans="1:48" ht="26.25" customHeight="1">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c r="AU78" s="86"/>
      <c r="AV78" s="86"/>
    </row>
    <row r="79" spans="1:48" ht="26.25" customHeight="1">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c r="AU79" s="86"/>
      <c r="AV79" s="86"/>
    </row>
    <row r="80" spans="1:48" ht="26.25" customHeight="1">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c r="AU80" s="86"/>
      <c r="AV80" s="86"/>
    </row>
    <row r="81" spans="1:48" ht="26.25" customHeight="1">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c r="AU81" s="86"/>
      <c r="AV81" s="86"/>
    </row>
    <row r="82" spans="1:48" ht="26.25" customHeight="1">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c r="AU82" s="86"/>
      <c r="AV82" s="86"/>
    </row>
    <row r="83" spans="1:48" ht="26.25" customHeight="1">
      <c r="A83" s="100"/>
      <c r="B83" s="100"/>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c r="AQ83" s="86"/>
      <c r="AR83" s="86"/>
      <c r="AS83" s="86"/>
      <c r="AT83" s="86"/>
      <c r="AU83" s="86"/>
      <c r="AV83" s="86"/>
    </row>
    <row r="84" spans="1:48" ht="26.25" customHeight="1">
      <c r="A84" s="100"/>
      <c r="B84" s="100"/>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c r="AP84" s="86"/>
      <c r="AQ84" s="86"/>
      <c r="AR84" s="86"/>
      <c r="AS84" s="86"/>
      <c r="AT84" s="86"/>
      <c r="AU84" s="86"/>
      <c r="AV84" s="86"/>
    </row>
    <row r="85" spans="1:48" ht="26.25" customHeight="1">
      <c r="A85" s="100"/>
      <c r="B85" s="100"/>
      <c r="C85" s="86"/>
      <c r="D85" s="86"/>
      <c r="E85" s="86"/>
      <c r="F85" s="86"/>
      <c r="G85" s="86"/>
      <c r="H85" s="86"/>
      <c r="I85" s="86"/>
      <c r="J85" s="86"/>
      <c r="K85" s="86"/>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c r="AP85" s="86"/>
      <c r="AQ85" s="86"/>
      <c r="AR85" s="86"/>
      <c r="AS85" s="86"/>
      <c r="AT85" s="86"/>
      <c r="AU85" s="86"/>
      <c r="AV85" s="86"/>
    </row>
    <row r="86" spans="1:48" ht="26.25" customHeight="1">
      <c r="A86" s="100"/>
      <c r="B86" s="100"/>
      <c r="C86" s="86"/>
      <c r="D86" s="86"/>
      <c r="E86" s="86"/>
      <c r="F86" s="86"/>
      <c r="G86" s="86"/>
      <c r="H86" s="86"/>
      <c r="I86" s="86"/>
      <c r="J86" s="86"/>
      <c r="K86" s="86"/>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c r="AP86" s="86"/>
      <c r="AQ86" s="86"/>
      <c r="AR86" s="86"/>
      <c r="AS86" s="86"/>
      <c r="AT86" s="86"/>
      <c r="AU86" s="86"/>
      <c r="AV86" s="86"/>
    </row>
    <row r="87" spans="1:48" ht="26.25" customHeight="1">
      <c r="A87" s="100"/>
      <c r="B87" s="100"/>
      <c r="C87" s="86"/>
      <c r="D87" s="86"/>
      <c r="E87" s="86"/>
      <c r="F87" s="86"/>
      <c r="G87" s="86"/>
      <c r="H87" s="86"/>
      <c r="I87" s="86"/>
      <c r="J87" s="86"/>
      <c r="K87" s="86"/>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c r="AP87" s="86"/>
      <c r="AQ87" s="86"/>
      <c r="AR87" s="86"/>
      <c r="AS87" s="86"/>
      <c r="AT87" s="86"/>
      <c r="AU87" s="86"/>
      <c r="AV87" s="86"/>
    </row>
    <row r="88" spans="1:48" ht="26.25" customHeight="1">
      <c r="A88" s="100"/>
      <c r="B88" s="100"/>
      <c r="C88" s="86"/>
      <c r="D88" s="86"/>
      <c r="E88" s="86"/>
      <c r="F88" s="86"/>
      <c r="G88" s="86"/>
      <c r="H88" s="86"/>
      <c r="I88" s="86"/>
      <c r="J88" s="86"/>
      <c r="K88" s="86"/>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c r="AP88" s="86"/>
      <c r="AQ88" s="86"/>
      <c r="AR88" s="86"/>
      <c r="AS88" s="86"/>
      <c r="AT88" s="86"/>
      <c r="AU88" s="86"/>
      <c r="AV88" s="86"/>
    </row>
  </sheetData>
  <mergeCells count="5">
    <mergeCell ref="D3:N4"/>
    <mergeCell ref="C38:N38"/>
    <mergeCell ref="A6:N6"/>
    <mergeCell ref="A8:N8"/>
    <mergeCell ref="A7:N7"/>
  </mergeCells>
  <phoneticPr fontId="5" type="noConversion"/>
  <dataValidations count="3">
    <dataValidation type="whole" errorStyle="warning" operator="lessThan" allowBlank="1" showErrorMessage="1" error="Please only use this cell if you are unable to specify purpose built flats greater than or equal to 4 storeys." sqref="D18:N18" xr:uid="{857E490C-E8F5-464A-BFEA-70C6B6C27FA1}">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5, 16 &amp; 17. If you do populate this row please leave rows 15, 16 &amp; 17 blank." sqref="C18" xr:uid="{60AD53ED-6AAA-4F59-BE74-F81228927FA0}">
      <formula1>0</formula1>
      <formula2>1000</formula2>
    </dataValidation>
    <dataValidation type="whole" errorStyle="warning" allowBlank="1" showInputMessage="1" showErrorMessage="1" error="The figure inputted is either unexpectedly large or not a positive whole number." sqref="C11:N17 C19:N31" xr:uid="{87E05846-83D1-450B-9266-F7068616A6E1}">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6" orientation="landscape" r:id="rId1"/>
  <headerFooter alignWithMargins="0">
    <oddHeader>&amp;LAnnual Returns 2016-17&amp;C&amp;"Aptos"&amp;10&amp;K000000 OFFICIAL&amp;1#_x000D_&amp;RFS8c -  Number of prosecutions - acquittals&amp;LAnnual Returns 2016-17</oddHeader>
    <oddFooter>&amp;C_x000D_&amp;1#&amp;"Aptos"&amp;10&amp;K000000 OFFICIAL</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3"/>
  <dimension ref="A1:BJ69"/>
  <sheetViews>
    <sheetView zoomScale="70" zoomScaleNormal="70" workbookViewId="0">
      <selection activeCell="D37" sqref="C37:N38"/>
    </sheetView>
  </sheetViews>
  <sheetFormatPr defaultColWidth="34.140625" defaultRowHeight="26.25" customHeight="1"/>
  <cols>
    <col min="1" max="1" width="37.140625" style="3" customWidth="1"/>
    <col min="2" max="2" width="36.140625" style="3" hidden="1" customWidth="1"/>
    <col min="3" max="14" width="17.140625" style="7" customWidth="1"/>
    <col min="15" max="16" width="11.42578125" style="7" customWidth="1"/>
    <col min="17" max="34" width="34.140625" style="7" customWidth="1"/>
    <col min="35" max="46" width="6.5703125" customWidth="1"/>
    <col min="47" max="54" width="34.140625" style="7" customWidth="1"/>
    <col min="55" max="56" width="9.5703125" style="7" customWidth="1"/>
    <col min="57" max="59" width="9" style="7" customWidth="1"/>
    <col min="60" max="60" width="9.5703125" style="7" customWidth="1"/>
    <col min="61" max="61" width="34.140625" style="7" customWidth="1"/>
    <col min="62" max="62" width="26.5703125" style="7" customWidth="1"/>
    <col min="63" max="84" width="34.140625" style="7" customWidth="1"/>
    <col min="85" max="16384" width="34.140625" style="7"/>
  </cols>
  <sheetData>
    <row r="1" spans="1:62"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I1" s="7"/>
      <c r="AJ1" s="7"/>
      <c r="AK1" s="7"/>
      <c r="AL1" s="7"/>
      <c r="AM1" s="7"/>
      <c r="AN1" s="7"/>
      <c r="AO1" s="7"/>
      <c r="AP1" s="7"/>
      <c r="AQ1" s="7"/>
      <c r="AR1" s="7"/>
      <c r="AS1" s="7"/>
      <c r="AT1" s="7"/>
    </row>
    <row r="2" spans="1:62"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I2" s="7"/>
      <c r="AJ2" s="7"/>
      <c r="AK2" s="7"/>
      <c r="AL2" s="7"/>
      <c r="AM2" s="7"/>
      <c r="AN2" s="7"/>
      <c r="AO2" s="7"/>
      <c r="AP2" s="7"/>
      <c r="AQ2" s="7"/>
      <c r="AR2" s="7"/>
      <c r="AS2" s="7"/>
      <c r="AT2" s="7"/>
    </row>
    <row r="3" spans="1:62" ht="29.25" customHeight="1">
      <c r="A3" s="86"/>
      <c r="B3" s="86"/>
      <c r="C3" s="86"/>
      <c r="D3" s="248" t="str">
        <f>Cover!A10</f>
        <v>Shropshire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I3" s="7"/>
      <c r="AJ3" s="7"/>
      <c r="AK3" s="7"/>
      <c r="AL3" s="7"/>
      <c r="AM3" s="7"/>
      <c r="AN3" s="7"/>
      <c r="AO3" s="7"/>
      <c r="AP3" s="7"/>
      <c r="AQ3" s="7"/>
      <c r="AR3" s="7"/>
      <c r="AS3" s="7"/>
      <c r="AT3" s="7"/>
    </row>
    <row r="4" spans="1:62"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I4" s="7"/>
      <c r="AJ4" s="7"/>
      <c r="AK4" s="7"/>
      <c r="AL4" s="7"/>
      <c r="AM4" s="7"/>
      <c r="AN4" s="7"/>
      <c r="AO4" s="7"/>
      <c r="AP4" s="7"/>
      <c r="AQ4" s="7"/>
      <c r="AR4" s="7"/>
      <c r="AS4" s="7"/>
      <c r="AT4" s="7"/>
    </row>
    <row r="5" spans="1:62"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I5" s="7"/>
      <c r="AJ5" s="7"/>
      <c r="AK5" s="7"/>
      <c r="AL5" s="7"/>
      <c r="AM5" s="7"/>
      <c r="AN5" s="7"/>
      <c r="AO5" s="7"/>
      <c r="AP5" s="7"/>
      <c r="AQ5" s="7"/>
      <c r="AR5" s="7"/>
      <c r="AS5" s="7"/>
      <c r="AT5" s="7"/>
    </row>
    <row r="6" spans="1:62" ht="26.25" customHeight="1" thickBot="1">
      <c r="A6" s="254" t="s">
        <v>494</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W6"/>
      <c r="AX6"/>
      <c r="AY6"/>
      <c r="AZ6"/>
      <c r="BA6"/>
      <c r="BB6"/>
    </row>
    <row r="7" spans="1:62" ht="38.1"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I7" s="4"/>
      <c r="AJ7" s="4"/>
      <c r="AK7" s="4"/>
      <c r="AL7" s="4"/>
      <c r="AM7" s="4"/>
      <c r="AN7" s="4"/>
      <c r="AO7" s="4"/>
      <c r="AP7" s="4"/>
      <c r="AQ7" s="4"/>
      <c r="AR7" s="4"/>
      <c r="AS7" s="4"/>
      <c r="AT7" s="4"/>
      <c r="BC7" s="4"/>
      <c r="BD7" s="4"/>
      <c r="BE7" s="4"/>
      <c r="BF7" s="4"/>
      <c r="BG7" s="4"/>
      <c r="BH7" s="4"/>
      <c r="BJ7" s="4"/>
    </row>
    <row r="8" spans="1:62" ht="16.5" customHeight="1" thickBot="1">
      <c r="A8" s="260" t="s">
        <v>495</v>
      </c>
      <c r="B8" s="261"/>
      <c r="C8" s="276"/>
      <c r="D8" s="276"/>
      <c r="E8" s="276"/>
      <c r="F8" s="276"/>
      <c r="G8" s="276"/>
      <c r="H8" s="276"/>
      <c r="I8" s="276"/>
      <c r="J8" s="276"/>
      <c r="K8" s="276"/>
      <c r="L8" s="276"/>
      <c r="M8" s="276"/>
      <c r="N8" s="294"/>
      <c r="O8" s="86"/>
      <c r="P8" s="86"/>
      <c r="Q8" s="86"/>
      <c r="R8" s="86"/>
      <c r="S8" s="86"/>
      <c r="T8" s="86"/>
      <c r="U8" s="86"/>
      <c r="V8" s="86"/>
      <c r="W8" s="86"/>
      <c r="X8" s="86"/>
      <c r="Y8" s="86"/>
      <c r="Z8" s="86"/>
      <c r="AA8" s="86"/>
      <c r="AB8" s="86"/>
      <c r="AC8" s="86"/>
      <c r="AD8" s="86"/>
      <c r="AE8" s="86"/>
      <c r="AI8" s="7"/>
      <c r="AJ8" s="7"/>
      <c r="AK8" s="7"/>
      <c r="AL8" s="7"/>
      <c r="AM8" s="7"/>
      <c r="AN8" s="7"/>
      <c r="AO8" s="7"/>
      <c r="AP8" s="7"/>
      <c r="AQ8" s="7"/>
      <c r="AR8" s="7"/>
      <c r="AS8" s="7"/>
      <c r="AT8" s="7"/>
    </row>
    <row r="9" spans="1:62" ht="108.75" customHeight="1" thickBot="1">
      <c r="A9" s="17"/>
      <c r="C9" s="103" t="s">
        <v>408</v>
      </c>
      <c r="D9" s="103" t="s">
        <v>409</v>
      </c>
      <c r="E9" s="103" t="s">
        <v>410</v>
      </c>
      <c r="F9" s="103" t="s">
        <v>411</v>
      </c>
      <c r="G9" s="103" t="s">
        <v>412</v>
      </c>
      <c r="H9" s="103" t="s">
        <v>413</v>
      </c>
      <c r="I9" s="103" t="s">
        <v>414</v>
      </c>
      <c r="J9" s="103" t="s">
        <v>415</v>
      </c>
      <c r="K9" s="103" t="s">
        <v>416</v>
      </c>
      <c r="L9" s="103" t="s">
        <v>417</v>
      </c>
      <c r="M9" s="103" t="s">
        <v>418</v>
      </c>
      <c r="N9" s="103" t="s">
        <v>419</v>
      </c>
      <c r="O9" s="86"/>
      <c r="P9" s="86"/>
      <c r="Q9" s="86"/>
      <c r="R9" s="86"/>
      <c r="S9" s="86"/>
      <c r="T9" s="86"/>
      <c r="U9" s="86"/>
      <c r="V9" s="86"/>
      <c r="W9" s="86"/>
      <c r="X9" s="86"/>
      <c r="Y9" s="86"/>
      <c r="Z9" s="86"/>
      <c r="AA9" s="86"/>
      <c r="AB9" s="86"/>
      <c r="AC9" s="86"/>
      <c r="AD9" s="86"/>
      <c r="AE9" s="86"/>
      <c r="AI9" s="7"/>
      <c r="AJ9" s="7"/>
      <c r="AK9" s="7"/>
      <c r="AL9" s="7"/>
      <c r="AM9" s="7"/>
      <c r="AN9" s="7"/>
      <c r="AO9" s="7"/>
      <c r="AP9" s="7"/>
      <c r="AQ9" s="7"/>
      <c r="AR9" s="7"/>
      <c r="AS9" s="7"/>
      <c r="AT9" s="7"/>
      <c r="BC9" s="6"/>
      <c r="BD9" s="6"/>
      <c r="BE9" s="6"/>
      <c r="BF9" s="6"/>
      <c r="BG9" s="6"/>
      <c r="BH9" s="6"/>
      <c r="BJ9" s="6"/>
    </row>
    <row r="10" spans="1:62" ht="13.5" hidden="1" thickBot="1">
      <c r="C10" s="18" t="s">
        <v>496</v>
      </c>
      <c r="D10" s="18" t="s">
        <v>497</v>
      </c>
      <c r="E10" s="18" t="s">
        <v>498</v>
      </c>
      <c r="F10" s="18" t="s">
        <v>499</v>
      </c>
      <c r="G10" s="18" t="s">
        <v>500</v>
      </c>
      <c r="H10" s="18" t="s">
        <v>501</v>
      </c>
      <c r="I10" s="18" t="s">
        <v>502</v>
      </c>
      <c r="J10" s="18" t="s">
        <v>503</v>
      </c>
      <c r="K10" s="18" t="s">
        <v>504</v>
      </c>
      <c r="L10" s="18" t="s">
        <v>505</v>
      </c>
      <c r="M10" s="18" t="s">
        <v>506</v>
      </c>
      <c r="N10" s="18" t="s">
        <v>507</v>
      </c>
      <c r="O10" s="86"/>
      <c r="P10" s="86"/>
      <c r="Q10" s="86"/>
      <c r="R10" s="86"/>
      <c r="S10" s="86"/>
      <c r="T10" s="86"/>
      <c r="U10" s="86"/>
      <c r="V10" s="86"/>
      <c r="W10" s="86"/>
      <c r="X10" s="86"/>
      <c r="Y10" s="86"/>
      <c r="Z10" s="86"/>
      <c r="AA10" s="86"/>
      <c r="AB10" s="86"/>
      <c r="AC10" s="86"/>
      <c r="AD10" s="86"/>
      <c r="AE10" s="86"/>
      <c r="AI10" s="7"/>
      <c r="AJ10" s="7"/>
      <c r="AK10" s="7"/>
      <c r="AL10" s="7"/>
      <c r="AM10" s="7"/>
      <c r="AN10" s="7"/>
      <c r="AO10" s="7"/>
      <c r="AP10" s="7"/>
      <c r="AQ10" s="7"/>
      <c r="AR10" s="7"/>
      <c r="AS10" s="7"/>
      <c r="AT10" s="7"/>
      <c r="BC10" s="6"/>
      <c r="BD10" s="6"/>
      <c r="BE10" s="6"/>
      <c r="BF10" s="6"/>
      <c r="BG10" s="6"/>
      <c r="BH10" s="6"/>
      <c r="BJ10" s="6"/>
    </row>
    <row r="11" spans="1:62" ht="16.5" customHeight="1" thickBot="1">
      <c r="A11" s="201" t="s">
        <v>296</v>
      </c>
      <c r="B11" s="202" t="s">
        <v>388</v>
      </c>
      <c r="C11" s="183"/>
      <c r="D11" s="183"/>
      <c r="E11" s="183"/>
      <c r="F11" s="183"/>
      <c r="G11" s="183"/>
      <c r="H11" s="183"/>
      <c r="I11" s="183"/>
      <c r="J11" s="183"/>
      <c r="K11" s="183"/>
      <c r="L11" s="183"/>
      <c r="M11" s="183"/>
      <c r="N11" s="183"/>
      <c r="O11" s="40"/>
      <c r="P11" s="86"/>
      <c r="Q11" s="86"/>
      <c r="R11" s="86"/>
      <c r="S11" s="86"/>
      <c r="T11" s="86"/>
      <c r="U11" s="86"/>
      <c r="V11" s="86"/>
      <c r="W11" s="86"/>
      <c r="X11" s="86"/>
      <c r="Y11" s="86"/>
      <c r="Z11" s="86"/>
      <c r="AA11" s="86"/>
      <c r="AB11" s="86"/>
      <c r="AC11" s="86"/>
      <c r="AD11" s="86"/>
      <c r="AE11" s="86"/>
      <c r="AW11"/>
      <c r="AX11"/>
      <c r="AY11"/>
      <c r="AZ11"/>
      <c r="BA11"/>
      <c r="BB11"/>
      <c r="BC11"/>
      <c r="BD11"/>
      <c r="BE11"/>
      <c r="BF11"/>
      <c r="BG11"/>
      <c r="BH11"/>
    </row>
    <row r="12" spans="1:62" ht="16.5" customHeight="1" thickBot="1">
      <c r="A12" s="13" t="s">
        <v>297</v>
      </c>
      <c r="B12" s="202" t="s">
        <v>389</v>
      </c>
      <c r="C12" s="183"/>
      <c r="D12" s="183"/>
      <c r="E12" s="183"/>
      <c r="F12" s="183"/>
      <c r="G12" s="183"/>
      <c r="H12" s="183"/>
      <c r="I12" s="183"/>
      <c r="J12" s="183"/>
      <c r="K12" s="183"/>
      <c r="L12" s="183"/>
      <c r="M12" s="183"/>
      <c r="N12" s="183"/>
      <c r="O12" s="40"/>
      <c r="P12" s="86"/>
      <c r="Q12" s="86"/>
      <c r="R12" s="86"/>
      <c r="S12" s="86"/>
      <c r="T12" s="86"/>
      <c r="U12" s="86"/>
      <c r="V12" s="86"/>
      <c r="W12" s="86"/>
      <c r="X12" s="86"/>
      <c r="Y12" s="86"/>
      <c r="Z12" s="86"/>
      <c r="AA12" s="86"/>
      <c r="AB12" s="86"/>
      <c r="AC12" s="86"/>
      <c r="AD12" s="86"/>
      <c r="AE12" s="86"/>
      <c r="AW12"/>
      <c r="AX12"/>
      <c r="AY12"/>
      <c r="AZ12"/>
      <c r="BA12"/>
      <c r="BB12"/>
      <c r="BC12"/>
      <c r="BD12"/>
      <c r="BE12"/>
      <c r="BF12"/>
      <c r="BG12"/>
      <c r="BH12"/>
    </row>
    <row r="13" spans="1:62" ht="20.25" customHeight="1" thickBot="1">
      <c r="A13" s="13" t="s">
        <v>298</v>
      </c>
      <c r="B13" s="202" t="s">
        <v>390</v>
      </c>
      <c r="C13" s="183"/>
      <c r="D13" s="183"/>
      <c r="E13" s="183"/>
      <c r="F13" s="183"/>
      <c r="G13" s="183"/>
      <c r="H13" s="183"/>
      <c r="I13" s="183"/>
      <c r="J13" s="183"/>
      <c r="K13" s="183"/>
      <c r="L13" s="183"/>
      <c r="M13" s="183"/>
      <c r="N13" s="183"/>
      <c r="O13" s="40"/>
      <c r="P13" s="86"/>
      <c r="Q13" s="86"/>
      <c r="R13" s="86"/>
      <c r="S13" s="86"/>
      <c r="T13" s="86"/>
      <c r="U13" s="86"/>
      <c r="V13" s="86"/>
      <c r="W13" s="86"/>
      <c r="X13" s="86"/>
      <c r="Y13" s="86"/>
      <c r="Z13" s="86"/>
      <c r="AA13" s="86"/>
      <c r="AB13" s="86"/>
      <c r="AC13" s="86"/>
      <c r="AD13" s="86"/>
      <c r="AE13" s="86"/>
      <c r="AW13"/>
      <c r="AX13"/>
      <c r="AY13"/>
      <c r="AZ13"/>
      <c r="BA13"/>
      <c r="BB13"/>
      <c r="BC13"/>
      <c r="BD13"/>
      <c r="BE13"/>
      <c r="BF13"/>
      <c r="BG13"/>
      <c r="BH13"/>
    </row>
    <row r="14" spans="1:62" customFormat="1" ht="18.75" customHeight="1" thickBot="1">
      <c r="A14" s="13" t="s">
        <v>299</v>
      </c>
      <c r="B14" s="202"/>
      <c r="C14" s="183"/>
      <c r="D14" s="183"/>
      <c r="E14" s="183"/>
      <c r="F14" s="183"/>
      <c r="G14" s="183"/>
      <c r="H14" s="183"/>
      <c r="I14" s="183"/>
      <c r="J14" s="183"/>
      <c r="K14" s="183"/>
      <c r="L14" s="183"/>
      <c r="M14" s="183"/>
      <c r="N14" s="183"/>
      <c r="O14" s="40"/>
      <c r="P14" s="86"/>
      <c r="Q14" s="86"/>
      <c r="R14" s="40"/>
      <c r="S14" s="40"/>
      <c r="T14" s="40"/>
      <c r="U14" s="40"/>
      <c r="V14" s="40"/>
      <c r="W14" s="40"/>
      <c r="X14" s="40"/>
      <c r="Y14" s="40"/>
      <c r="Z14" s="40"/>
      <c r="AA14" s="40"/>
      <c r="AB14" s="40"/>
      <c r="AC14" s="40"/>
      <c r="AD14" s="40"/>
      <c r="AE14" s="40"/>
    </row>
    <row r="15" spans="1:62" customFormat="1" ht="18.75" hidden="1" customHeight="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row>
    <row r="16" spans="1:62" customFormat="1"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row>
    <row r="17" spans="1:60" customFormat="1"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row>
    <row r="18" spans="1:60" ht="13.5" thickBot="1">
      <c r="A18" s="56" t="s">
        <v>303</v>
      </c>
      <c r="B18" s="203" t="s">
        <v>391</v>
      </c>
      <c r="C18" s="204"/>
      <c r="D18" s="204"/>
      <c r="E18" s="204"/>
      <c r="F18" s="204"/>
      <c r="G18" s="204"/>
      <c r="H18" s="204"/>
      <c r="I18" s="204"/>
      <c r="J18" s="204"/>
      <c r="K18" s="204"/>
      <c r="L18" s="204"/>
      <c r="M18" s="204"/>
      <c r="N18" s="204"/>
      <c r="O18" s="40"/>
      <c r="P18" s="86"/>
      <c r="Q18" s="86"/>
      <c r="R18" s="86"/>
      <c r="S18" s="86"/>
      <c r="T18" s="86"/>
      <c r="U18" s="86"/>
      <c r="V18" s="86"/>
      <c r="W18" s="86"/>
      <c r="X18" s="86"/>
      <c r="Y18" s="86"/>
      <c r="Z18" s="86"/>
      <c r="AA18" s="86"/>
      <c r="AB18" s="86"/>
      <c r="AC18" s="86"/>
      <c r="AD18" s="86"/>
      <c r="AE18" s="86"/>
      <c r="AW18"/>
      <c r="AX18"/>
      <c r="AY18"/>
      <c r="AZ18"/>
      <c r="BA18"/>
      <c r="BB18"/>
      <c r="BC18"/>
      <c r="BD18"/>
      <c r="BE18"/>
      <c r="BF18"/>
      <c r="BG18"/>
      <c r="BH18"/>
    </row>
    <row r="19" spans="1:60" ht="16.5" customHeight="1" thickBot="1">
      <c r="A19" s="13" t="s">
        <v>304</v>
      </c>
      <c r="B19" s="202" t="s">
        <v>392</v>
      </c>
      <c r="C19" s="183"/>
      <c r="D19" s="183"/>
      <c r="E19" s="183"/>
      <c r="F19" s="183"/>
      <c r="G19" s="183"/>
      <c r="H19" s="183"/>
      <c r="I19" s="183"/>
      <c r="J19" s="183"/>
      <c r="K19" s="183"/>
      <c r="L19" s="183"/>
      <c r="M19" s="183"/>
      <c r="N19" s="183"/>
      <c r="O19" s="86"/>
      <c r="P19" s="86"/>
      <c r="Q19" s="86"/>
      <c r="R19" s="86"/>
      <c r="S19" s="86"/>
      <c r="T19" s="86"/>
      <c r="U19" s="86"/>
      <c r="V19" s="86"/>
      <c r="W19" s="86"/>
      <c r="X19" s="86"/>
      <c r="Y19" s="86"/>
      <c r="Z19" s="86"/>
      <c r="AA19" s="86"/>
      <c r="AB19" s="86"/>
      <c r="AC19" s="86"/>
      <c r="AD19" s="86"/>
      <c r="AE19" s="86"/>
      <c r="AW19"/>
      <c r="AX19"/>
      <c r="AY19"/>
      <c r="AZ19"/>
      <c r="BA19"/>
      <c r="BB19"/>
      <c r="BC19"/>
      <c r="BD19"/>
      <c r="BE19"/>
      <c r="BF19"/>
      <c r="BG19"/>
      <c r="BH19"/>
    </row>
    <row r="20" spans="1:60" ht="16.5" customHeight="1" thickBot="1">
      <c r="A20" s="13" t="s">
        <v>305</v>
      </c>
      <c r="B20" s="202" t="s">
        <v>393</v>
      </c>
      <c r="C20" s="183"/>
      <c r="D20" s="183"/>
      <c r="E20" s="183"/>
      <c r="F20" s="183"/>
      <c r="G20" s="183"/>
      <c r="H20" s="183"/>
      <c r="I20" s="183"/>
      <c r="J20" s="183"/>
      <c r="K20" s="183"/>
      <c r="L20" s="183"/>
      <c r="M20" s="183"/>
      <c r="N20" s="183"/>
      <c r="O20" s="86"/>
      <c r="P20" s="86"/>
      <c r="Q20" s="86"/>
      <c r="R20" s="86"/>
      <c r="S20" s="86"/>
      <c r="T20" s="86"/>
      <c r="U20" s="86"/>
      <c r="V20" s="86"/>
      <c r="W20" s="86"/>
      <c r="X20" s="86"/>
      <c r="Y20" s="86"/>
      <c r="Z20" s="86"/>
      <c r="AA20" s="86"/>
      <c r="AB20" s="86"/>
      <c r="AC20" s="86"/>
      <c r="AD20" s="86"/>
      <c r="AE20" s="86"/>
      <c r="AW20"/>
      <c r="AX20"/>
      <c r="AY20"/>
      <c r="AZ20"/>
      <c r="BA20"/>
      <c r="BB20"/>
      <c r="BC20"/>
      <c r="BD20"/>
      <c r="BE20"/>
      <c r="BF20"/>
      <c r="BG20"/>
      <c r="BH20"/>
    </row>
    <row r="21" spans="1:60" ht="16.5" customHeight="1" thickBot="1">
      <c r="A21" s="13" t="s">
        <v>306</v>
      </c>
      <c r="B21" s="202" t="s">
        <v>394</v>
      </c>
      <c r="C21" s="183"/>
      <c r="D21" s="183"/>
      <c r="E21" s="183"/>
      <c r="F21" s="183"/>
      <c r="G21" s="183"/>
      <c r="H21" s="183"/>
      <c r="I21" s="183"/>
      <c r="J21" s="183"/>
      <c r="K21" s="183"/>
      <c r="L21" s="183"/>
      <c r="M21" s="183"/>
      <c r="N21" s="183"/>
      <c r="O21" s="86"/>
      <c r="P21" s="86"/>
      <c r="Q21" s="86"/>
      <c r="R21" s="86"/>
      <c r="S21" s="86"/>
      <c r="T21" s="86"/>
      <c r="U21" s="86"/>
      <c r="V21" s="86"/>
      <c r="W21" s="86"/>
      <c r="X21" s="86"/>
      <c r="Y21" s="86"/>
      <c r="Z21" s="86"/>
      <c r="AA21" s="86"/>
      <c r="AB21" s="86"/>
      <c r="AC21" s="86"/>
      <c r="AD21" s="86"/>
      <c r="AE21" s="86"/>
      <c r="AW21"/>
      <c r="AX21"/>
      <c r="AY21"/>
      <c r="AZ21"/>
      <c r="BA21"/>
      <c r="BB21"/>
      <c r="BC21"/>
      <c r="BD21"/>
      <c r="BE21"/>
      <c r="BF21"/>
      <c r="BG21"/>
      <c r="BH21"/>
    </row>
    <row r="22" spans="1:60" ht="16.5"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W22"/>
      <c r="AX22"/>
      <c r="AY22"/>
      <c r="AZ22"/>
      <c r="BA22"/>
      <c r="BB22"/>
      <c r="BC22"/>
      <c r="BD22"/>
      <c r="BE22"/>
      <c r="BF22"/>
      <c r="BG22"/>
      <c r="BH22"/>
    </row>
    <row r="23" spans="1:60" ht="16.5"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W23"/>
      <c r="AX23"/>
      <c r="AY23"/>
      <c r="AZ23"/>
      <c r="BA23"/>
      <c r="BB23"/>
      <c r="BC23"/>
      <c r="BD23"/>
      <c r="BE23"/>
      <c r="BF23"/>
      <c r="BG23"/>
      <c r="BH23"/>
    </row>
    <row r="24" spans="1:60" ht="16.5"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W24"/>
      <c r="AX24"/>
      <c r="AY24"/>
      <c r="AZ24"/>
      <c r="BA24"/>
      <c r="BB24"/>
      <c r="BC24"/>
      <c r="BD24"/>
      <c r="BE24"/>
      <c r="BF24"/>
      <c r="BG24"/>
      <c r="BH24"/>
    </row>
    <row r="25" spans="1:60" ht="16.5"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W25"/>
      <c r="AX25"/>
      <c r="AY25"/>
      <c r="AZ25"/>
      <c r="BA25"/>
      <c r="BB25"/>
      <c r="BC25"/>
      <c r="BD25"/>
      <c r="BE25"/>
      <c r="BF25"/>
      <c r="BG25"/>
      <c r="BH25"/>
    </row>
    <row r="26" spans="1:60" ht="16.5"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W26"/>
      <c r="AX26"/>
      <c r="AY26"/>
      <c r="AZ26"/>
      <c r="BA26"/>
      <c r="BB26"/>
      <c r="BC26"/>
      <c r="BD26"/>
      <c r="BE26"/>
      <c r="BF26"/>
      <c r="BG26"/>
      <c r="BH26"/>
    </row>
    <row r="27" spans="1:60" ht="16.5"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W27"/>
      <c r="AX27"/>
      <c r="AY27"/>
      <c r="AZ27"/>
      <c r="BA27"/>
      <c r="BB27"/>
      <c r="BC27"/>
      <c r="BD27"/>
      <c r="BE27"/>
      <c r="BF27"/>
      <c r="BG27"/>
      <c r="BH27"/>
    </row>
    <row r="28" spans="1:60" ht="16.5"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W28"/>
      <c r="AX28"/>
      <c r="AY28"/>
      <c r="AZ28"/>
      <c r="BA28"/>
      <c r="BB28"/>
      <c r="BC28"/>
      <c r="BD28"/>
      <c r="BE28"/>
      <c r="BF28"/>
      <c r="BG28"/>
      <c r="BH28"/>
    </row>
    <row r="29" spans="1:60"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86"/>
      <c r="AB29" s="86"/>
      <c r="AC29" s="86"/>
      <c r="AD29" s="86"/>
      <c r="AE29" s="86"/>
      <c r="AW29"/>
      <c r="AX29"/>
      <c r="AY29"/>
      <c r="AZ29"/>
      <c r="BA29"/>
      <c r="BB29"/>
      <c r="BC29"/>
      <c r="BD29"/>
      <c r="BE29"/>
      <c r="BF29"/>
      <c r="BG29"/>
      <c r="BH29"/>
    </row>
    <row r="30" spans="1:60"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86"/>
      <c r="AB30" s="86"/>
      <c r="AC30" s="86"/>
      <c r="AD30" s="86"/>
      <c r="AE30" s="86"/>
      <c r="AW30"/>
      <c r="AX30"/>
      <c r="AY30"/>
      <c r="AZ30"/>
      <c r="BA30"/>
      <c r="BB30"/>
      <c r="BC30"/>
      <c r="BD30"/>
      <c r="BE30"/>
      <c r="BF30"/>
      <c r="BG30"/>
      <c r="BH30"/>
    </row>
    <row r="31" spans="1:60"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86"/>
      <c r="AB31" s="86"/>
      <c r="AC31" s="86"/>
      <c r="AD31" s="86"/>
      <c r="AE31" s="86"/>
      <c r="AW31"/>
      <c r="AX31"/>
      <c r="AY31"/>
      <c r="AZ31"/>
      <c r="BA31"/>
      <c r="BB31"/>
      <c r="BC31"/>
      <c r="BD31"/>
      <c r="BE31"/>
      <c r="BF31"/>
      <c r="BG31"/>
      <c r="BH31"/>
    </row>
    <row r="32" spans="1:60" ht="16.5" customHeight="1" thickBot="1">
      <c r="A32" s="9" t="s">
        <v>317</v>
      </c>
      <c r="B32" s="216"/>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40"/>
      <c r="P32" s="40"/>
      <c r="Q32" s="40"/>
      <c r="R32" s="40"/>
      <c r="S32" s="40"/>
      <c r="T32" s="40"/>
      <c r="U32" s="40"/>
      <c r="V32" s="40"/>
      <c r="W32" s="40"/>
      <c r="X32" s="40"/>
      <c r="Y32" s="40"/>
      <c r="Z32" s="40"/>
      <c r="AA32" s="86"/>
      <c r="AB32" s="86"/>
      <c r="AC32" s="86"/>
      <c r="AD32" s="86"/>
      <c r="AE32" s="86"/>
      <c r="AW32"/>
      <c r="AX32"/>
      <c r="AY32"/>
      <c r="AZ32"/>
      <c r="BA32"/>
      <c r="BB32"/>
      <c r="BC32"/>
      <c r="BD32"/>
      <c r="BE32"/>
      <c r="BF32"/>
      <c r="BG32"/>
      <c r="BH32"/>
    </row>
    <row r="33" spans="1:54" ht="3.75"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W33"/>
      <c r="AX33"/>
      <c r="AY33"/>
      <c r="AZ33"/>
      <c r="BA33"/>
      <c r="BB33"/>
    </row>
    <row r="34" spans="1:54" customFormat="1" ht="1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row>
    <row r="35" spans="1:54" customFormat="1" ht="1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row>
    <row r="36" spans="1:54" customFormat="1" ht="15" customHeight="1" thickBo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c r="AD36" s="40"/>
      <c r="AE36" s="40"/>
    </row>
    <row r="37" spans="1:54" ht="16.5" customHeight="1" thickBot="1">
      <c r="A37" s="188"/>
      <c r="B37" s="85"/>
      <c r="C37" s="15" t="s">
        <v>336</v>
      </c>
      <c r="D37" s="85"/>
      <c r="E37" s="85"/>
      <c r="F37" s="85"/>
      <c r="G37" s="85"/>
      <c r="H37" s="85"/>
      <c r="I37" s="85"/>
      <c r="J37" s="85"/>
      <c r="K37" s="85"/>
      <c r="L37" s="85"/>
      <c r="M37" s="85"/>
      <c r="N37" s="16"/>
      <c r="O37" s="40"/>
      <c r="P37" s="40"/>
      <c r="Q37" s="40"/>
      <c r="R37" s="40"/>
      <c r="S37" s="40"/>
      <c r="T37" s="40"/>
      <c r="U37" s="40"/>
      <c r="V37" s="40"/>
      <c r="W37" s="40"/>
      <c r="X37" s="40"/>
      <c r="Y37" s="40"/>
      <c r="Z37" s="40"/>
      <c r="AA37" s="86"/>
      <c r="AB37" s="86"/>
      <c r="AC37" s="86"/>
      <c r="AD37" s="86"/>
      <c r="AE37" s="86"/>
      <c r="AW37"/>
      <c r="AX37"/>
      <c r="AY37"/>
      <c r="AZ37"/>
      <c r="BA37"/>
      <c r="BB37"/>
    </row>
    <row r="38" spans="1:54" ht="59.25" customHeight="1" thickBot="1">
      <c r="A38" s="188"/>
      <c r="B38" s="202"/>
      <c r="C38" s="245"/>
      <c r="D38" s="246"/>
      <c r="E38" s="246"/>
      <c r="F38" s="246"/>
      <c r="G38" s="246"/>
      <c r="H38" s="246"/>
      <c r="I38" s="246"/>
      <c r="J38" s="246"/>
      <c r="K38" s="246"/>
      <c r="L38" s="246"/>
      <c r="M38" s="246"/>
      <c r="N38" s="247"/>
      <c r="O38" s="40"/>
      <c r="P38" s="40"/>
      <c r="Q38" s="40"/>
      <c r="R38" s="40"/>
      <c r="S38" s="40"/>
      <c r="T38" s="40"/>
      <c r="U38" s="40"/>
      <c r="V38" s="40"/>
      <c r="W38" s="40"/>
      <c r="X38" s="40"/>
      <c r="Y38" s="40"/>
      <c r="Z38" s="40"/>
      <c r="AA38" s="86"/>
      <c r="AB38" s="86"/>
      <c r="AC38" s="86"/>
      <c r="AD38" s="86"/>
      <c r="AE38" s="86"/>
      <c r="AW38"/>
      <c r="AX38"/>
      <c r="AY38"/>
      <c r="AZ38"/>
      <c r="BA38"/>
      <c r="BB38"/>
    </row>
    <row r="39" spans="1:54"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W39"/>
      <c r="AX39"/>
      <c r="AY39"/>
      <c r="AZ39"/>
      <c r="BA39"/>
      <c r="BB39"/>
    </row>
    <row r="40" spans="1:54"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W40"/>
      <c r="AX40"/>
      <c r="AY40"/>
      <c r="AZ40"/>
      <c r="BA40"/>
      <c r="BB40"/>
    </row>
    <row r="41" spans="1:54"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row>
    <row r="42" spans="1:54"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row>
    <row r="43" spans="1:54"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row>
    <row r="44" spans="1:54"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row>
    <row r="45" spans="1:54"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row>
    <row r="46" spans="1:54"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row>
    <row r="47" spans="1:54"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row>
    <row r="48" spans="1:54"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row>
    <row r="49" spans="1:31"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row>
    <row r="50" spans="1:31"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row>
    <row r="51" spans="1:31"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row>
    <row r="52" spans="1:31"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row>
    <row r="53" spans="1:31"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row>
    <row r="54" spans="1:31"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row>
    <row r="55" spans="1:31"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row>
    <row r="56" spans="1:31"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row>
    <row r="57" spans="1:31"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row>
    <row r="58" spans="1:31"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row>
    <row r="59" spans="1:31"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row>
    <row r="60" spans="1:31"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row>
    <row r="61" spans="1:31"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row>
    <row r="62" spans="1:31"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row>
    <row r="63" spans="1:31"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row>
    <row r="64" spans="1:31"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row>
    <row r="65" spans="1:31"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row>
    <row r="66" spans="1:31"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row>
    <row r="67" spans="1:31"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row>
    <row r="68" spans="1:31"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row>
    <row r="69" spans="1:31"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row>
  </sheetData>
  <mergeCells count="5">
    <mergeCell ref="D3:N4"/>
    <mergeCell ref="C38:N38"/>
    <mergeCell ref="A6:N6"/>
    <mergeCell ref="A8:N8"/>
    <mergeCell ref="A7:N7"/>
  </mergeCells>
  <phoneticPr fontId="5" type="noConversion"/>
  <dataValidations count="1">
    <dataValidation type="whole" errorStyle="warning" allowBlank="1" showInputMessage="1" showErrorMessage="1" error="The figure inputted is either unexpectedly large or not a positive whole number." sqref="C11:N31" xr:uid="{15368243-8FEF-41DA-9161-723CAE612A0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7" orientation="landscape" r:id="rId1"/>
  <headerFooter alignWithMargins="0">
    <oddHeader>&amp;LAnnual Returns 2016-17&amp;C&amp;"Aptos"&amp;10&amp;K000000 OFFICIAL&amp;1#_x000D_&amp;RFS8d -  Number of prosecutions - acquittals (continued)&amp;LAnnual Returns 2016-17</oddHeader>
    <oddFooter>&amp;C_x000D_&amp;1#&amp;"Aptos"&amp;10&amp;K000000 OFFICIAL</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pageSetUpPr fitToPage="1"/>
  </sheetPr>
  <dimension ref="A1:BB66"/>
  <sheetViews>
    <sheetView zoomScale="80" zoomScaleNormal="80" workbookViewId="0">
      <selection activeCell="B10" sqref="B10"/>
    </sheetView>
  </sheetViews>
  <sheetFormatPr defaultColWidth="9.140625" defaultRowHeight="12.75"/>
  <cols>
    <col min="1" max="1" width="69.5703125" style="3" customWidth="1"/>
    <col min="2" max="6" width="14.5703125" style="8" customWidth="1"/>
    <col min="7" max="23" width="10" style="7" customWidth="1"/>
    <col min="24" max="25" width="9.140625" style="7"/>
    <col min="26" max="49" width="9.140625" style="7" customWidth="1"/>
    <col min="50" max="16384" width="9.140625" style="7"/>
  </cols>
  <sheetData>
    <row r="1" spans="1:54">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row>
    <row r="2" spans="1:54"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row>
    <row r="3" spans="1:54" ht="29.25" customHeight="1">
      <c r="A3" s="86"/>
      <c r="B3" s="248" t="str">
        <f>Cover!A10</f>
        <v>Shropshire</v>
      </c>
      <c r="C3" s="249"/>
      <c r="D3" s="249"/>
      <c r="E3" s="249"/>
      <c r="F3" s="250"/>
      <c r="G3" s="86"/>
      <c r="H3" s="86"/>
      <c r="I3" s="86"/>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row>
    <row r="4" spans="1:54" ht="13.5" thickBot="1">
      <c r="A4" s="86"/>
      <c r="B4" s="251"/>
      <c r="C4" s="252"/>
      <c r="D4" s="252"/>
      <c r="E4" s="252"/>
      <c r="F4" s="253"/>
      <c r="G4" s="86"/>
      <c r="H4" s="86"/>
      <c r="I4" s="86"/>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row>
    <row r="5" spans="1:54" ht="33" customHeight="1" thickBot="1">
      <c r="A5" s="86"/>
      <c r="B5" s="86"/>
      <c r="C5" s="86"/>
      <c r="D5" s="86"/>
      <c r="E5" s="86"/>
      <c r="F5" s="86"/>
      <c r="G5" s="40"/>
      <c r="H5" s="40"/>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row>
    <row r="6" spans="1:54" ht="16.5" customHeight="1" thickBot="1">
      <c r="A6" s="254" t="s">
        <v>508</v>
      </c>
      <c r="B6" s="255"/>
      <c r="C6" s="255"/>
      <c r="D6" s="255"/>
      <c r="E6" s="255"/>
      <c r="F6" s="256"/>
      <c r="G6" s="40"/>
      <c r="H6" s="40"/>
      <c r="I6" s="8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c r="AW6" s="86"/>
      <c r="AX6" s="86"/>
      <c r="AY6" s="86"/>
      <c r="AZ6" s="86"/>
      <c r="BA6" s="86"/>
      <c r="BB6" s="86"/>
    </row>
    <row r="7" spans="1:54" ht="37.5" customHeight="1" thickBot="1">
      <c r="A7" s="303" t="s">
        <v>325</v>
      </c>
      <c r="B7" s="304"/>
      <c r="C7" s="304"/>
      <c r="D7" s="304"/>
      <c r="E7" s="304"/>
      <c r="F7" s="305"/>
      <c r="G7" s="40"/>
      <c r="H7" s="40"/>
      <c r="I7" s="105"/>
      <c r="J7" s="105"/>
      <c r="K7" s="105"/>
      <c r="L7" s="105"/>
      <c r="M7" s="105"/>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row>
    <row r="8" spans="1:54" ht="12.75" customHeight="1" thickBot="1">
      <c r="A8" s="260" t="s">
        <v>481</v>
      </c>
      <c r="B8" s="261"/>
      <c r="C8" s="261"/>
      <c r="D8" s="261"/>
      <c r="E8" s="261"/>
      <c r="F8" s="262"/>
      <c r="G8" s="40"/>
      <c r="H8" s="40"/>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row>
    <row r="9" spans="1:54" ht="33.75" customHeight="1" thickBot="1">
      <c r="A9" s="5"/>
      <c r="B9" s="213" t="s">
        <v>338</v>
      </c>
      <c r="C9" s="213" t="s">
        <v>509</v>
      </c>
      <c r="D9" s="213" t="s">
        <v>510</v>
      </c>
      <c r="E9" s="213" t="s">
        <v>511</v>
      </c>
      <c r="F9" s="213" t="s">
        <v>512</v>
      </c>
      <c r="G9" s="40"/>
      <c r="H9" s="40"/>
      <c r="I9" s="86"/>
      <c r="J9" s="86"/>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row>
    <row r="10" spans="1:54" ht="45" customHeight="1" thickBot="1">
      <c r="A10" s="201" t="s">
        <v>513</v>
      </c>
      <c r="B10" s="111"/>
      <c r="C10" s="111"/>
      <c r="D10" s="111"/>
      <c r="E10" s="111"/>
      <c r="F10" s="111"/>
      <c r="G10" s="40"/>
      <c r="H10" s="40"/>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row>
    <row r="11" spans="1:54" ht="45" customHeight="1" thickBot="1">
      <c r="A11" s="13" t="s">
        <v>514</v>
      </c>
      <c r="B11" s="111"/>
      <c r="C11" s="111"/>
      <c r="D11" s="111"/>
      <c r="E11" s="111"/>
      <c r="F11" s="111"/>
      <c r="G11" s="40"/>
      <c r="H11" s="40"/>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row>
    <row r="12" spans="1:54" ht="45" customHeight="1" thickBot="1">
      <c r="A12" s="13" t="s">
        <v>515</v>
      </c>
      <c r="B12" s="111"/>
      <c r="C12" s="111"/>
      <c r="D12" s="111"/>
      <c r="E12" s="111"/>
      <c r="F12" s="111"/>
      <c r="G12" s="40"/>
      <c r="H12" s="40"/>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row>
    <row r="13" spans="1:54" ht="45" customHeight="1" thickBot="1">
      <c r="A13" s="13" t="s">
        <v>516</v>
      </c>
      <c r="B13" s="111"/>
      <c r="C13" s="111"/>
      <c r="D13" s="111"/>
      <c r="E13" s="111"/>
      <c r="F13" s="111"/>
      <c r="G13" s="40"/>
      <c r="H13" s="40"/>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row>
    <row r="14" spans="1:54" ht="39.75" customHeight="1" thickBot="1">
      <c r="A14" s="9" t="s">
        <v>317</v>
      </c>
      <c r="B14" s="91">
        <f>SUM(B10:B13)</f>
        <v>0</v>
      </c>
      <c r="C14" s="91">
        <f>SUM(C10:C13)</f>
        <v>0</v>
      </c>
      <c r="D14" s="91">
        <f>SUM(D10:D13)</f>
        <v>0</v>
      </c>
      <c r="E14" s="91">
        <f>SUM(E10:E13)</f>
        <v>0</v>
      </c>
      <c r="F14" s="91">
        <f>SUM(F10:F13)</f>
        <v>0</v>
      </c>
      <c r="G14" s="86"/>
      <c r="H14" s="86"/>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row>
    <row r="15" spans="1:54" ht="13.5" customHeight="1">
      <c r="A15" s="87"/>
      <c r="B15" s="88"/>
      <c r="C15" s="88"/>
      <c r="D15" s="88"/>
      <c r="E15" s="88"/>
      <c r="F15" s="88"/>
      <c r="G15" s="86"/>
      <c r="H15" s="86"/>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row>
    <row r="16" spans="1:54" ht="10.35" customHeight="1">
      <c r="A16" s="87"/>
      <c r="B16" s="302"/>
      <c r="C16" s="302"/>
      <c r="D16" s="302"/>
      <c r="E16" s="302"/>
      <c r="F16" s="302"/>
      <c r="G16" s="86"/>
      <c r="H16" s="86"/>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row>
    <row r="17" spans="1:54" ht="13.7" customHeight="1">
      <c r="A17" s="87"/>
      <c r="B17" s="302"/>
      <c r="C17" s="302"/>
      <c r="D17" s="302"/>
      <c r="E17" s="302"/>
      <c r="F17" s="302"/>
      <c r="G17" s="86"/>
      <c r="H17" s="86"/>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row>
    <row r="18" spans="1:54" ht="9" customHeight="1" thickBot="1">
      <c r="A18" s="100"/>
      <c r="B18" s="110"/>
      <c r="C18" s="110"/>
      <c r="D18" s="110"/>
      <c r="E18" s="110"/>
      <c r="F18" s="110"/>
      <c r="G18" s="86"/>
      <c r="H18" s="86"/>
      <c r="I18" s="86"/>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row>
    <row r="19" spans="1:54" ht="12.75" customHeight="1" thickBot="1">
      <c r="A19" s="298" t="s">
        <v>517</v>
      </c>
      <c r="B19" s="261"/>
      <c r="C19" s="261"/>
      <c r="D19" s="261"/>
      <c r="E19" s="261"/>
      <c r="F19" s="262"/>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row>
    <row r="20" spans="1:54" ht="36" customHeight="1" thickBot="1">
      <c r="A20" s="13" t="s">
        <v>518</v>
      </c>
      <c r="B20" s="299"/>
      <c r="C20" s="300"/>
      <c r="D20" s="300"/>
      <c r="E20" s="300"/>
      <c r="F20" s="301"/>
      <c r="G20" s="86"/>
      <c r="H20" s="86"/>
      <c r="I20" s="86"/>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row>
    <row r="21" spans="1:54" ht="13.5" thickBot="1">
      <c r="A21" s="100"/>
      <c r="B21" s="110"/>
      <c r="C21" s="110"/>
      <c r="D21" s="110"/>
      <c r="E21" s="110"/>
      <c r="F21" s="110"/>
      <c r="G21" s="86"/>
      <c r="H21" s="86"/>
      <c r="I21" s="86"/>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row>
    <row r="22" spans="1:54" ht="13.5" thickBot="1">
      <c r="A22" s="188"/>
      <c r="B22" s="15" t="s">
        <v>336</v>
      </c>
      <c r="C22" s="85"/>
      <c r="D22" s="85"/>
      <c r="E22" s="85"/>
      <c r="F22" s="16"/>
      <c r="G22" s="86"/>
      <c r="H22" s="86"/>
      <c r="I22" s="86"/>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row>
    <row r="23" spans="1:54" ht="89.25" customHeight="1" thickBot="1">
      <c r="A23" s="188"/>
      <c r="B23" s="295"/>
      <c r="C23" s="296"/>
      <c r="D23" s="296"/>
      <c r="E23" s="296"/>
      <c r="F23" s="297"/>
      <c r="G23" s="86"/>
      <c r="H23" s="86"/>
      <c r="I23" s="86"/>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row>
    <row r="24" spans="1:54">
      <c r="A24" s="100"/>
      <c r="B24" s="110"/>
      <c r="C24" s="110"/>
      <c r="D24" s="110"/>
      <c r="E24" s="110"/>
      <c r="F24" s="110"/>
      <c r="G24" s="86"/>
      <c r="H24" s="86"/>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row>
    <row r="25" spans="1:54">
      <c r="A25" s="188"/>
      <c r="B25" s="110"/>
      <c r="C25" s="110"/>
      <c r="D25" s="110"/>
      <c r="E25" s="110"/>
      <c r="F25" s="110"/>
      <c r="G25" s="86"/>
      <c r="H25" s="86"/>
      <c r="I25" s="86"/>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row>
    <row r="26" spans="1:54">
      <c r="A26" s="100"/>
      <c r="B26" s="110"/>
      <c r="C26" s="110"/>
      <c r="D26" s="110"/>
      <c r="E26" s="110"/>
      <c r="F26" s="110"/>
      <c r="G26" s="86"/>
      <c r="H26" s="86"/>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row>
    <row r="27" spans="1:54">
      <c r="A27" s="100"/>
      <c r="B27" s="110"/>
      <c r="C27" s="110"/>
      <c r="D27" s="110"/>
      <c r="E27" s="110"/>
      <c r="F27" s="110"/>
      <c r="G27" s="86"/>
      <c r="H27" s="86"/>
      <c r="I27" s="86"/>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row>
    <row r="28" spans="1:54" ht="15" customHeight="1">
      <c r="A28" s="100"/>
      <c r="B28" s="110"/>
      <c r="C28" s="110"/>
      <c r="D28" s="110"/>
      <c r="E28" s="110"/>
      <c r="F28" s="110"/>
      <c r="G28" s="86"/>
      <c r="H28" s="86"/>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row>
    <row r="29" spans="1:54" ht="15" customHeight="1">
      <c r="A29" s="100"/>
      <c r="B29" s="110"/>
      <c r="C29" s="110"/>
      <c r="D29" s="110"/>
      <c r="E29" s="110"/>
      <c r="F29" s="110"/>
      <c r="G29" s="86"/>
      <c r="H29" s="86"/>
      <c r="I29" s="86"/>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row>
    <row r="30" spans="1:54" ht="15" customHeight="1">
      <c r="A30" s="100"/>
      <c r="B30" s="110"/>
      <c r="C30" s="110"/>
      <c r="D30" s="110"/>
      <c r="E30" s="110"/>
      <c r="F30" s="110"/>
      <c r="G30" s="86"/>
      <c r="H30" s="86"/>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row>
    <row r="31" spans="1:54">
      <c r="A31" s="100"/>
      <c r="B31" s="110"/>
      <c r="C31" s="110"/>
      <c r="D31" s="110"/>
      <c r="E31" s="110"/>
      <c r="F31" s="110"/>
      <c r="G31" s="86"/>
      <c r="H31" s="86"/>
      <c r="I31" s="86"/>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row>
    <row r="32" spans="1:54">
      <c r="A32" s="100"/>
      <c r="B32" s="110"/>
      <c r="C32" s="110"/>
      <c r="D32" s="110"/>
      <c r="E32" s="110"/>
      <c r="F32" s="110"/>
      <c r="G32" s="86"/>
      <c r="H32" s="86"/>
      <c r="I32" s="86"/>
      <c r="J32" s="86"/>
      <c r="K32" s="86"/>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row>
    <row r="33" spans="1:54">
      <c r="A33" s="100"/>
      <c r="B33" s="110"/>
      <c r="C33" s="110"/>
      <c r="D33" s="110"/>
      <c r="E33" s="110"/>
      <c r="F33" s="110"/>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row>
    <row r="34" spans="1:54">
      <c r="A34" s="100"/>
      <c r="B34" s="110"/>
      <c r="C34" s="110"/>
      <c r="D34" s="110"/>
      <c r="E34" s="110"/>
      <c r="F34" s="110"/>
      <c r="G34" s="86"/>
      <c r="H34" s="86"/>
      <c r="I34" s="86"/>
      <c r="J34" s="86"/>
      <c r="K34" s="86"/>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86"/>
      <c r="BB34" s="86"/>
    </row>
    <row r="35" spans="1:54">
      <c r="A35" s="100"/>
      <c r="B35" s="110"/>
      <c r="C35" s="110"/>
      <c r="D35" s="110"/>
      <c r="E35" s="110"/>
      <c r="F35" s="110"/>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6"/>
      <c r="AX35" s="86"/>
      <c r="AY35" s="86"/>
      <c r="AZ35" s="86"/>
      <c r="BA35" s="86"/>
      <c r="BB35" s="86"/>
    </row>
    <row r="36" spans="1:54">
      <c r="A36" s="100"/>
      <c r="B36" s="110"/>
      <c r="C36" s="110"/>
      <c r="D36" s="110"/>
      <c r="E36" s="110"/>
      <c r="F36" s="110"/>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86"/>
      <c r="BB36" s="86"/>
    </row>
    <row r="37" spans="1:54">
      <c r="A37" s="100"/>
      <c r="B37" s="110"/>
      <c r="C37" s="110"/>
      <c r="D37" s="110"/>
      <c r="E37" s="110"/>
      <c r="F37" s="110"/>
      <c r="G37" s="86"/>
      <c r="H37" s="86"/>
      <c r="I37" s="8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86"/>
      <c r="AZ37" s="86"/>
      <c r="BA37" s="86"/>
      <c r="BB37" s="86"/>
    </row>
    <row r="38" spans="1:54">
      <c r="A38" s="100"/>
      <c r="B38" s="110"/>
      <c r="C38" s="110"/>
      <c r="D38" s="110"/>
      <c r="E38" s="110"/>
      <c r="F38" s="110"/>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6"/>
      <c r="AY38" s="86"/>
      <c r="AZ38" s="86"/>
      <c r="BA38" s="86"/>
      <c r="BB38" s="86"/>
    </row>
    <row r="39" spans="1:54">
      <c r="A39" s="100"/>
      <c r="B39" s="110"/>
      <c r="C39" s="110"/>
      <c r="D39" s="110"/>
      <c r="E39" s="110"/>
      <c r="F39" s="110"/>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86"/>
      <c r="AZ39" s="86"/>
      <c r="BA39" s="86"/>
      <c r="BB39" s="86"/>
    </row>
    <row r="40" spans="1:54">
      <c r="A40" s="100"/>
      <c r="B40" s="110"/>
      <c r="C40" s="110"/>
      <c r="D40" s="110"/>
      <c r="E40" s="110"/>
      <c r="F40" s="110"/>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row>
    <row r="41" spans="1:54">
      <c r="A41" s="100"/>
      <c r="B41" s="110"/>
      <c r="C41" s="110"/>
      <c r="D41" s="110"/>
      <c r="E41" s="110"/>
      <c r="F41" s="110"/>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row>
    <row r="42" spans="1:54">
      <c r="A42" s="100"/>
      <c r="B42" s="110"/>
      <c r="C42" s="110"/>
      <c r="D42" s="110"/>
      <c r="E42" s="110"/>
      <c r="F42" s="110"/>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row>
    <row r="43" spans="1:54">
      <c r="A43" s="100"/>
      <c r="B43" s="110"/>
      <c r="C43" s="110"/>
      <c r="D43" s="110"/>
      <c r="E43" s="110"/>
      <c r="F43" s="110"/>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row>
    <row r="44" spans="1:54">
      <c r="A44" s="100"/>
      <c r="B44" s="110"/>
      <c r="C44" s="110"/>
      <c r="D44" s="110"/>
      <c r="E44" s="110"/>
      <c r="F44" s="110"/>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row>
    <row r="45" spans="1:54">
      <c r="A45" s="100"/>
      <c r="B45" s="110"/>
      <c r="C45" s="110"/>
      <c r="D45" s="110"/>
      <c r="E45" s="110"/>
      <c r="F45" s="110"/>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row>
    <row r="46" spans="1:54">
      <c r="A46" s="100"/>
      <c r="B46" s="110"/>
      <c r="C46" s="110"/>
      <c r="D46" s="110"/>
      <c r="E46" s="110"/>
      <c r="F46" s="110"/>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row>
    <row r="47" spans="1:54">
      <c r="A47" s="100"/>
      <c r="B47" s="110"/>
      <c r="C47" s="110"/>
      <c r="D47" s="110"/>
      <c r="E47" s="110"/>
      <c r="F47" s="110"/>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row>
    <row r="48" spans="1:54">
      <c r="A48" s="100"/>
      <c r="B48" s="110"/>
      <c r="C48" s="110"/>
      <c r="D48" s="110"/>
      <c r="E48" s="110"/>
      <c r="F48" s="110"/>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row>
    <row r="49" spans="1:54">
      <c r="A49" s="100"/>
      <c r="B49" s="110"/>
      <c r="C49" s="110"/>
      <c r="D49" s="110"/>
      <c r="E49" s="110"/>
      <c r="F49" s="110"/>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row>
    <row r="50" spans="1:54">
      <c r="A50" s="100"/>
      <c r="B50" s="110"/>
      <c r="C50" s="110"/>
      <c r="D50" s="110"/>
      <c r="E50" s="110"/>
      <c r="F50" s="110"/>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row>
    <row r="51" spans="1:54">
      <c r="A51" s="100"/>
      <c r="B51" s="110"/>
      <c r="C51" s="110"/>
      <c r="D51" s="110"/>
      <c r="E51" s="110"/>
      <c r="F51" s="110"/>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row>
    <row r="52" spans="1:54">
      <c r="A52" s="100"/>
      <c r="B52" s="110"/>
      <c r="C52" s="110"/>
      <c r="D52" s="110"/>
      <c r="E52" s="110"/>
      <c r="F52" s="110"/>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row>
    <row r="53" spans="1:54">
      <c r="A53" s="100"/>
      <c r="B53" s="110"/>
      <c r="C53" s="110"/>
      <c r="D53" s="110"/>
      <c r="E53" s="110"/>
      <c r="F53" s="110"/>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row>
    <row r="54" spans="1:54">
      <c r="A54" s="100"/>
      <c r="B54" s="110"/>
      <c r="C54" s="110"/>
      <c r="D54" s="110"/>
      <c r="E54" s="110"/>
      <c r="F54" s="110"/>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c r="AY54" s="86"/>
      <c r="AZ54" s="86"/>
      <c r="BA54" s="86"/>
      <c r="BB54" s="86"/>
    </row>
    <row r="55" spans="1:54">
      <c r="A55" s="100"/>
      <c r="B55" s="110"/>
      <c r="C55" s="110"/>
      <c r="D55" s="110"/>
      <c r="E55" s="110"/>
      <c r="F55" s="110"/>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row>
    <row r="56" spans="1:54">
      <c r="A56" s="100"/>
      <c r="B56" s="110"/>
      <c r="C56" s="110"/>
      <c r="D56" s="110"/>
      <c r="E56" s="110"/>
      <c r="F56" s="110"/>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row>
    <row r="57" spans="1:54">
      <c r="A57" s="100"/>
      <c r="B57" s="110"/>
      <c r="C57" s="110"/>
      <c r="D57" s="110"/>
      <c r="E57" s="110"/>
      <c r="F57" s="110"/>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row>
    <row r="58" spans="1:54">
      <c r="A58" s="100"/>
      <c r="B58" s="110"/>
      <c r="C58" s="110"/>
      <c r="D58" s="110"/>
      <c r="E58" s="110"/>
      <c r="F58" s="110"/>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row>
    <row r="59" spans="1:54">
      <c r="A59" s="100"/>
      <c r="B59" s="110"/>
      <c r="C59" s="110"/>
      <c r="D59" s="110"/>
      <c r="E59" s="110"/>
      <c r="F59" s="110"/>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row>
    <row r="60" spans="1:54">
      <c r="A60" s="100"/>
      <c r="B60" s="110"/>
      <c r="C60" s="110"/>
      <c r="D60" s="110"/>
      <c r="E60" s="110"/>
      <c r="F60" s="110"/>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row>
    <row r="61" spans="1:54">
      <c r="A61" s="100"/>
      <c r="B61" s="110"/>
      <c r="C61" s="110"/>
      <c r="D61" s="110"/>
      <c r="E61" s="110"/>
      <c r="F61" s="110"/>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c r="AW61" s="86"/>
      <c r="AX61" s="86"/>
      <c r="AY61" s="86"/>
      <c r="AZ61" s="86"/>
      <c r="BA61" s="86"/>
      <c r="BB61" s="86"/>
    </row>
    <row r="62" spans="1:54">
      <c r="A62" s="100"/>
      <c r="B62" s="110"/>
      <c r="C62" s="110"/>
      <c r="D62" s="110"/>
      <c r="E62" s="110"/>
      <c r="F62" s="110"/>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c r="AW62" s="86"/>
      <c r="AX62" s="86"/>
      <c r="AY62" s="86"/>
      <c r="AZ62" s="86"/>
      <c r="BA62" s="86"/>
      <c r="BB62" s="86"/>
    </row>
    <row r="63" spans="1:54">
      <c r="A63" s="100"/>
      <c r="B63" s="110"/>
      <c r="C63" s="110"/>
      <c r="D63" s="110"/>
      <c r="E63" s="110"/>
      <c r="F63" s="110"/>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c r="AW63" s="86"/>
      <c r="AX63" s="86"/>
      <c r="AY63" s="86"/>
      <c r="AZ63" s="86"/>
      <c r="BA63" s="86"/>
      <c r="BB63" s="86"/>
    </row>
    <row r="64" spans="1:54">
      <c r="A64" s="100"/>
      <c r="B64" s="110"/>
      <c r="C64" s="110"/>
      <c r="D64" s="110"/>
      <c r="E64" s="110"/>
      <c r="F64" s="110"/>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c r="AW64" s="86"/>
      <c r="AX64" s="86"/>
      <c r="AY64" s="86"/>
      <c r="AZ64" s="86"/>
      <c r="BA64" s="86"/>
      <c r="BB64" s="86"/>
    </row>
    <row r="65" spans="1:54">
      <c r="A65" s="100"/>
      <c r="B65" s="110"/>
      <c r="C65" s="110"/>
      <c r="D65" s="110"/>
      <c r="E65" s="110"/>
      <c r="F65" s="110"/>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c r="AW65" s="86"/>
      <c r="AX65" s="86"/>
      <c r="AY65" s="86"/>
      <c r="AZ65" s="86"/>
      <c r="BA65" s="86"/>
      <c r="BB65" s="86"/>
    </row>
    <row r="66" spans="1:54">
      <c r="A66" s="100"/>
      <c r="B66" s="110"/>
      <c r="C66" s="110"/>
      <c r="D66" s="110"/>
      <c r="E66" s="110"/>
      <c r="F66" s="110"/>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c r="AW66" s="86"/>
      <c r="AX66" s="86"/>
      <c r="AY66" s="86"/>
      <c r="AZ66" s="86"/>
      <c r="BA66" s="86"/>
      <c r="BB66" s="86"/>
    </row>
  </sheetData>
  <customSheetViews>
    <customSheetView guid="{C0288C5C-A803-495F-B0CA-42FBBD5677AA}" scale="85" showPageBreaks="1" showGridLines="0" fitToPage="1" printArea="1" showRuler="0">
      <pane xSplit="1" ySplit="1" topLeftCell="B2" activePane="bottomRight" state="frozen"/>
      <selection pane="bottomRight" activeCell="A15" sqref="A15:IV17"/>
      <rowBreaks count="2" manualBreakCount="2">
        <brk id="2" max="16383" man="1"/>
        <brk id="11" max="16383" man="1"/>
      </rowBreaks>
      <pageMargins left="0" right="0" top="0" bottom="0" header="0" footer="0"/>
      <pageSetup paperSize="9" orientation="landscape" r:id="rId1"/>
      <headerFooter alignWithMargins="0">
        <oddHeader>&amp;LAnnual Returns 2010-11&amp;RFS9 - Petroleum, explosives and dangerous substances</oddHeader>
      </headerFooter>
    </customSheetView>
  </customSheetViews>
  <mergeCells count="9">
    <mergeCell ref="B23:F23"/>
    <mergeCell ref="B3:F4"/>
    <mergeCell ref="A6:F6"/>
    <mergeCell ref="A8:F8"/>
    <mergeCell ref="A19:F19"/>
    <mergeCell ref="B20:F20"/>
    <mergeCell ref="B16:F16"/>
    <mergeCell ref="A7:F7"/>
    <mergeCell ref="B17:F17"/>
  </mergeCells>
  <phoneticPr fontId="0" type="noConversion"/>
  <dataValidations count="1">
    <dataValidation type="whole" errorStyle="warning" allowBlank="1" showInputMessage="1" showErrorMessage="1" error="The figure inputted is either unexpectedly large or not a positive whole number." sqref="B10:F13" xr:uid="{0C5E3096-A6CF-4CA9-97AC-89B55EE6A4E8}">
      <formula1>0</formula1>
      <formula2>20000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2"/>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2" manualBreakCount="2">
    <brk id="7" max="16383" man="1"/>
    <brk id="18" max="16383" man="1"/>
  </rowBreaks>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4ACC3-575E-4BB7-97A2-906758E89092}">
  <sheetPr codeName="Sheet24">
    <pageSetUpPr fitToPage="1"/>
  </sheetPr>
  <dimension ref="A1:BK56"/>
  <sheetViews>
    <sheetView workbookViewId="0"/>
  </sheetViews>
  <sheetFormatPr defaultColWidth="9.140625" defaultRowHeight="12.75"/>
  <cols>
    <col min="1" max="1" width="69.5703125" style="3" customWidth="1"/>
    <col min="2" max="2" width="32.85546875" style="8" customWidth="1"/>
    <col min="3" max="19" width="10" style="7" customWidth="1"/>
    <col min="20" max="21" width="9.140625" style="7"/>
    <col min="22" max="29" width="9.140625" style="7" customWidth="1"/>
    <col min="30" max="41" width="6.5703125" customWidth="1"/>
    <col min="42" max="49" width="9.140625" style="7" customWidth="1"/>
    <col min="50" max="51" width="9.5703125" style="7" customWidth="1"/>
    <col min="52" max="54" width="9" style="7" customWidth="1"/>
    <col min="55" max="55" width="9.5703125" style="7" customWidth="1"/>
    <col min="56" max="79" width="9.140625" style="7" customWidth="1"/>
    <col min="80" max="16384" width="9.140625" style="7"/>
  </cols>
  <sheetData>
    <row r="1" spans="1:63">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7"/>
      <c r="AE1" s="7"/>
      <c r="AF1" s="7"/>
      <c r="AG1" s="7"/>
      <c r="AH1" s="7"/>
      <c r="AI1" s="7"/>
      <c r="AJ1" s="7"/>
      <c r="AK1" s="7"/>
      <c r="AL1" s="7"/>
      <c r="AM1" s="7"/>
      <c r="AN1" s="7"/>
      <c r="AO1" s="7"/>
    </row>
    <row r="2" spans="1:63"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7"/>
      <c r="AE2" s="7"/>
      <c r="AF2" s="7"/>
      <c r="AG2" s="7"/>
      <c r="AH2" s="7"/>
      <c r="AI2" s="7"/>
      <c r="AJ2" s="7"/>
      <c r="AK2" s="7"/>
      <c r="AL2" s="7"/>
      <c r="AM2" s="7"/>
      <c r="AN2" s="7"/>
      <c r="AO2" s="7"/>
    </row>
    <row r="3" spans="1:63" ht="29.25" customHeight="1">
      <c r="A3" s="86"/>
      <c r="B3" s="306" t="str">
        <f>Cover!A10</f>
        <v>Shropshire</v>
      </c>
      <c r="C3" s="86"/>
      <c r="D3" s="86"/>
      <c r="E3" s="86"/>
      <c r="F3" s="86"/>
      <c r="G3" s="86"/>
      <c r="H3" s="86"/>
      <c r="I3" s="86"/>
      <c r="J3" s="86"/>
      <c r="K3" s="86"/>
      <c r="L3" s="86"/>
      <c r="M3" s="86"/>
      <c r="N3" s="86"/>
      <c r="O3" s="86"/>
      <c r="P3" s="86"/>
      <c r="Q3" s="86"/>
      <c r="R3" s="86"/>
      <c r="S3" s="86"/>
      <c r="T3" s="86"/>
      <c r="U3" s="86"/>
      <c r="V3" s="86"/>
      <c r="W3" s="86"/>
      <c r="X3" s="86"/>
      <c r="Y3" s="86"/>
      <c r="Z3" s="86"/>
      <c r="AA3" s="86"/>
      <c r="AB3" s="86"/>
      <c r="AC3" s="86"/>
      <c r="AD3" s="7"/>
      <c r="AE3" s="7"/>
      <c r="AF3" s="7"/>
      <c r="AG3" s="7"/>
      <c r="AH3" s="7"/>
      <c r="AI3" s="7"/>
      <c r="AJ3" s="7"/>
      <c r="AK3" s="7"/>
      <c r="AL3" s="7"/>
      <c r="AM3" s="7"/>
      <c r="AN3" s="7"/>
      <c r="AO3" s="7"/>
    </row>
    <row r="4" spans="1:63" ht="13.5" thickBot="1">
      <c r="A4" s="86"/>
      <c r="B4" s="307"/>
      <c r="C4" s="86"/>
      <c r="D4" s="86"/>
      <c r="E4" s="86"/>
      <c r="F4" s="86"/>
      <c r="G4" s="86"/>
      <c r="H4" s="86"/>
      <c r="I4" s="86"/>
      <c r="J4" s="86"/>
      <c r="K4" s="86"/>
      <c r="L4" s="86"/>
      <c r="M4" s="86"/>
      <c r="N4" s="86"/>
      <c r="O4" s="86"/>
      <c r="P4" s="86"/>
      <c r="Q4" s="86"/>
      <c r="R4" s="86"/>
      <c r="S4" s="86"/>
      <c r="T4" s="86"/>
      <c r="U4" s="86"/>
      <c r="V4" s="86"/>
      <c r="W4" s="86"/>
      <c r="X4" s="86"/>
      <c r="Y4" s="86"/>
      <c r="Z4" s="86"/>
      <c r="AA4" s="86"/>
      <c r="AB4" s="86"/>
      <c r="AC4" s="86"/>
      <c r="AD4" s="7"/>
      <c r="AE4" s="7"/>
      <c r="AF4" s="7"/>
      <c r="AG4" s="7"/>
      <c r="AH4" s="7"/>
      <c r="AI4" s="7"/>
      <c r="AJ4" s="7"/>
      <c r="AK4" s="7"/>
      <c r="AL4" s="7"/>
      <c r="AM4" s="7"/>
      <c r="AN4" s="7"/>
      <c r="AO4" s="7"/>
    </row>
    <row r="5" spans="1:63"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7"/>
      <c r="AE5" s="7"/>
      <c r="AF5" s="7"/>
      <c r="AG5" s="7"/>
      <c r="AH5" s="7"/>
      <c r="AI5" s="7"/>
      <c r="AJ5" s="7"/>
      <c r="AK5" s="7"/>
      <c r="AL5" s="7"/>
      <c r="AM5" s="7"/>
      <c r="AN5" s="7"/>
      <c r="AO5" s="7"/>
    </row>
    <row r="6" spans="1:63" ht="18.600000000000001" customHeight="1" thickBot="1">
      <c r="A6" s="254" t="s">
        <v>519</v>
      </c>
      <c r="B6" s="256"/>
      <c r="C6" s="86"/>
      <c r="D6" s="86"/>
      <c r="E6" s="86"/>
      <c r="F6" s="86"/>
      <c r="G6" s="86"/>
      <c r="H6" s="86"/>
      <c r="I6" s="86"/>
      <c r="J6" s="86"/>
      <c r="K6" s="86"/>
      <c r="L6" s="86"/>
      <c r="M6" s="86"/>
      <c r="N6" s="86"/>
      <c r="O6" s="86"/>
      <c r="P6" s="86"/>
      <c r="Q6" s="86"/>
      <c r="R6" s="86"/>
      <c r="S6" s="86"/>
      <c r="T6" s="86"/>
      <c r="U6" s="86"/>
      <c r="V6" s="86"/>
      <c r="W6" s="86"/>
      <c r="X6" s="86"/>
      <c r="Y6" s="86"/>
      <c r="Z6" s="86"/>
      <c r="AA6" s="86"/>
      <c r="AB6" s="86"/>
      <c r="AC6" s="86"/>
      <c r="AR6"/>
      <c r="AS6"/>
      <c r="AT6"/>
      <c r="AU6"/>
      <c r="AV6"/>
      <c r="AW6"/>
    </row>
    <row r="7" spans="1:63" ht="53.1" customHeight="1" thickBot="1">
      <c r="A7" s="303" t="s">
        <v>325</v>
      </c>
      <c r="B7" s="305"/>
      <c r="C7" s="122"/>
      <c r="D7" s="105"/>
      <c r="E7" s="105"/>
      <c r="F7" s="105"/>
      <c r="G7" s="105"/>
      <c r="H7" s="105"/>
      <c r="I7" s="105"/>
      <c r="J7" s="86"/>
      <c r="K7" s="86"/>
      <c r="L7" s="86"/>
      <c r="M7" s="86"/>
      <c r="N7" s="86"/>
      <c r="O7" s="86"/>
      <c r="P7" s="86"/>
      <c r="Q7" s="86"/>
      <c r="R7" s="86"/>
      <c r="S7" s="86"/>
      <c r="T7" s="86"/>
      <c r="U7" s="86"/>
      <c r="V7" s="86"/>
      <c r="W7" s="86"/>
      <c r="X7" s="86"/>
      <c r="Y7" s="86"/>
      <c r="Z7" s="86"/>
      <c r="AA7" s="86"/>
      <c r="AB7" s="86"/>
      <c r="AC7" s="86"/>
      <c r="AD7" s="4"/>
      <c r="AE7" s="4"/>
      <c r="AF7" s="4"/>
      <c r="AG7" s="4"/>
      <c r="AH7" s="4"/>
      <c r="AI7" s="4"/>
      <c r="AJ7" s="4"/>
      <c r="AK7" s="4"/>
      <c r="AL7" s="4"/>
      <c r="AM7" s="4"/>
      <c r="AN7" s="4"/>
      <c r="AO7" s="4"/>
      <c r="AX7" s="4"/>
      <c r="AY7" s="4"/>
      <c r="AZ7" s="4"/>
      <c r="BA7" s="4"/>
      <c r="BB7" s="4"/>
      <c r="BC7" s="4"/>
    </row>
    <row r="8" spans="1:63" ht="30.6" customHeight="1" thickBot="1">
      <c r="A8" s="260" t="s">
        <v>557</v>
      </c>
      <c r="B8" s="261"/>
      <c r="C8" s="86"/>
      <c r="D8" s="86"/>
      <c r="E8" s="86"/>
      <c r="F8" s="86"/>
      <c r="G8" s="86"/>
      <c r="H8" s="86"/>
      <c r="I8" s="86"/>
      <c r="J8" s="86"/>
      <c r="K8" s="86"/>
      <c r="L8" s="86"/>
      <c r="M8" s="86"/>
      <c r="N8" s="86"/>
      <c r="O8" s="86"/>
      <c r="P8" s="86"/>
      <c r="Q8" s="86"/>
      <c r="R8" s="86"/>
      <c r="S8" s="86"/>
      <c r="T8" s="86"/>
      <c r="U8" s="86"/>
      <c r="V8" s="86"/>
      <c r="W8" s="86"/>
      <c r="X8" s="86"/>
      <c r="Y8" s="86"/>
      <c r="Z8" s="86"/>
      <c r="AA8" s="86"/>
      <c r="AB8" s="86"/>
      <c r="AC8" s="86"/>
      <c r="AD8" s="7"/>
      <c r="AE8" s="7"/>
      <c r="AF8" s="7"/>
      <c r="AG8" s="7"/>
      <c r="AH8" s="7"/>
      <c r="AI8" s="7"/>
      <c r="AJ8" s="7"/>
      <c r="AK8" s="7"/>
      <c r="AL8" s="7"/>
      <c r="AM8" s="7"/>
      <c r="AN8" s="7"/>
      <c r="AO8" s="7"/>
    </row>
    <row r="9" spans="1:63" ht="18.600000000000001" customHeight="1" thickBot="1">
      <c r="A9" s="5"/>
      <c r="B9" s="14" t="s">
        <v>520</v>
      </c>
      <c r="C9" s="86"/>
      <c r="D9" s="86"/>
      <c r="E9" s="86"/>
      <c r="F9" s="86"/>
      <c r="G9" s="86"/>
      <c r="H9" s="86"/>
      <c r="I9" s="86"/>
      <c r="J9" s="86"/>
      <c r="K9" s="86"/>
      <c r="L9" s="86"/>
      <c r="M9" s="86"/>
      <c r="N9" s="86"/>
      <c r="O9" s="86"/>
      <c r="P9" s="86"/>
      <c r="Q9" s="86"/>
      <c r="R9" s="86"/>
      <c r="S9" s="86"/>
      <c r="T9" s="86"/>
      <c r="U9" s="86"/>
      <c r="V9" s="86"/>
      <c r="W9" s="86"/>
      <c r="X9" s="86"/>
      <c r="Y9" s="86"/>
      <c r="Z9" s="86"/>
      <c r="AA9" s="86"/>
      <c r="AB9" s="86"/>
      <c r="AC9" s="86"/>
      <c r="AD9" s="7"/>
      <c r="AE9" s="7"/>
      <c r="AF9" s="7"/>
      <c r="AG9" s="7"/>
      <c r="AH9" s="7"/>
      <c r="AI9" s="7"/>
      <c r="AJ9" s="7"/>
      <c r="AK9" s="7"/>
      <c r="AL9" s="7"/>
      <c r="AM9" s="7"/>
      <c r="AN9" s="7"/>
      <c r="AO9" s="7"/>
      <c r="AX9" s="6"/>
      <c r="AY9" s="6"/>
      <c r="AZ9" s="6"/>
      <c r="BA9" s="6"/>
      <c r="BB9" s="6"/>
      <c r="BC9" s="6"/>
    </row>
    <row r="10" spans="1:63" ht="18" customHeight="1" thickBot="1">
      <c r="A10" s="123" t="s">
        <v>521</v>
      </c>
      <c r="B10" s="75"/>
      <c r="C10" s="86"/>
      <c r="D10" s="86"/>
      <c r="E10" s="86"/>
      <c r="F10" s="86"/>
      <c r="G10" s="86"/>
      <c r="H10" s="86"/>
      <c r="I10" s="86"/>
      <c r="J10" s="86"/>
      <c r="K10" s="86"/>
      <c r="L10" s="86"/>
      <c r="M10" s="86"/>
      <c r="N10" s="86"/>
      <c r="O10" s="86"/>
      <c r="P10" s="86"/>
      <c r="Q10" s="86"/>
      <c r="R10" s="86"/>
      <c r="S10" s="86"/>
      <c r="T10" s="86"/>
      <c r="U10" s="86"/>
      <c r="V10" s="86"/>
      <c r="W10" s="86"/>
      <c r="X10" s="86"/>
      <c r="Y10" s="86"/>
      <c r="Z10" s="86"/>
      <c r="AA10" s="86"/>
      <c r="AB10" s="86"/>
      <c r="AC10" s="86"/>
      <c r="AR10"/>
      <c r="AS10"/>
      <c r="AT10"/>
      <c r="AU10"/>
      <c r="AV10"/>
      <c r="AW10"/>
      <c r="AX10"/>
      <c r="AY10"/>
      <c r="AZ10"/>
      <c r="BA10"/>
      <c r="BB10"/>
      <c r="BC10"/>
      <c r="BD10"/>
      <c r="BE10"/>
      <c r="BG10"/>
      <c r="BH10"/>
      <c r="BI10"/>
      <c r="BJ10"/>
      <c r="BK10"/>
    </row>
    <row r="11" spans="1:63" ht="18" customHeight="1" thickBot="1">
      <c r="A11" s="124" t="s">
        <v>522</v>
      </c>
      <c r="B11" s="75"/>
      <c r="C11" s="86"/>
      <c r="D11" s="86"/>
      <c r="E11" s="86"/>
      <c r="F11" s="86"/>
      <c r="G11" s="86"/>
      <c r="H11" s="86"/>
      <c r="I11" s="86"/>
      <c r="J11" s="86"/>
      <c r="K11" s="86"/>
      <c r="L11" s="86"/>
      <c r="M11" s="86"/>
      <c r="N11" s="86"/>
      <c r="O11" s="86"/>
      <c r="P11" s="86"/>
      <c r="Q11" s="86"/>
      <c r="R11" s="86"/>
      <c r="S11" s="86"/>
      <c r="T11" s="86"/>
      <c r="U11" s="86"/>
      <c r="V11" s="86"/>
      <c r="W11" s="86"/>
      <c r="X11" s="86"/>
      <c r="Y11" s="86"/>
      <c r="Z11" s="86"/>
      <c r="AA11" s="86"/>
      <c r="AB11" s="86"/>
      <c r="AC11" s="86"/>
      <c r="AR11"/>
      <c r="AS11"/>
      <c r="AT11"/>
      <c r="AU11"/>
      <c r="AV11"/>
      <c r="AW11"/>
      <c r="AX11"/>
      <c r="AY11"/>
      <c r="AZ11"/>
      <c r="BA11"/>
      <c r="BB11"/>
      <c r="BC11"/>
      <c r="BD11"/>
      <c r="BE11"/>
      <c r="BG11"/>
      <c r="BH11"/>
      <c r="BI11"/>
      <c r="BJ11"/>
      <c r="BK11"/>
    </row>
    <row r="12" spans="1:63" ht="18" customHeight="1" thickBot="1">
      <c r="A12" s="124" t="s">
        <v>523</v>
      </c>
      <c r="B12" s="75"/>
      <c r="C12" s="86"/>
      <c r="D12" s="86"/>
      <c r="E12" s="86"/>
      <c r="F12" s="86"/>
      <c r="G12" s="86"/>
      <c r="H12" s="86"/>
      <c r="I12" s="86"/>
      <c r="J12" s="86"/>
      <c r="K12" s="86"/>
      <c r="L12" s="86"/>
      <c r="M12" s="86"/>
      <c r="N12" s="86"/>
      <c r="O12" s="86"/>
      <c r="P12" s="86"/>
      <c r="Q12" s="86"/>
      <c r="R12" s="86"/>
      <c r="S12" s="86"/>
      <c r="T12" s="86"/>
      <c r="U12" s="86"/>
      <c r="V12" s="86"/>
      <c r="W12" s="86"/>
      <c r="X12" s="86"/>
      <c r="Y12" s="86"/>
      <c r="Z12" s="86"/>
      <c r="AA12" s="86"/>
      <c r="AB12" s="86"/>
      <c r="AC12" s="86"/>
      <c r="AR12"/>
      <c r="AS12"/>
      <c r="AT12"/>
      <c r="AU12"/>
      <c r="AV12"/>
      <c r="AW12"/>
      <c r="AX12"/>
      <c r="AY12"/>
      <c r="AZ12"/>
      <c r="BA12"/>
      <c r="BB12"/>
      <c r="BC12"/>
      <c r="BD12"/>
      <c r="BE12"/>
      <c r="BG12"/>
      <c r="BH12"/>
      <c r="BI12"/>
      <c r="BJ12"/>
      <c r="BK12"/>
    </row>
    <row r="13" spans="1:63" ht="18" customHeight="1" thickBot="1">
      <c r="A13" s="124" t="s">
        <v>524</v>
      </c>
      <c r="B13" s="112"/>
      <c r="C13" s="86"/>
      <c r="D13" s="86"/>
      <c r="E13" s="86"/>
      <c r="F13" s="86"/>
      <c r="G13" s="86"/>
      <c r="H13" s="86"/>
      <c r="I13" s="86"/>
      <c r="J13" s="86"/>
      <c r="K13" s="86"/>
      <c r="L13" s="86"/>
      <c r="M13" s="86"/>
      <c r="N13" s="86"/>
      <c r="O13" s="86"/>
      <c r="P13" s="86"/>
      <c r="Q13" s="86"/>
      <c r="R13" s="86"/>
      <c r="S13" s="86"/>
      <c r="T13" s="86"/>
      <c r="U13" s="86"/>
      <c r="V13" s="86"/>
      <c r="W13" s="86"/>
      <c r="X13" s="86"/>
      <c r="Y13" s="86"/>
      <c r="Z13" s="86"/>
      <c r="AA13" s="86"/>
      <c r="AB13" s="86"/>
      <c r="AC13" s="86"/>
      <c r="AR13"/>
      <c r="AS13"/>
      <c r="AT13"/>
      <c r="AU13"/>
      <c r="AV13"/>
      <c r="AW13"/>
      <c r="AX13"/>
      <c r="AY13"/>
      <c r="AZ13"/>
      <c r="BA13"/>
      <c r="BB13"/>
      <c r="BC13"/>
      <c r="BD13"/>
      <c r="BE13"/>
      <c r="BG13"/>
      <c r="BH13"/>
      <c r="BI13"/>
      <c r="BJ13"/>
      <c r="BK13"/>
    </row>
    <row r="14" spans="1:63" ht="13.5" customHeight="1" thickBot="1">
      <c r="A14" s="125"/>
      <c r="B14" s="126"/>
      <c r="C14" s="86"/>
      <c r="D14" s="86"/>
      <c r="E14" s="86"/>
      <c r="F14" s="86"/>
      <c r="G14" s="86"/>
      <c r="H14" s="86"/>
      <c r="I14" s="86"/>
      <c r="J14" s="86"/>
      <c r="K14" s="86"/>
      <c r="L14" s="86"/>
      <c r="M14" s="86"/>
      <c r="N14" s="86"/>
      <c r="O14" s="86"/>
      <c r="P14" s="86"/>
      <c r="Q14" s="86"/>
      <c r="R14" s="86"/>
      <c r="S14" s="86"/>
      <c r="T14" s="86"/>
      <c r="U14" s="86"/>
      <c r="V14" s="86"/>
      <c r="W14" s="86"/>
      <c r="X14" s="86"/>
      <c r="Y14" s="86"/>
      <c r="Z14" s="86"/>
      <c r="AA14" s="86"/>
      <c r="AB14" s="86"/>
      <c r="AC14" s="86"/>
      <c r="AR14"/>
      <c r="AS14"/>
      <c r="AT14"/>
      <c r="AU14"/>
      <c r="AV14"/>
      <c r="AW14"/>
      <c r="AX14"/>
      <c r="AY14"/>
      <c r="AZ14"/>
      <c r="BA14"/>
      <c r="BB14"/>
      <c r="BC14"/>
      <c r="BG14"/>
      <c r="BH14"/>
      <c r="BI14"/>
      <c r="BJ14"/>
      <c r="BK14"/>
    </row>
    <row r="15" spans="1:63" ht="18" customHeight="1" thickBot="1">
      <c r="A15" s="260" t="s">
        <v>558</v>
      </c>
      <c r="B15" s="261"/>
      <c r="C15" s="86"/>
      <c r="D15" s="86"/>
      <c r="E15" s="86"/>
      <c r="F15" s="86"/>
      <c r="G15" s="86"/>
      <c r="H15" s="86"/>
      <c r="I15" s="86"/>
      <c r="J15" s="86"/>
      <c r="K15" s="86"/>
      <c r="L15" s="86"/>
      <c r="M15" s="86"/>
      <c r="N15" s="86"/>
      <c r="O15" s="86"/>
      <c r="P15" s="86"/>
      <c r="Q15" s="86"/>
      <c r="R15" s="86"/>
      <c r="S15" s="86"/>
      <c r="T15" s="86"/>
      <c r="U15" s="86"/>
      <c r="V15" s="86"/>
      <c r="W15" s="86"/>
      <c r="X15" s="86"/>
      <c r="Y15" s="86"/>
      <c r="Z15" s="86"/>
      <c r="AA15" s="86"/>
      <c r="AB15" s="86"/>
      <c r="AC15" s="86"/>
      <c r="AR15"/>
      <c r="AS15"/>
      <c r="AT15"/>
      <c r="AU15"/>
      <c r="AV15"/>
      <c r="AW15"/>
      <c r="AX15"/>
      <c r="AY15"/>
      <c r="AZ15"/>
      <c r="BA15"/>
      <c r="BB15"/>
      <c r="BC15"/>
    </row>
    <row r="16" spans="1:63" ht="17.850000000000001" customHeight="1" thickBot="1">
      <c r="A16" s="5"/>
      <c r="B16" s="127" t="s">
        <v>520</v>
      </c>
      <c r="C16" s="86"/>
      <c r="D16" s="86"/>
      <c r="E16" s="86"/>
      <c r="F16" s="86"/>
      <c r="G16" s="86"/>
      <c r="H16" s="86"/>
      <c r="I16" s="86"/>
      <c r="J16" s="86"/>
      <c r="K16" s="86"/>
      <c r="L16" s="86"/>
      <c r="M16" s="86"/>
      <c r="N16" s="86"/>
      <c r="O16" s="86"/>
      <c r="P16" s="86"/>
      <c r="Q16" s="86"/>
      <c r="R16" s="86"/>
      <c r="S16" s="86"/>
      <c r="T16" s="86"/>
      <c r="U16" s="86"/>
      <c r="V16" s="86"/>
      <c r="W16" s="86"/>
      <c r="X16" s="86"/>
      <c r="Y16" s="86"/>
      <c r="Z16" s="86"/>
      <c r="AA16" s="86"/>
      <c r="AB16" s="86"/>
      <c r="AC16" s="86"/>
      <c r="AD16" s="7"/>
      <c r="AE16" s="7"/>
      <c r="AF16" s="7"/>
      <c r="AG16" s="7"/>
      <c r="AH16" s="7"/>
      <c r="AI16" s="7"/>
      <c r="AJ16" s="7"/>
      <c r="AK16" s="7"/>
      <c r="AL16" s="7"/>
      <c r="AM16" s="7"/>
      <c r="AN16" s="7"/>
      <c r="AO16" s="7"/>
      <c r="AX16" s="6"/>
      <c r="AY16" s="6"/>
      <c r="AZ16" s="6"/>
      <c r="BA16" s="6"/>
      <c r="BB16" s="6"/>
      <c r="BC16" s="6"/>
    </row>
    <row r="17" spans="1:55" ht="19.350000000000001" customHeight="1" thickBot="1">
      <c r="A17" s="123" t="s">
        <v>525</v>
      </c>
      <c r="B17" s="75"/>
      <c r="C17" s="86"/>
      <c r="D17" s="86"/>
      <c r="E17" s="86"/>
      <c r="F17" s="86"/>
      <c r="G17" s="86"/>
      <c r="H17" s="86"/>
      <c r="I17" s="86"/>
      <c r="J17" s="86"/>
      <c r="K17" s="86"/>
      <c r="L17" s="86"/>
      <c r="M17" s="86"/>
      <c r="N17" s="86"/>
      <c r="O17" s="86"/>
      <c r="P17" s="86"/>
      <c r="Q17" s="86"/>
      <c r="R17" s="86"/>
      <c r="S17" s="86"/>
      <c r="T17" s="86"/>
      <c r="U17" s="86"/>
      <c r="V17" s="86"/>
      <c r="W17" s="86"/>
      <c r="X17" s="86"/>
      <c r="Y17" s="86"/>
      <c r="Z17" s="86"/>
      <c r="AA17" s="86"/>
      <c r="AB17" s="86"/>
      <c r="AC17" s="86"/>
      <c r="AR17"/>
      <c r="AS17"/>
      <c r="AT17"/>
      <c r="AU17"/>
      <c r="AV17"/>
      <c r="AW17"/>
      <c r="AX17"/>
      <c r="AY17"/>
      <c r="AZ17"/>
      <c r="BA17"/>
      <c r="BB17"/>
      <c r="BC17"/>
    </row>
    <row r="18" spans="1:55" ht="19.350000000000001" customHeight="1" thickBot="1">
      <c r="A18" s="124" t="s">
        <v>526</v>
      </c>
      <c r="B18" s="75"/>
      <c r="C18" s="86"/>
      <c r="D18" s="86"/>
      <c r="E18" s="86"/>
      <c r="F18" s="86"/>
      <c r="G18" s="86"/>
      <c r="H18" s="86"/>
      <c r="I18" s="86"/>
      <c r="J18" s="86"/>
      <c r="K18" s="86"/>
      <c r="L18" s="86"/>
      <c r="M18" s="86"/>
      <c r="N18" s="86"/>
      <c r="O18" s="86"/>
      <c r="P18" s="86"/>
      <c r="Q18" s="86"/>
      <c r="R18" s="86"/>
      <c r="S18" s="86"/>
      <c r="T18" s="86"/>
      <c r="U18" s="86"/>
      <c r="V18" s="86"/>
      <c r="W18" s="86"/>
      <c r="X18" s="86"/>
      <c r="Y18" s="86"/>
      <c r="Z18" s="86"/>
      <c r="AA18" s="86"/>
      <c r="AB18" s="86"/>
      <c r="AC18" s="86"/>
      <c r="AR18"/>
      <c r="AS18"/>
      <c r="AT18"/>
      <c r="AU18"/>
      <c r="AV18"/>
      <c r="AW18"/>
      <c r="AX18"/>
      <c r="AY18"/>
      <c r="AZ18"/>
      <c r="BA18"/>
      <c r="BB18"/>
      <c r="BC18"/>
    </row>
    <row r="19" spans="1:55" ht="19.350000000000001" customHeight="1" thickBot="1">
      <c r="A19" s="124" t="s">
        <v>527</v>
      </c>
      <c r="B19" s="75"/>
      <c r="C19" s="86"/>
      <c r="D19" s="86"/>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R19"/>
      <c r="AS19"/>
      <c r="AT19"/>
      <c r="AU19"/>
      <c r="AV19"/>
      <c r="AW19"/>
      <c r="AX19"/>
      <c r="AY19"/>
      <c r="AZ19"/>
      <c r="BA19"/>
      <c r="BB19"/>
      <c r="BC19"/>
    </row>
    <row r="20" spans="1:55" ht="19.350000000000001" customHeight="1" thickBot="1">
      <c r="A20" s="9" t="s">
        <v>317</v>
      </c>
      <c r="B20" s="91">
        <f>SUM(B17:B19)</f>
        <v>0</v>
      </c>
      <c r="C20" s="86"/>
      <c r="D20" s="86"/>
      <c r="E20" s="86"/>
      <c r="F20" s="86"/>
      <c r="G20" s="86"/>
      <c r="H20" s="86"/>
      <c r="I20" s="86"/>
      <c r="J20" s="86"/>
      <c r="K20" s="86"/>
      <c r="L20" s="86"/>
      <c r="M20" s="86"/>
      <c r="N20" s="86"/>
      <c r="O20" s="86"/>
      <c r="P20" s="86"/>
      <c r="Q20" s="86"/>
      <c r="R20" s="86"/>
      <c r="S20" s="86"/>
      <c r="T20" s="86"/>
      <c r="U20" s="86"/>
      <c r="V20" s="86"/>
      <c r="W20" s="86"/>
      <c r="X20" s="86"/>
      <c r="Y20" s="86"/>
      <c r="Z20" s="86"/>
      <c r="AA20" s="86"/>
      <c r="AB20" s="86"/>
      <c r="AC20" s="86"/>
      <c r="AR20"/>
      <c r="AS20"/>
      <c r="AT20"/>
      <c r="AU20"/>
      <c r="AV20"/>
      <c r="AW20"/>
      <c r="AX20"/>
      <c r="AY20"/>
      <c r="AZ20"/>
      <c r="BA20"/>
      <c r="BB20"/>
      <c r="BC20"/>
    </row>
    <row r="21" spans="1:55" ht="15" customHeight="1">
      <c r="A21" s="100"/>
      <c r="B21" s="110"/>
      <c r="C21" s="86"/>
      <c r="D21" s="86"/>
      <c r="E21" s="86"/>
      <c r="F21" s="86"/>
      <c r="G21" s="86"/>
      <c r="H21" s="86"/>
      <c r="I21" s="86"/>
      <c r="J21" s="86"/>
      <c r="K21" s="86"/>
      <c r="L21" s="86"/>
      <c r="M21" s="86"/>
      <c r="N21" s="86"/>
      <c r="O21" s="86"/>
      <c r="P21" s="86"/>
      <c r="Q21" s="86"/>
      <c r="R21" s="86"/>
      <c r="S21" s="86"/>
      <c r="T21" s="86"/>
      <c r="U21" s="86"/>
      <c r="V21" s="86"/>
      <c r="W21" s="86"/>
      <c r="X21" s="86"/>
      <c r="Y21" s="86"/>
      <c r="Z21" s="86"/>
      <c r="AA21" s="86"/>
      <c r="AB21" s="86"/>
      <c r="AC21" s="86"/>
      <c r="AR21"/>
      <c r="AS21"/>
      <c r="AT21"/>
      <c r="AU21"/>
      <c r="AV21"/>
      <c r="AW21"/>
    </row>
    <row r="22" spans="1:55" ht="15" customHeight="1" thickBot="1">
      <c r="A22" s="100"/>
      <c r="B22" s="110"/>
      <c r="C22" s="86"/>
      <c r="D22" s="86"/>
      <c r="E22" s="86"/>
      <c r="F22" s="86"/>
      <c r="G22" s="86"/>
      <c r="H22" s="86"/>
      <c r="I22" s="86"/>
      <c r="J22" s="86"/>
      <c r="K22" s="86"/>
      <c r="L22" s="86"/>
      <c r="M22" s="86"/>
      <c r="N22" s="86"/>
      <c r="O22" s="86"/>
      <c r="P22" s="86"/>
      <c r="Q22" s="86"/>
      <c r="R22" s="86"/>
      <c r="S22" s="86"/>
      <c r="T22" s="86"/>
      <c r="U22" s="86"/>
      <c r="V22" s="86"/>
      <c r="W22" s="86"/>
      <c r="X22" s="86"/>
      <c r="Y22" s="86"/>
      <c r="Z22" s="86"/>
      <c r="AA22" s="86"/>
      <c r="AB22" s="86"/>
      <c r="AC22" s="86"/>
      <c r="AR22"/>
      <c r="AS22"/>
      <c r="AT22"/>
      <c r="AU22"/>
      <c r="AV22"/>
      <c r="AW22"/>
    </row>
    <row r="23" spans="1:55" ht="15" customHeight="1" thickBot="1">
      <c r="A23" s="15" t="s">
        <v>336</v>
      </c>
      <c r="B23" s="16"/>
      <c r="C23" s="86"/>
      <c r="D23" s="86"/>
      <c r="E23" s="86"/>
      <c r="F23" s="86"/>
      <c r="G23" s="86"/>
      <c r="H23" s="86"/>
      <c r="I23" s="86"/>
      <c r="J23" s="86"/>
      <c r="K23" s="86"/>
      <c r="L23" s="86"/>
      <c r="M23" s="86"/>
      <c r="N23" s="86"/>
      <c r="O23" s="86"/>
      <c r="P23" s="86"/>
      <c r="Q23" s="86"/>
      <c r="R23" s="86"/>
      <c r="S23" s="86"/>
      <c r="T23" s="86"/>
      <c r="U23" s="86"/>
      <c r="V23" s="86"/>
      <c r="W23" s="86"/>
      <c r="X23" s="86"/>
      <c r="Y23" s="86"/>
      <c r="Z23" s="86"/>
      <c r="AA23" s="86"/>
      <c r="AB23" s="86"/>
      <c r="AC23" s="86"/>
      <c r="AR23"/>
      <c r="AS23"/>
      <c r="AT23"/>
      <c r="AU23"/>
      <c r="AV23"/>
      <c r="AW23"/>
    </row>
    <row r="24" spans="1:55" ht="43.5" customHeight="1" thickBot="1">
      <c r="A24" s="245"/>
      <c r="B24" s="247"/>
      <c r="C24" s="86"/>
      <c r="D24" s="86"/>
      <c r="E24" s="86"/>
      <c r="F24" s="86"/>
      <c r="G24" s="86"/>
      <c r="H24" s="86"/>
      <c r="I24" s="86"/>
      <c r="J24" s="86"/>
      <c r="K24" s="86"/>
      <c r="L24" s="86"/>
      <c r="M24" s="86"/>
      <c r="N24" s="86"/>
      <c r="O24" s="86"/>
      <c r="P24" s="86"/>
      <c r="Q24" s="86"/>
      <c r="R24" s="86"/>
      <c r="S24" s="86"/>
      <c r="T24" s="86"/>
      <c r="U24" s="86"/>
      <c r="V24" s="86"/>
      <c r="W24" s="86"/>
      <c r="X24" s="86"/>
      <c r="Y24" s="86"/>
      <c r="Z24" s="86"/>
      <c r="AA24" s="86"/>
      <c r="AB24" s="86"/>
      <c r="AC24" s="86"/>
      <c r="AR24"/>
      <c r="AS24"/>
      <c r="AT24"/>
      <c r="AU24"/>
      <c r="AV24"/>
      <c r="AW24"/>
    </row>
    <row r="25" spans="1:55">
      <c r="A25" s="100"/>
      <c r="B25" s="110"/>
      <c r="C25" s="86"/>
      <c r="D25" s="86"/>
      <c r="E25" s="86"/>
      <c r="F25" s="86"/>
      <c r="G25" s="86"/>
      <c r="H25" s="86"/>
      <c r="I25" s="86"/>
      <c r="J25" s="86"/>
      <c r="K25" s="86"/>
      <c r="L25" s="86"/>
      <c r="M25" s="86"/>
      <c r="N25" s="86"/>
      <c r="O25" s="86"/>
      <c r="P25" s="86"/>
      <c r="Q25" s="86"/>
      <c r="R25" s="86"/>
      <c r="S25" s="86"/>
      <c r="T25" s="86"/>
      <c r="U25" s="86"/>
      <c r="V25" s="86"/>
      <c r="W25" s="86"/>
      <c r="X25" s="86"/>
      <c r="Y25" s="86"/>
      <c r="Z25" s="86"/>
      <c r="AA25" s="86"/>
      <c r="AB25" s="86"/>
      <c r="AC25" s="86"/>
      <c r="AR25"/>
      <c r="AS25"/>
      <c r="AT25"/>
      <c r="AU25"/>
      <c r="AV25"/>
      <c r="AW25"/>
    </row>
    <row r="26" spans="1:55">
      <c r="A26" s="100"/>
      <c r="B26" s="110"/>
      <c r="C26" s="86"/>
      <c r="D26" s="86"/>
      <c r="E26" s="86"/>
      <c r="F26" s="86"/>
      <c r="G26" s="86"/>
      <c r="H26" s="86"/>
      <c r="I26" s="86"/>
      <c r="J26" s="86"/>
      <c r="K26" s="86"/>
      <c r="L26" s="86"/>
      <c r="M26" s="86"/>
      <c r="N26" s="86"/>
      <c r="O26" s="86"/>
      <c r="P26" s="86"/>
      <c r="Q26" s="86"/>
      <c r="R26" s="86"/>
      <c r="S26" s="86"/>
      <c r="T26" s="86"/>
      <c r="U26" s="86"/>
      <c r="V26" s="86"/>
      <c r="W26" s="86"/>
      <c r="X26" s="86"/>
      <c r="Y26" s="86"/>
      <c r="Z26" s="86"/>
      <c r="AA26" s="86"/>
      <c r="AB26" s="86"/>
      <c r="AC26" s="86"/>
      <c r="AR26"/>
      <c r="AS26"/>
      <c r="AT26"/>
      <c r="AU26"/>
      <c r="AV26"/>
      <c r="AW26"/>
    </row>
    <row r="27" spans="1:55">
      <c r="A27" s="100"/>
      <c r="B27" s="110"/>
      <c r="C27" s="86"/>
      <c r="D27" s="86"/>
      <c r="E27" s="86"/>
      <c r="F27" s="86"/>
      <c r="G27" s="86"/>
      <c r="H27" s="86"/>
      <c r="I27" s="86"/>
      <c r="J27" s="86"/>
      <c r="K27" s="86"/>
      <c r="L27" s="86"/>
      <c r="M27" s="86"/>
      <c r="N27" s="86"/>
      <c r="O27" s="86"/>
      <c r="P27" s="86"/>
      <c r="Q27" s="86"/>
      <c r="R27" s="86"/>
      <c r="S27" s="86"/>
      <c r="T27" s="86"/>
      <c r="U27" s="86"/>
      <c r="V27" s="86"/>
      <c r="W27" s="86"/>
      <c r="X27" s="86"/>
      <c r="Y27" s="86"/>
      <c r="Z27" s="86"/>
      <c r="AA27" s="86"/>
      <c r="AB27" s="86"/>
      <c r="AC27" s="86"/>
      <c r="AR27"/>
      <c r="AS27"/>
      <c r="AT27"/>
      <c r="AU27"/>
      <c r="AV27"/>
      <c r="AW27"/>
    </row>
    <row r="28" spans="1:55">
      <c r="A28" s="100"/>
      <c r="B28" s="110"/>
      <c r="C28" s="86"/>
      <c r="D28" s="86"/>
      <c r="E28" s="86"/>
      <c r="F28" s="86"/>
      <c r="G28" s="86"/>
      <c r="H28" s="86"/>
      <c r="I28" s="86"/>
      <c r="J28" s="86"/>
      <c r="K28" s="86"/>
      <c r="L28" s="86"/>
      <c r="M28" s="86"/>
      <c r="N28" s="86"/>
      <c r="O28" s="86"/>
      <c r="P28" s="86"/>
      <c r="Q28" s="86"/>
      <c r="R28" s="86"/>
      <c r="S28" s="86"/>
      <c r="T28" s="86"/>
      <c r="U28" s="86"/>
      <c r="V28" s="86"/>
      <c r="W28" s="86"/>
      <c r="X28" s="86"/>
      <c r="Y28" s="86"/>
      <c r="Z28" s="86"/>
      <c r="AA28" s="86"/>
      <c r="AB28" s="86"/>
      <c r="AC28" s="86"/>
    </row>
    <row r="29" spans="1:55">
      <c r="A29" s="100"/>
      <c r="B29" s="110"/>
      <c r="C29" s="86"/>
      <c r="D29" s="86"/>
      <c r="E29" s="86"/>
      <c r="F29" s="86"/>
      <c r="G29" s="86"/>
      <c r="H29" s="86"/>
      <c r="I29" s="86"/>
      <c r="J29" s="86"/>
      <c r="K29" s="86"/>
      <c r="L29" s="86"/>
      <c r="M29" s="86"/>
      <c r="N29" s="86"/>
      <c r="O29" s="86"/>
      <c r="P29" s="86"/>
      <c r="Q29" s="86"/>
      <c r="R29" s="86"/>
      <c r="S29" s="86"/>
      <c r="T29" s="86"/>
      <c r="U29" s="86"/>
      <c r="V29" s="86"/>
      <c r="W29" s="86"/>
      <c r="X29" s="86"/>
      <c r="Y29" s="86"/>
      <c r="Z29" s="86"/>
      <c r="AA29" s="86"/>
      <c r="AB29" s="86"/>
      <c r="AC29" s="86"/>
    </row>
    <row r="30" spans="1:55">
      <c r="A30" s="100"/>
      <c r="B30" s="110"/>
      <c r="C30" s="86"/>
      <c r="D30" s="86"/>
      <c r="E30" s="86"/>
      <c r="F30" s="86"/>
      <c r="G30" s="86"/>
      <c r="H30" s="86"/>
      <c r="I30" s="86"/>
      <c r="J30" s="86"/>
      <c r="K30" s="86"/>
      <c r="L30" s="86"/>
      <c r="M30" s="86"/>
      <c r="N30" s="86"/>
      <c r="O30" s="86"/>
      <c r="P30" s="86"/>
      <c r="Q30" s="86"/>
      <c r="R30" s="86"/>
      <c r="S30" s="86"/>
      <c r="T30" s="86"/>
      <c r="U30" s="86"/>
      <c r="V30" s="86"/>
      <c r="W30" s="86"/>
      <c r="X30" s="86"/>
      <c r="Y30" s="86"/>
      <c r="Z30" s="86"/>
      <c r="AA30" s="86"/>
      <c r="AB30" s="86"/>
      <c r="AC30" s="86"/>
    </row>
    <row r="31" spans="1:55">
      <c r="A31" s="100"/>
      <c r="B31" s="110"/>
      <c r="C31" s="86"/>
      <c r="D31" s="86"/>
      <c r="E31" s="86"/>
      <c r="F31" s="86"/>
      <c r="G31" s="86"/>
      <c r="H31" s="86"/>
      <c r="I31" s="86"/>
      <c r="J31" s="86"/>
      <c r="K31" s="86"/>
      <c r="L31" s="86"/>
      <c r="M31" s="86"/>
      <c r="N31" s="86"/>
      <c r="O31" s="86"/>
      <c r="P31" s="86"/>
      <c r="Q31" s="86"/>
      <c r="R31" s="86"/>
      <c r="S31" s="86"/>
      <c r="T31" s="86"/>
      <c r="U31" s="86"/>
      <c r="V31" s="86"/>
      <c r="W31" s="86"/>
      <c r="X31" s="86"/>
      <c r="Y31" s="86"/>
      <c r="Z31" s="86"/>
      <c r="AA31" s="86"/>
      <c r="AB31" s="86"/>
      <c r="AC31" s="86"/>
    </row>
    <row r="32" spans="1:55">
      <c r="A32" s="100"/>
      <c r="B32" s="110"/>
      <c r="C32" s="86"/>
      <c r="D32" s="86"/>
      <c r="E32" s="86"/>
      <c r="F32" s="86"/>
      <c r="G32" s="86"/>
      <c r="H32" s="86"/>
      <c r="I32" s="86"/>
      <c r="J32" s="86"/>
      <c r="K32" s="86"/>
      <c r="L32" s="86"/>
      <c r="M32" s="86"/>
      <c r="N32" s="86"/>
      <c r="O32" s="86"/>
      <c r="P32" s="86"/>
      <c r="Q32" s="86"/>
      <c r="R32" s="86"/>
      <c r="S32" s="86"/>
      <c r="T32" s="86"/>
      <c r="U32" s="86"/>
      <c r="V32" s="86"/>
      <c r="W32" s="86"/>
      <c r="X32" s="86"/>
      <c r="Y32" s="86"/>
      <c r="Z32" s="86"/>
      <c r="AA32" s="86"/>
      <c r="AB32" s="86"/>
      <c r="AC32" s="86"/>
    </row>
    <row r="33" spans="1:29">
      <c r="A33" s="100"/>
      <c r="B33" s="11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row>
    <row r="34" spans="1:29">
      <c r="A34" s="100"/>
      <c r="B34" s="110"/>
      <c r="C34" s="86"/>
      <c r="D34" s="86"/>
      <c r="E34" s="86"/>
      <c r="F34" s="86"/>
      <c r="G34" s="86"/>
      <c r="H34" s="86"/>
      <c r="I34" s="86"/>
      <c r="J34" s="86"/>
      <c r="K34" s="86"/>
      <c r="L34" s="86"/>
      <c r="M34" s="86"/>
      <c r="N34" s="86"/>
      <c r="O34" s="86"/>
      <c r="P34" s="86"/>
      <c r="Q34" s="86"/>
      <c r="R34" s="86"/>
      <c r="S34" s="86"/>
      <c r="T34" s="86"/>
      <c r="U34" s="86"/>
      <c r="V34" s="86"/>
      <c r="W34" s="86"/>
      <c r="X34" s="86"/>
      <c r="Y34" s="86"/>
      <c r="Z34" s="86"/>
      <c r="AA34" s="86"/>
      <c r="AB34" s="86"/>
      <c r="AC34" s="86"/>
    </row>
    <row r="35" spans="1:29">
      <c r="A35" s="100"/>
      <c r="B35" s="110"/>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row>
    <row r="36" spans="1:29">
      <c r="A36" s="100"/>
      <c r="B36" s="110"/>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row>
    <row r="37" spans="1:29">
      <c r="A37" s="100"/>
      <c r="B37" s="110"/>
      <c r="C37" s="86"/>
      <c r="D37" s="86"/>
      <c r="E37" s="86"/>
      <c r="F37" s="86"/>
      <c r="G37" s="86"/>
      <c r="H37" s="86"/>
      <c r="I37" s="86"/>
      <c r="J37" s="86"/>
      <c r="K37" s="86"/>
      <c r="L37" s="86"/>
      <c r="M37" s="86"/>
      <c r="N37" s="86"/>
      <c r="O37" s="86"/>
      <c r="P37" s="86"/>
      <c r="Q37" s="86"/>
      <c r="R37" s="86"/>
      <c r="S37" s="86"/>
      <c r="T37" s="86"/>
      <c r="U37" s="86"/>
      <c r="V37" s="86"/>
      <c r="W37" s="86"/>
      <c r="X37" s="86"/>
      <c r="Y37" s="86"/>
      <c r="Z37" s="86"/>
      <c r="AA37" s="86"/>
      <c r="AB37" s="86"/>
      <c r="AC37" s="86"/>
    </row>
    <row r="38" spans="1:29">
      <c r="A38" s="100"/>
      <c r="B38" s="110"/>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row>
    <row r="39" spans="1:29">
      <c r="A39" s="100"/>
      <c r="B39" s="11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row>
    <row r="40" spans="1:29">
      <c r="A40" s="100"/>
      <c r="B40" s="11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row>
    <row r="41" spans="1:29">
      <c r="A41" s="100"/>
      <c r="B41" s="11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row>
    <row r="42" spans="1:29">
      <c r="A42" s="100"/>
      <c r="B42" s="11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row>
    <row r="43" spans="1:29">
      <c r="A43" s="100"/>
      <c r="B43" s="11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row>
    <row r="44" spans="1:29">
      <c r="A44" s="100"/>
      <c r="B44" s="11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row>
    <row r="45" spans="1:29">
      <c r="A45" s="100"/>
      <c r="B45" s="11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row>
    <row r="46" spans="1:29">
      <c r="A46" s="100"/>
      <c r="B46" s="11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row>
    <row r="47" spans="1:29">
      <c r="A47" s="100"/>
      <c r="B47" s="11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row>
    <row r="48" spans="1:29">
      <c r="A48" s="100"/>
      <c r="B48" s="11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row>
    <row r="49" spans="1:29">
      <c r="A49" s="100"/>
      <c r="B49" s="11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row>
    <row r="50" spans="1:29">
      <c r="A50" s="100"/>
      <c r="B50" s="11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row>
    <row r="51" spans="1:29">
      <c r="A51" s="100"/>
      <c r="B51" s="11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row>
    <row r="52" spans="1:29">
      <c r="A52" s="100"/>
      <c r="B52" s="11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row>
    <row r="53" spans="1:29">
      <c r="A53" s="100"/>
      <c r="B53" s="11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row>
    <row r="54" spans="1:29">
      <c r="A54" s="100"/>
      <c r="B54" s="11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row>
    <row r="55" spans="1:29">
      <c r="A55" s="100"/>
      <c r="B55" s="11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row>
    <row r="56" spans="1:29">
      <c r="A56" s="100"/>
      <c r="B56" s="11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row>
  </sheetData>
  <mergeCells count="6">
    <mergeCell ref="A24:B24"/>
    <mergeCell ref="B3:B4"/>
    <mergeCell ref="A6:B6"/>
    <mergeCell ref="A7:B7"/>
    <mergeCell ref="A8:B8"/>
    <mergeCell ref="A15:B15"/>
  </mergeCells>
  <dataValidations count="1">
    <dataValidation type="decimal" errorStyle="warning" allowBlank="1" showInputMessage="1" showErrorMessage="1" error="The figure inputted is either unexpectedly large or not a positive number." sqref="B10:B13 B17:B19" xr:uid="{0D6E4BF2-CF86-4DBF-9137-744330B7935D}">
      <formula1>0</formula1>
      <formula2>500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1"/>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1" manualBreakCount="1">
    <brk id="7" max="16383"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F4203-CDB7-4222-8DB8-458DD7431900}">
  <sheetPr codeName="Sheet17">
    <tabColor rgb="FFFFFF00"/>
  </sheetPr>
  <dimension ref="A1:AJ9"/>
  <sheetViews>
    <sheetView workbookViewId="0">
      <selection activeCell="U3" sqref="U3"/>
    </sheetView>
  </sheetViews>
  <sheetFormatPr defaultColWidth="9.140625" defaultRowHeight="12.75"/>
  <cols>
    <col min="1" max="1" width="15.28515625" style="8" bestFit="1" customWidth="1"/>
    <col min="2" max="2" width="15.5703125" style="8" customWidth="1"/>
    <col min="3" max="3" width="9" style="8" bestFit="1" customWidth="1"/>
    <col min="4" max="4" width="9.140625" style="8"/>
    <col min="5" max="5" width="17" style="8" bestFit="1" customWidth="1"/>
    <col min="6" max="6" width="14.5703125" style="8" customWidth="1"/>
    <col min="7" max="7" width="6.28515625" style="8" bestFit="1" customWidth="1"/>
    <col min="8" max="8" width="9" style="8" bestFit="1" customWidth="1"/>
    <col min="9" max="9" width="9.140625" style="8"/>
    <col min="10" max="10" width="16" style="8" bestFit="1" customWidth="1"/>
    <col min="11" max="11" width="16" style="8" customWidth="1"/>
    <col min="12" max="12" width="9.140625" style="8"/>
    <col min="13" max="13" width="16" style="8" bestFit="1" customWidth="1"/>
    <col min="14" max="14" width="8.7109375" style="8" customWidth="1"/>
    <col min="15" max="15" width="9.140625" style="8"/>
    <col min="16" max="16" width="23.85546875" style="8" bestFit="1" customWidth="1"/>
    <col min="17" max="17" width="12.5703125" style="8" bestFit="1" customWidth="1"/>
    <col min="18" max="18" width="9.140625" style="8"/>
    <col min="19" max="19" width="16" style="8" bestFit="1" customWidth="1"/>
    <col min="20" max="20" width="8.42578125" style="8" customWidth="1"/>
    <col min="21" max="21" width="9.140625" style="8"/>
    <col min="22" max="22" width="16" style="8" bestFit="1" customWidth="1"/>
    <col min="23" max="23" width="6.28515625" style="8" bestFit="1" customWidth="1"/>
    <col min="24" max="24" width="9.140625" style="8"/>
    <col min="25" max="25" width="16" style="8" bestFit="1" customWidth="1"/>
    <col min="26" max="26" width="6.28515625" style="8" bestFit="1" customWidth="1"/>
    <col min="27" max="27" width="6.28515625" style="8" customWidth="1"/>
    <col min="28" max="28" width="16" style="8" bestFit="1" customWidth="1"/>
    <col min="29" max="29" width="6.28515625" style="8" bestFit="1" customWidth="1"/>
    <col min="30" max="30" width="9.140625" style="8"/>
    <col min="31" max="31" width="16" style="8" bestFit="1" customWidth="1"/>
    <col min="32" max="32" width="7.42578125" style="8" bestFit="1" customWidth="1"/>
    <col min="33" max="33" width="9.140625" style="8"/>
    <col min="34" max="35" width="16" style="8" bestFit="1" customWidth="1"/>
    <col min="36" max="36" width="6.28515625" style="8" bestFit="1" customWidth="1"/>
    <col min="37" max="16384" width="9.140625" style="8"/>
  </cols>
  <sheetData>
    <row r="1" spans="1:36" ht="42.75" customHeight="1">
      <c r="A1" s="162" t="s">
        <v>528</v>
      </c>
      <c r="B1" s="8">
        <f>COUNTIF(3:9,"No, check notes and consider email to FRS")</f>
        <v>6</v>
      </c>
    </row>
    <row r="3" spans="1:36" ht="15">
      <c r="A3" s="159" t="s">
        <v>529</v>
      </c>
      <c r="B3" s="159"/>
      <c r="C3" s="159"/>
      <c r="E3" s="308" t="s">
        <v>530</v>
      </c>
      <c r="F3" s="308"/>
      <c r="G3" s="308"/>
      <c r="H3" s="159"/>
      <c r="J3" s="159" t="s">
        <v>531</v>
      </c>
      <c r="K3" s="159"/>
      <c r="M3" s="308" t="s">
        <v>532</v>
      </c>
      <c r="N3" s="308"/>
      <c r="P3" s="308" t="s">
        <v>533</v>
      </c>
      <c r="Q3" s="308"/>
      <c r="S3" s="308" t="s">
        <v>534</v>
      </c>
      <c r="T3" s="308"/>
      <c r="V3" s="308" t="s">
        <v>535</v>
      </c>
      <c r="W3" s="308"/>
      <c r="Y3" s="308" t="s">
        <v>536</v>
      </c>
      <c r="Z3" s="308"/>
      <c r="AA3" s="160"/>
      <c r="AB3" s="308" t="s">
        <v>537</v>
      </c>
      <c r="AC3" s="308"/>
      <c r="AE3" s="308" t="s">
        <v>538</v>
      </c>
      <c r="AF3" s="308"/>
      <c r="AH3" s="308" t="s">
        <v>539</v>
      </c>
      <c r="AI3" s="308"/>
      <c r="AJ3" s="308"/>
    </row>
    <row r="4" spans="1:36" ht="53.25" customHeight="1">
      <c r="A4" s="161" t="s">
        <v>540</v>
      </c>
      <c r="B4" s="161" t="str">
        <f>IF(AND('FS1'!L$32&lt;'FS1 PY'!L$32*'QA check thresholds'!$C$3,'FS1'!L$32&gt;'FS1 PY'!L$32*'QA check thresholds'!$C$2),"Yes","No, check notes and consider email to FRS")</f>
        <v>No, check notes and consider email to FRS</v>
      </c>
      <c r="E4" s="161" t="s">
        <v>541</v>
      </c>
      <c r="F4" s="161" t="str">
        <f>IF(AND('FS2'!C$32&lt;'FS2 PY'!C$32*'QA check thresholds'!$C$3,'FS2'!C$32&gt;'FS2 PY'!C$32*'QA check thresholds'!$C$2),"Yes","No, check notes and consider email to FRS")</f>
        <v>No, check notes and consider email to FRS</v>
      </c>
      <c r="J4" s="161" t="s">
        <v>542</v>
      </c>
      <c r="K4" s="161"/>
      <c r="M4" s="161" t="s">
        <v>542</v>
      </c>
      <c r="P4" s="161" t="s">
        <v>543</v>
      </c>
      <c r="Q4" s="8" t="str">
        <f>IF('FS7'!F32='FS7'!J32,"Yes","No, email FRS")</f>
        <v>Yes</v>
      </c>
      <c r="S4" s="161" t="s">
        <v>542</v>
      </c>
      <c r="V4" s="161" t="s">
        <v>542</v>
      </c>
      <c r="Y4" s="161" t="s">
        <v>542</v>
      </c>
      <c r="AB4" s="161" t="s">
        <v>542</v>
      </c>
      <c r="AE4" s="161" t="s">
        <v>542</v>
      </c>
      <c r="AH4" s="161" t="s">
        <v>544</v>
      </c>
    </row>
    <row r="5" spans="1:36" ht="53.25" customHeight="1">
      <c r="A5" s="161" t="s">
        <v>545</v>
      </c>
      <c r="B5" s="161" t="str">
        <f>IF(AND('FS1'!B$32&lt;'FS1 PY'!B$32*'QA check thresholds'!$C$3,'FS1'!B$32&gt;'FS1 PY'!B$32*'QA check thresholds'!$C$2),"Yes","No, check notes and consider email to FRS")</f>
        <v>No, check notes and consider email to FRS</v>
      </c>
      <c r="E5" s="161" t="s">
        <v>546</v>
      </c>
      <c r="F5" s="161" t="str">
        <f>IF(AND('FS2'!D$32&lt;'FS2 PY'!D$32*'QA check thresholds'!$C$3,'FS2'!D$32&gt;'FS2 PY'!D$32*'QA check thresholds'!$C$2),"Yes","No, check notes and consider email to FRS")</f>
        <v>No, check notes and consider email to FRS</v>
      </c>
      <c r="G5" s="161"/>
      <c r="H5" s="161"/>
      <c r="J5" s="161" t="s">
        <v>547</v>
      </c>
      <c r="K5" s="161" t="str">
        <f>IF(FS6a!C37="","No notes","Check notes")</f>
        <v>No notes</v>
      </c>
      <c r="M5" s="161" t="s">
        <v>547</v>
      </c>
      <c r="N5" s="161" t="str">
        <f>IF(FS6b!C37="","No notes","Check notes")</f>
        <v>No notes</v>
      </c>
      <c r="P5" s="161" t="s">
        <v>548</v>
      </c>
      <c r="Q5" s="8" t="e">
        <f>IF('FS7'!I32=#REF!,"Yes","No, check notes and consider email to FRS")</f>
        <v>#REF!</v>
      </c>
      <c r="S5" s="161" t="s">
        <v>547</v>
      </c>
      <c r="T5" s="161" t="str">
        <f>IF(FS8a!C38="","No notes","Check notes")</f>
        <v>No notes</v>
      </c>
      <c r="V5" s="161" t="s">
        <v>547</v>
      </c>
      <c r="W5" s="161" t="str">
        <f>IF(FS8b!F38="","No notes","Check notes")</f>
        <v>No notes</v>
      </c>
      <c r="Y5" s="161" t="s">
        <v>547</v>
      </c>
      <c r="Z5" s="161" t="str">
        <f>IF(FS8c!I38="","No notes","Check notes")</f>
        <v>No notes</v>
      </c>
      <c r="AA5" s="161"/>
      <c r="AB5" s="161" t="s">
        <v>547</v>
      </c>
      <c r="AC5" s="161" t="str">
        <f>IF(FS8d!K38="","No notes","Check notes")</f>
        <v>No notes</v>
      </c>
      <c r="AE5" s="161" t="s">
        <v>547</v>
      </c>
      <c r="AF5" s="161" t="str">
        <f>IF('FS9'!B23="","No notes","Check notes")</f>
        <v>No notes</v>
      </c>
      <c r="AH5" s="161" t="s">
        <v>542</v>
      </c>
      <c r="AI5" s="161"/>
      <c r="AJ5" s="161"/>
    </row>
    <row r="6" spans="1:36" ht="53.25" customHeight="1">
      <c r="A6" s="161" t="s">
        <v>549</v>
      </c>
      <c r="B6" s="161" t="str">
        <f>IF(AND('FS1'!D$32&lt;'FS1 PY'!D$32*'QA check thresholds'!$C$3,'FS1'!D$32&gt;'FS1 PY'!D$32*'QA check thresholds'!$C$2),"Yes","No, check notes and consider email to FRS")</f>
        <v>No, check notes and consider email to FRS</v>
      </c>
      <c r="E6" s="161" t="s">
        <v>550</v>
      </c>
      <c r="F6" s="161" t="str">
        <f>IF(AND('FS2'!E$32&lt;'FS2 PY'!E$32*'QA check thresholds'!$C$3,'FS2'!E$32&gt;'FS2 PY'!E$32*'QA check thresholds'!$C$2),"Yes","No, check notes and consider email to FRS")</f>
        <v>No, check notes and consider email to FRS</v>
      </c>
      <c r="G6" s="161"/>
      <c r="H6" s="161"/>
      <c r="J6" s="161"/>
      <c r="K6" s="161"/>
      <c r="M6" s="161"/>
      <c r="N6" s="161"/>
      <c r="P6" s="161" t="s">
        <v>547</v>
      </c>
      <c r="Q6" s="161" t="str">
        <f>IF('FS7'!C38="","No notes","Check notes")</f>
        <v>No notes</v>
      </c>
      <c r="S6" s="161"/>
      <c r="T6" s="161"/>
      <c r="V6" s="161"/>
      <c r="W6" s="161"/>
      <c r="Y6" s="161"/>
      <c r="Z6" s="161"/>
      <c r="AA6" s="161"/>
      <c r="AB6" s="161"/>
      <c r="AC6" s="161"/>
      <c r="AE6" s="161"/>
      <c r="AF6" s="161"/>
      <c r="AH6" s="161" t="s">
        <v>547</v>
      </c>
      <c r="AI6" s="161"/>
      <c r="AJ6" s="161"/>
    </row>
    <row r="7" spans="1:36" ht="53.25" customHeight="1">
      <c r="A7" s="161" t="s">
        <v>551</v>
      </c>
      <c r="B7" s="161" t="str">
        <f>IF(SUM('FS1'!H32:K32)='FS1'!N32,"Yes","No, Email FRS")</f>
        <v>Yes</v>
      </c>
      <c r="E7" s="161" t="s">
        <v>547</v>
      </c>
      <c r="F7" s="161" t="str">
        <f>IF('FS2'!B36="","No notes","Check notes")</f>
        <v>No notes</v>
      </c>
      <c r="G7" s="161"/>
      <c r="H7" s="161"/>
      <c r="J7" s="161"/>
      <c r="K7" s="161"/>
      <c r="M7" s="161"/>
      <c r="N7" s="161"/>
      <c r="P7" s="161"/>
      <c r="Q7" s="161"/>
      <c r="S7" s="161"/>
      <c r="T7" s="161"/>
      <c r="V7" s="161"/>
      <c r="W7" s="161"/>
      <c r="Y7" s="161"/>
      <c r="Z7" s="161"/>
      <c r="AA7" s="161"/>
      <c r="AB7" s="161"/>
      <c r="AC7" s="161"/>
      <c r="AE7" s="161"/>
      <c r="AF7" s="161"/>
      <c r="AH7" s="161"/>
      <c r="AI7" s="161"/>
      <c r="AJ7" s="161"/>
    </row>
    <row r="8" spans="1:36">
      <c r="A8" s="161" t="s">
        <v>552</v>
      </c>
      <c r="B8" s="8" t="str">
        <f>IF('FS1'!B37="","No notes","Check notes")</f>
        <v>No notes</v>
      </c>
      <c r="E8" s="161" t="s">
        <v>553</v>
      </c>
    </row>
    <row r="9" spans="1:36">
      <c r="A9" s="161" t="s">
        <v>553</v>
      </c>
    </row>
  </sheetData>
  <mergeCells count="9">
    <mergeCell ref="AB3:AC3"/>
    <mergeCell ref="AE3:AF3"/>
    <mergeCell ref="AH3:AJ3"/>
    <mergeCell ref="E3:G3"/>
    <mergeCell ref="M3:N3"/>
    <mergeCell ref="P3:Q3"/>
    <mergeCell ref="S3:T3"/>
    <mergeCell ref="V3:W3"/>
    <mergeCell ref="Y3:Z3"/>
  </mergeCells>
  <conditionalFormatting sqref="A3:AH3 I4:M4 O4:P4 R4:S4 U4:V4 X4:Y4 AB4 AD4:AE4 AG4:AH4 D4:E5 A4:A9 G5:J5 L5:M5 O5 R5:AJ7 D6:D7 G6:Q7 E7:E8">
    <cfRule type="containsText" dxfId="40" priority="41" operator="containsText" text="false">
      <formula>NOT(ISERROR(SEARCH("false",A3)))</formula>
    </cfRule>
    <cfRule type="containsText" dxfId="39" priority="40" operator="containsText" text="true">
      <formula>NOT(ISERROR(SEARCH("true",A3)))</formula>
    </cfRule>
  </conditionalFormatting>
  <conditionalFormatting sqref="A1:XFD1048576">
    <cfRule type="containsText" dxfId="38" priority="39" operator="containsText" text="No, email FRS">
      <formula>NOT(ISERROR(SEARCH("No, email FRS",A1)))</formula>
    </cfRule>
  </conditionalFormatting>
  <conditionalFormatting sqref="B1">
    <cfRule type="cellIs" dxfId="37" priority="2" operator="greaterThan">
      <formula>0</formula>
    </cfRule>
    <cfRule type="cellIs" dxfId="36" priority="1" operator="equal">
      <formula>0</formula>
    </cfRule>
  </conditionalFormatting>
  <conditionalFormatting sqref="B4:B8">
    <cfRule type="containsText" dxfId="35" priority="38" operator="containsText" text="Yes">
      <formula>NOT(ISERROR(SEARCH("Yes",B4)))</formula>
    </cfRule>
    <cfRule type="containsText" dxfId="34" priority="37" operator="containsText" text="Check notes">
      <formula>NOT(ISERROR(SEARCH("Check notes",B4)))</formula>
    </cfRule>
    <cfRule type="containsText" dxfId="33" priority="36" operator="containsText" text="No notes">
      <formula>NOT(ISERROR(SEARCH("No notes",B4)))</formula>
    </cfRule>
  </conditionalFormatting>
  <conditionalFormatting sqref="F4:F7">
    <cfRule type="containsText" dxfId="32" priority="35" operator="containsText" text="No, email FRS">
      <formula>NOT(ISERROR(SEARCH("No, email FRS",F4)))</formula>
    </cfRule>
    <cfRule type="containsText" dxfId="31" priority="34" operator="containsText" text="Yes">
      <formula>NOT(ISERROR(SEARCH("Yes",F4)))</formula>
    </cfRule>
    <cfRule type="containsText" dxfId="30" priority="33" operator="containsText" text="Check notes">
      <formula>NOT(ISERROR(SEARCH("Check notes",F4)))</formula>
    </cfRule>
    <cfRule type="containsText" dxfId="29" priority="32" operator="containsText" text="No notes">
      <formula>NOT(ISERROR(SEARCH("No notes",F4)))</formula>
    </cfRule>
  </conditionalFormatting>
  <conditionalFormatting sqref="K5">
    <cfRule type="containsText" dxfId="28" priority="31" operator="containsText" text="No, email FRS">
      <formula>NOT(ISERROR(SEARCH("No, email FRS",K5)))</formula>
    </cfRule>
    <cfRule type="containsText" dxfId="27" priority="30" operator="containsText" text="Yes">
      <formula>NOT(ISERROR(SEARCH("Yes",K5)))</formula>
    </cfRule>
    <cfRule type="containsText" dxfId="26" priority="29" operator="containsText" text="Check notes">
      <formula>NOT(ISERROR(SEARCH("Check notes",K5)))</formula>
    </cfRule>
    <cfRule type="containsText" dxfId="25" priority="28" operator="containsText" text="No notes">
      <formula>NOT(ISERROR(SEARCH("No notes",K5)))</formula>
    </cfRule>
  </conditionalFormatting>
  <conditionalFormatting sqref="N5">
    <cfRule type="containsText" dxfId="24" priority="24" operator="containsText" text="No notes">
      <formula>NOT(ISERROR(SEARCH("No notes",N5)))</formula>
    </cfRule>
    <cfRule type="containsText" dxfId="23" priority="25" operator="containsText" text="Check notes">
      <formula>NOT(ISERROR(SEARCH("Check notes",N5)))</formula>
    </cfRule>
    <cfRule type="containsText" dxfId="22" priority="27" operator="containsText" text="No, email FRS">
      <formula>NOT(ISERROR(SEARCH("No, email FRS",N5)))</formula>
    </cfRule>
    <cfRule type="containsText" dxfId="21" priority="26" operator="containsText" text="Yes">
      <formula>NOT(ISERROR(SEARCH("Yes",N5)))</formula>
    </cfRule>
  </conditionalFormatting>
  <conditionalFormatting sqref="Q6">
    <cfRule type="containsText" dxfId="20" priority="20" operator="containsText" text="No notes">
      <formula>NOT(ISERROR(SEARCH("No notes",Q6)))</formula>
    </cfRule>
    <cfRule type="containsText" dxfId="19" priority="22" operator="containsText" text="Yes">
      <formula>NOT(ISERROR(SEARCH("Yes",Q6)))</formula>
    </cfRule>
    <cfRule type="containsText" dxfId="18" priority="23" operator="containsText" text="No, email FRS">
      <formula>NOT(ISERROR(SEARCH("No, email FRS",Q6)))</formula>
    </cfRule>
    <cfRule type="containsText" dxfId="17" priority="21" operator="containsText" text="Check notes">
      <formula>NOT(ISERROR(SEARCH("Check notes",Q6)))</formula>
    </cfRule>
  </conditionalFormatting>
  <conditionalFormatting sqref="R5:XFD1048576 A3:XFD4 A5:O1048576 P6:Q1048576">
    <cfRule type="containsText" dxfId="16" priority="19" operator="containsText" text="Yes">
      <formula>NOT(ISERROR(SEARCH("Yes",A3)))</formula>
    </cfRule>
  </conditionalFormatting>
  <conditionalFormatting sqref="T5">
    <cfRule type="containsText" dxfId="15" priority="17" operator="containsText" text="Yes">
      <formula>NOT(ISERROR(SEARCH("Yes",T5)))</formula>
    </cfRule>
    <cfRule type="containsText" dxfId="14" priority="16" operator="containsText" text="Check notes">
      <formula>NOT(ISERROR(SEARCH("Check notes",T5)))</formula>
    </cfRule>
    <cfRule type="containsText" dxfId="13" priority="15" operator="containsText" text="No notes">
      <formula>NOT(ISERROR(SEARCH("No notes",T5)))</formula>
    </cfRule>
    <cfRule type="containsText" dxfId="12" priority="18" operator="containsText" text="No, email FRS">
      <formula>NOT(ISERROR(SEARCH("No, email FRS",T5)))</formula>
    </cfRule>
  </conditionalFormatting>
  <conditionalFormatting sqref="W5">
    <cfRule type="containsText" dxfId="11" priority="14" operator="containsText" text="No, email FRS">
      <formula>NOT(ISERROR(SEARCH("No, email FRS",W5)))</formula>
    </cfRule>
    <cfRule type="containsText" dxfId="10" priority="13" operator="containsText" text="Yes">
      <formula>NOT(ISERROR(SEARCH("Yes",W5)))</formula>
    </cfRule>
    <cfRule type="containsText" dxfId="9" priority="12" operator="containsText" text="Check notes">
      <formula>NOT(ISERROR(SEARCH("Check notes",W5)))</formula>
    </cfRule>
    <cfRule type="containsText" dxfId="8" priority="11" operator="containsText" text="No notes">
      <formula>NOT(ISERROR(SEARCH("No notes",W5)))</formula>
    </cfRule>
  </conditionalFormatting>
  <conditionalFormatting sqref="Z5:AC5">
    <cfRule type="containsText" dxfId="7" priority="10" operator="containsText" text="No, email FRS">
      <formula>NOT(ISERROR(SEARCH("No, email FRS",Z5)))</formula>
    </cfRule>
    <cfRule type="containsText" dxfId="6" priority="9" operator="containsText" text="Yes">
      <formula>NOT(ISERROR(SEARCH("Yes",Z5)))</formula>
    </cfRule>
    <cfRule type="containsText" dxfId="5" priority="8" operator="containsText" text="Check notes">
      <formula>NOT(ISERROR(SEARCH("Check notes",Z5)))</formula>
    </cfRule>
    <cfRule type="containsText" dxfId="4" priority="7" operator="containsText" text="No notes">
      <formula>NOT(ISERROR(SEARCH("No notes",Z5)))</formula>
    </cfRule>
  </conditionalFormatting>
  <conditionalFormatting sqref="AF5">
    <cfRule type="containsText" dxfId="3" priority="4" operator="containsText" text="Check notes">
      <formula>NOT(ISERROR(SEARCH("Check notes",AF5)))</formula>
    </cfRule>
    <cfRule type="containsText" dxfId="2" priority="6" operator="containsText" text="No, email FRS">
      <formula>NOT(ISERROR(SEARCH("No, email FRS",AF5)))</formula>
    </cfRule>
    <cfRule type="containsText" dxfId="1" priority="5" operator="containsText" text="Yes">
      <formula>NOT(ISERROR(SEARCH("Yes",AF5)))</formula>
    </cfRule>
    <cfRule type="containsText" dxfId="0" priority="3" operator="containsText" text="No notes">
      <formula>NOT(ISERROR(SEARCH("No notes",AF5)))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F95A7-BBA9-448C-A9AD-B47353831599}">
  <sheetPr codeName="Sheet25">
    <tabColor rgb="FFFF0000"/>
  </sheetPr>
  <dimension ref="A1:C7"/>
  <sheetViews>
    <sheetView workbookViewId="0"/>
  </sheetViews>
  <sheetFormatPr defaultRowHeight="12.75"/>
  <cols>
    <col min="1" max="1" width="24" bestFit="1" customWidth="1"/>
    <col min="3" max="3" width="21.7109375" bestFit="1" customWidth="1"/>
  </cols>
  <sheetData>
    <row r="1" spans="1:3">
      <c r="A1" s="53" t="s">
        <v>554</v>
      </c>
      <c r="C1" s="53" t="s">
        <v>555</v>
      </c>
    </row>
    <row r="2" spans="1:3">
      <c r="A2">
        <v>50</v>
      </c>
      <c r="C2">
        <v>0.75</v>
      </c>
    </row>
    <row r="3" spans="1:3">
      <c r="A3">
        <v>100</v>
      </c>
      <c r="C3">
        <v>1.35</v>
      </c>
    </row>
    <row r="4" spans="1:3">
      <c r="A4">
        <v>200</v>
      </c>
    </row>
    <row r="5" spans="1:3">
      <c r="A5">
        <v>300</v>
      </c>
    </row>
    <row r="6" spans="1:3">
      <c r="A6" s="38">
        <v>500</v>
      </c>
    </row>
    <row r="7" spans="1:3">
      <c r="A7" s="39"/>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3.xml><?xml version="1.0" encoding="utf-8"?>
<?mso-contentType ?>
<FormTemplates xmlns="http://schemas.microsoft.com/sharepoint/v3/contenttype/forms"/>
</file>

<file path=customXml/item4.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C1F9F2F-1539-407D-B31D-CD10F0B0C48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41EF4F8E-536C-4D33-A7AA-474D12376B6E}">
  <ds:schemaRefs>
    <ds:schemaRef ds:uri="http://schemas.microsoft.com/office/2006/documentManagement/types"/>
    <ds:schemaRef ds:uri="http://www.w3.org/XML/1998/namespace"/>
    <ds:schemaRef ds:uri="http://purl.org/dc/elements/1.1/"/>
    <ds:schemaRef ds:uri="http://purl.org/dc/terms/"/>
    <ds:schemaRef ds:uri="http://purl.org/dc/dcmitype/"/>
    <ds:schemaRef ds:uri="f2aea08d-7fae-41c6-92ff-91df552a059b"/>
    <ds:schemaRef ds:uri="http://schemas.microsoft.com/office/infopath/2007/PartnerControls"/>
    <ds:schemaRef ds:uri="http://schemas.openxmlformats.org/package/2006/metadata/core-properties"/>
    <ds:schemaRef ds:uri="http://schemas.microsoft.com/office/2006/metadata/properties"/>
    <ds:schemaRef ds:uri="f8e9d96c-a07e-4933-9220-38ca5ec96d4e"/>
  </ds:schemaRefs>
</ds:datastoreItem>
</file>

<file path=customXml/itemProps3.xml><?xml version="1.0" encoding="utf-8"?>
<ds:datastoreItem xmlns:ds="http://schemas.openxmlformats.org/officeDocument/2006/customXml" ds:itemID="{A8551BBD-8085-4808-9616-9D47344D37DC}">
  <ds:schemaRefs>
    <ds:schemaRef ds:uri="http://schemas.microsoft.com/sharepoint/v3/contenttype/forms"/>
  </ds:schemaRefs>
</ds:datastoreItem>
</file>

<file path=customXml/itemProps4.xml><?xml version="1.0" encoding="utf-8"?>
<ds:datastoreItem xmlns:ds="http://schemas.openxmlformats.org/officeDocument/2006/customXml" ds:itemID="{671097B3-E21D-4233-9719-7876E734E9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21</vt:i4>
      </vt:variant>
      <vt:variant>
        <vt:lpstr>Named Ranges</vt:lpstr>
      </vt:variant>
      <vt:variant>
        <vt:i4>13</vt:i4>
      </vt:variant>
    </vt:vector>
  </HeadingPairs>
  <TitlesOfParts>
    <vt:vector size="34" baseType="lpstr">
      <vt:lpstr>Cover</vt:lpstr>
      <vt:lpstr>Guidance</vt:lpstr>
      <vt:lpstr>FS1 PY</vt:lpstr>
      <vt:lpstr>FS1 - PY data</vt:lpstr>
      <vt:lpstr>FS1</vt:lpstr>
      <vt:lpstr>FS2 - PY data</vt:lpstr>
      <vt:lpstr>FS2 PY</vt:lpstr>
      <vt:lpstr>FS2</vt:lpstr>
      <vt:lpstr>FS6a</vt:lpstr>
      <vt:lpstr>FS6b</vt:lpstr>
      <vt:lpstr>FS7</vt:lpstr>
      <vt:lpstr>FS7 PY</vt:lpstr>
      <vt:lpstr>FS7 - PY data</vt:lpstr>
      <vt:lpstr>FS8a</vt:lpstr>
      <vt:lpstr>FS8b</vt:lpstr>
      <vt:lpstr>FS8c</vt:lpstr>
      <vt:lpstr>FS8d</vt:lpstr>
      <vt:lpstr>FS9</vt:lpstr>
      <vt:lpstr>FS10</vt:lpstr>
      <vt:lpstr>QA checks</vt:lpstr>
      <vt:lpstr>QA check thresholds</vt:lpstr>
      <vt:lpstr>'FS7 PY'!FS7_formula</vt:lpstr>
      <vt:lpstr>Cover!Print_Area</vt:lpstr>
      <vt:lpstr>'FS1'!Print_Area</vt:lpstr>
      <vt:lpstr>'FS10'!Print_Area</vt:lpstr>
      <vt:lpstr>'FS2'!Print_Area</vt:lpstr>
      <vt:lpstr>FS6a!Print_Area</vt:lpstr>
      <vt:lpstr>'FS7'!Print_Area</vt:lpstr>
      <vt:lpstr>'FS7 PY'!Print_Area</vt:lpstr>
      <vt:lpstr>FS8a!Print_Area</vt:lpstr>
      <vt:lpstr>FS8b!Print_Area</vt:lpstr>
      <vt:lpstr>FS8d!Print_Area</vt:lpstr>
      <vt:lpstr>'FS9'!Print_Area</vt:lpstr>
      <vt:lpstr>Guidance!Print_Area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Gaught Paul</dc:creator>
  <cp:keywords/>
  <dc:description/>
  <cp:lastModifiedBy>Katrina Ihebunezie</cp:lastModifiedBy>
  <cp:revision/>
  <dcterms:created xsi:type="dcterms:W3CDTF">2010-02-08T09:17:40Z</dcterms:created>
  <dcterms:modified xsi:type="dcterms:W3CDTF">2026-01-13T18:51:09Z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425606c0-2531-4794-9b8d-e8842eed3446</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