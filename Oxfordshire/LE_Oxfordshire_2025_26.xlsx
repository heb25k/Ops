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codeName="ThisWorkbook" defaultThemeVersion="124226"/>
  <mc:AlternateContent xmlns:mc="http://schemas.openxmlformats.org/markup-compatibility/2006">
    <mc:Choice Requires="x15">
      <x15ac:absPath xmlns:x15ac="http://schemas.microsoft.com/office/spreadsheetml/2010/11/ac" url="https://mhclg-my.sharepoint.com/personal/katrina_ihebunezie_communities_gov_uk/Documents/Desktop/OS/2025_26/Returns/Oxfordshire/"/>
    </mc:Choice>
  </mc:AlternateContent>
  <xr:revisionPtr revIDLastSave="0" documentId="8_{CF8F5C0E-D491-4E47-98E8-835B89CF6B2C}" xr6:coauthVersionLast="47" xr6:coauthVersionMax="47" xr10:uidLastSave="{00000000-0000-0000-0000-000000000000}"/>
  <bookViews>
    <workbookView xWindow="-110" yWindow="-110" windowWidth="22780" windowHeight="14540" tabRatio="728" xr2:uid="{00000000-000D-0000-FFFF-FFFF00000000}"/>
  </bookViews>
  <sheets>
    <sheet name="Cover" sheetId="1" r:id="rId1"/>
    <sheet name="Guidance" sheetId="25" r:id="rId2"/>
    <sheet name="LE - PY data" sheetId="46" r:id="rId3"/>
    <sheet name="LE1a PY" sheetId="47" r:id="rId4"/>
    <sheet name="LE1a" sheetId="21" r:id="rId5"/>
    <sheet name="LE1b" sheetId="42" r:id="rId6"/>
    <sheet name="LE2a PY" sheetId="48" r:id="rId7"/>
    <sheet name="LE2a" sheetId="26" r:id="rId8"/>
    <sheet name="LE2b" sheetId="43" r:id="rId9"/>
    <sheet name="LE3a PY" sheetId="49" r:id="rId10"/>
    <sheet name="LE3a" sheetId="27" r:id="rId11"/>
    <sheet name="LE3b" sheetId="44" r:id="rId12"/>
    <sheet name="LE4a PY" sheetId="50" r:id="rId13"/>
    <sheet name="LE4a" sheetId="28" r:id="rId14"/>
    <sheet name="LE4b" sheetId="45" r:id="rId15"/>
    <sheet name="QA checks" sheetId="51" r:id="rId16"/>
    <sheet name="QA check thresholds" sheetId="41" r:id="rId17"/>
  </sheets>
  <externalReferences>
    <externalReference r:id="rId18"/>
  </externalReferences>
  <definedNames>
    <definedName name="_Toc252461075" localSheetId="1">Guidance!$A$3</definedName>
    <definedName name="Data" localSheetId="16">#REF!</definedName>
    <definedName name="Data">#REF!</definedName>
    <definedName name="FS3_f">#REF!</definedName>
    <definedName name="FS3_formula">#REF!</definedName>
    <definedName name="FS4_formula">#REF!</definedName>
    <definedName name="FS5_formula">#REF!</definedName>
    <definedName name="FS9_f">'[1]FS9 2020-21'!#REF!</definedName>
    <definedName name="FS9_formula">[1]FS9!#REF!</definedName>
    <definedName name="HR1_formula">#REF!</definedName>
    <definedName name="HR2_f">#REF!</definedName>
    <definedName name="HR2_formula" localSheetId="10">#REF!</definedName>
    <definedName name="HR2_formula" localSheetId="11">#REF!</definedName>
    <definedName name="HR2_formula" localSheetId="13">#REF!</definedName>
    <definedName name="HR2_formula" localSheetId="14">#REF!</definedName>
    <definedName name="HR2_formula">#REF!</definedName>
    <definedName name="HR3_formula" localSheetId="7">#REF!</definedName>
    <definedName name="HR3_formula" localSheetId="8">#REF!</definedName>
    <definedName name="HR3_formula" localSheetId="10">#REF!</definedName>
    <definedName name="HR3_formula" localSheetId="11">#REF!</definedName>
    <definedName name="HR3_formula" localSheetId="13">#REF!</definedName>
    <definedName name="HR3_formula" localSheetId="14">#REF!</definedName>
    <definedName name="HR3_formula">#REF!</definedName>
    <definedName name="HR4_formula" localSheetId="7">#REF!</definedName>
    <definedName name="HR4_formula" localSheetId="8">#REF!</definedName>
    <definedName name="HR4_formula" localSheetId="10">#REF!</definedName>
    <definedName name="HR4_formula" localSheetId="11">#REF!</definedName>
    <definedName name="HR4_formula" localSheetId="13">#REF!</definedName>
    <definedName name="HR4_formula" localSheetId="14">#REF!</definedName>
    <definedName name="HR4_formula">#REF!</definedName>
    <definedName name="HR5_formula" localSheetId="7">#REF!</definedName>
    <definedName name="HR5_formula" localSheetId="8">#REF!</definedName>
    <definedName name="HR5_formula" localSheetId="10">#REF!</definedName>
    <definedName name="HR5_formula" localSheetId="11">#REF!</definedName>
    <definedName name="HR5_formula" localSheetId="13">#REF!</definedName>
    <definedName name="HR5_formula" localSheetId="14">#REF!</definedName>
    <definedName name="HR5_formula">#REF!</definedName>
    <definedName name="_xlnm.Print_Area" localSheetId="0">Cover!$A$1:$I$32</definedName>
    <definedName name="_xlnm.Print_Area" localSheetId="1">Guidance!$A$1:$C$44</definedName>
    <definedName name="_xlnm.Print_Area" localSheetId="4">LE1a!$A$1:$I$27</definedName>
    <definedName name="_xlnm.Print_Area" localSheetId="5">LE1b!$A$1:$I$27</definedName>
    <definedName name="_xlnm.Print_Area" localSheetId="7">LE2a!$A$1:$G$30</definedName>
    <definedName name="_xlnm.Print_Area" localSheetId="8">LE2b!$A$1:$G$30</definedName>
    <definedName name="_xlnm.Print_Area" localSheetId="10">LE3a!$A$1:$G$27</definedName>
    <definedName name="_xlnm.Print_Area" localSheetId="11">LE3b!$A$1:$G$27</definedName>
    <definedName name="_xlnm.Print_Area" localSheetId="13">LE4a!$A$1:$B$27</definedName>
    <definedName name="_xlnm.Print_Area" localSheetId="14">LE4b!$A$1:$B$27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4" i="51" l="1"/>
  <c r="R4" i="51"/>
  <c r="N4" i="51"/>
  <c r="J4" i="51"/>
  <c r="F4" i="51"/>
  <c r="B4" i="51"/>
  <c r="D45" i="45" l="1"/>
  <c r="D40" i="45"/>
  <c r="D39" i="45"/>
  <c r="AD5" i="51"/>
  <c r="X26" i="44"/>
  <c r="D42" i="45"/>
  <c r="D41" i="45"/>
  <c r="D43" i="45"/>
  <c r="M49" i="42" l="1"/>
  <c r="G30" i="26"/>
  <c r="I27" i="21"/>
  <c r="AD9" i="51"/>
  <c r="AD8" i="51"/>
  <c r="AD7" i="51"/>
  <c r="AD6" i="51"/>
  <c r="Z4" i="51"/>
  <c r="V9" i="51"/>
  <c r="V8" i="51"/>
  <c r="V7" i="51"/>
  <c r="V6" i="51"/>
  <c r="V5" i="51"/>
  <c r="N9" i="51"/>
  <c r="N8" i="51"/>
  <c r="N7" i="51"/>
  <c r="N6" i="51"/>
  <c r="N5" i="51"/>
  <c r="F9" i="51"/>
  <c r="F7" i="51"/>
  <c r="F8" i="51"/>
  <c r="F5" i="51"/>
  <c r="V25" i="43"/>
  <c r="G28" i="43"/>
  <c r="M56" i="42"/>
  <c r="I56" i="42"/>
  <c r="C56" i="42"/>
  <c r="G19" i="42"/>
  <c r="G32" i="42"/>
  <c r="C32" i="42"/>
  <c r="I44" i="42"/>
  <c r="C44" i="42"/>
  <c r="C38" i="44"/>
  <c r="C48" i="44"/>
  <c r="D59" i="44"/>
  <c r="E59" i="44"/>
  <c r="F59" i="44"/>
  <c r="G59" i="44"/>
  <c r="H59" i="44"/>
  <c r="I59" i="44"/>
  <c r="J59" i="44"/>
  <c r="K59" i="44"/>
  <c r="L59" i="44"/>
  <c r="M59" i="44"/>
  <c r="N59" i="44"/>
  <c r="O59" i="44"/>
  <c r="P59" i="44"/>
  <c r="Q59" i="44"/>
  <c r="R59" i="44"/>
  <c r="S59" i="44"/>
  <c r="C59" i="44"/>
  <c r="J44" i="42"/>
  <c r="K44" i="42"/>
  <c r="L44" i="42"/>
  <c r="M44" i="42"/>
  <c r="E44" i="42"/>
  <c r="F44" i="42"/>
  <c r="G44" i="42"/>
  <c r="H44" i="42"/>
  <c r="D44" i="42"/>
  <c r="G23" i="43" l="1"/>
  <c r="D4" i="50"/>
  <c r="F27" i="27"/>
  <c r="E27" i="27"/>
  <c r="D27" i="27"/>
  <c r="C27" i="27"/>
  <c r="B27" i="27"/>
  <c r="G26" i="27"/>
  <c r="G25" i="27"/>
  <c r="G24" i="27"/>
  <c r="G23" i="27"/>
  <c r="G22" i="27"/>
  <c r="G21" i="27"/>
  <c r="G20" i="27"/>
  <c r="G19" i="27"/>
  <c r="G18" i="27"/>
  <c r="G17" i="27"/>
  <c r="G16" i="27"/>
  <c r="G15" i="27"/>
  <c r="G14" i="27"/>
  <c r="G13" i="27"/>
  <c r="G12" i="27"/>
  <c r="G11" i="27"/>
  <c r="G10" i="27"/>
  <c r="G9" i="27"/>
  <c r="G8" i="27"/>
  <c r="D4" i="49"/>
  <c r="F30" i="26"/>
  <c r="E30" i="26"/>
  <c r="D30" i="26"/>
  <c r="C30" i="26"/>
  <c r="B30" i="26"/>
  <c r="G29" i="26"/>
  <c r="G28" i="26"/>
  <c r="G27" i="26"/>
  <c r="G26" i="26"/>
  <c r="G25" i="26"/>
  <c r="G24" i="26"/>
  <c r="G23" i="26"/>
  <c r="G22" i="26"/>
  <c r="G21" i="26"/>
  <c r="G20" i="26"/>
  <c r="G19" i="26"/>
  <c r="G18" i="26"/>
  <c r="G17" i="26"/>
  <c r="G16" i="26"/>
  <c r="G15" i="26"/>
  <c r="G14" i="26"/>
  <c r="G13" i="26"/>
  <c r="G12" i="26"/>
  <c r="G11" i="26"/>
  <c r="G10" i="26"/>
  <c r="G9" i="26"/>
  <c r="G8" i="26"/>
  <c r="H27" i="21"/>
  <c r="G27" i="21"/>
  <c r="F27" i="21"/>
  <c r="E27" i="21"/>
  <c r="D27" i="21"/>
  <c r="C27" i="21"/>
  <c r="B27" i="21"/>
  <c r="I26" i="21"/>
  <c r="I25" i="21"/>
  <c r="I24" i="21"/>
  <c r="I23" i="21"/>
  <c r="I22" i="21"/>
  <c r="I21" i="21"/>
  <c r="I20" i="21"/>
  <c r="I19" i="21"/>
  <c r="I18" i="21"/>
  <c r="I17" i="21"/>
  <c r="I16" i="21"/>
  <c r="I15" i="21"/>
  <c r="I14" i="21"/>
  <c r="I13" i="21"/>
  <c r="I12" i="21"/>
  <c r="I11" i="21"/>
  <c r="I10" i="21"/>
  <c r="I9" i="21"/>
  <c r="I8" i="21"/>
  <c r="D4" i="48"/>
  <c r="A11" i="1"/>
  <c r="A10" i="1"/>
  <c r="E4" i="50" s="1"/>
  <c r="C250" i="1"/>
  <c r="D4" i="47"/>
  <c r="D27" i="47" l="1" a="1"/>
  <c r="D27" i="47" s="1"/>
  <c r="E4" i="47"/>
  <c r="F11" i="47" a="1"/>
  <c r="F11" i="47" s="1"/>
  <c r="B8" i="47" a="1"/>
  <c r="B8" i="47" s="1"/>
  <c r="G22" i="47" a="1"/>
  <c r="G22" i="47" s="1"/>
  <c r="I22" i="47" a="1"/>
  <c r="I22" i="47" s="1"/>
  <c r="H8" i="47" a="1"/>
  <c r="H8" i="47" s="1"/>
  <c r="C22" i="47" a="1"/>
  <c r="C22" i="47" s="1"/>
  <c r="I14" i="47" a="1"/>
  <c r="I14" i="47" s="1"/>
  <c r="E4" i="48"/>
  <c r="D8" i="48" s="1" a="1"/>
  <c r="D8" i="48" s="1"/>
  <c r="D8" i="47" a="1"/>
  <c r="D8" i="47" s="1"/>
  <c r="B21" i="47" a="1"/>
  <c r="B21" i="47" s="1"/>
  <c r="H25" i="47" a="1"/>
  <c r="H25" i="47" s="1"/>
  <c r="B17" i="47" a="1"/>
  <c r="B17" i="47" s="1"/>
  <c r="D15" i="47" a="1"/>
  <c r="D15" i="47" s="1"/>
  <c r="E4" i="49"/>
  <c r="E26" i="49" s="1" a="1"/>
  <c r="E26" i="49" s="1"/>
  <c r="G14" i="47" a="1"/>
  <c r="G14" i="47" s="1"/>
  <c r="H23" i="47" a="1"/>
  <c r="H23" i="47" s="1"/>
  <c r="G27" i="47" a="1"/>
  <c r="G27" i="47" s="1"/>
  <c r="C18" i="47" a="1"/>
  <c r="C18" i="47" s="1"/>
  <c r="F17" i="47" a="1"/>
  <c r="F17" i="47" s="1"/>
  <c r="E24" i="47" a="1"/>
  <c r="E24" i="47" s="1"/>
  <c r="E16" i="47" a="1"/>
  <c r="E16" i="47" s="1"/>
  <c r="H15" i="47" a="1"/>
  <c r="H15" i="47" s="1"/>
  <c r="F13" i="47" a="1"/>
  <c r="F13" i="47" s="1"/>
  <c r="G12" i="47" a="1"/>
  <c r="G12" i="47" s="1"/>
  <c r="E20" i="47" a="1"/>
  <c r="E20" i="47" s="1"/>
  <c r="E10" i="47" a="1"/>
  <c r="E10" i="47" s="1"/>
  <c r="G24" i="47" a="1"/>
  <c r="G24" i="47" s="1"/>
  <c r="F23" i="47" a="1"/>
  <c r="F23" i="47" s="1"/>
  <c r="E22" i="47" a="1"/>
  <c r="E22" i="47" s="1"/>
  <c r="D21" i="47" a="1"/>
  <c r="D21" i="47" s="1"/>
  <c r="C20" i="47" a="1"/>
  <c r="C20" i="47" s="1"/>
  <c r="B19" i="47" a="1"/>
  <c r="B19" i="47" s="1"/>
  <c r="H17" i="47" a="1"/>
  <c r="H17" i="47" s="1"/>
  <c r="G16" i="47" a="1"/>
  <c r="G16" i="47" s="1"/>
  <c r="F15" i="47" a="1"/>
  <c r="F15" i="47" s="1"/>
  <c r="E14" i="47" a="1"/>
  <c r="E14" i="47" s="1"/>
  <c r="D13" i="47" a="1"/>
  <c r="D13" i="47" s="1"/>
  <c r="C12" i="47" a="1"/>
  <c r="C12" i="47" s="1"/>
  <c r="B11" i="47" a="1"/>
  <c r="B11" i="47" s="1"/>
  <c r="H9" i="47" a="1"/>
  <c r="H9" i="47" s="1"/>
  <c r="I26" i="47" a="1"/>
  <c r="I26" i="47" s="1"/>
  <c r="I18" i="47" a="1"/>
  <c r="I18" i="47" s="1"/>
  <c r="I10" i="47" a="1"/>
  <c r="I10" i="47" s="1"/>
  <c r="C27" i="47" a="1"/>
  <c r="C27" i="47" s="1"/>
  <c r="G25" i="47" a="1"/>
  <c r="G25" i="47" s="1"/>
  <c r="F24" i="47" a="1"/>
  <c r="F24" i="47" s="1"/>
  <c r="E23" i="47" a="1"/>
  <c r="E23" i="47" s="1"/>
  <c r="D22" i="47" a="1"/>
  <c r="D22" i="47" s="1"/>
  <c r="C21" i="47" a="1"/>
  <c r="C21" i="47" s="1"/>
  <c r="B20" i="47" a="1"/>
  <c r="B20" i="47" s="1"/>
  <c r="H18" i="47" a="1"/>
  <c r="H18" i="47" s="1"/>
  <c r="G17" i="47" a="1"/>
  <c r="G17" i="47" s="1"/>
  <c r="F16" i="47" a="1"/>
  <c r="F16" i="47" s="1"/>
  <c r="E15" i="47" a="1"/>
  <c r="E15" i="47" s="1"/>
  <c r="D14" i="47" a="1"/>
  <c r="D14" i="47" s="1"/>
  <c r="C13" i="47" a="1"/>
  <c r="C13" i="47" s="1"/>
  <c r="B12" i="47" a="1"/>
  <c r="B12" i="47" s="1"/>
  <c r="H10" i="47" a="1"/>
  <c r="H10" i="47" s="1"/>
  <c r="G9" i="47" a="1"/>
  <c r="G9" i="47" s="1"/>
  <c r="I25" i="47" a="1"/>
  <c r="I25" i="47" s="1"/>
  <c r="I17" i="47" a="1"/>
  <c r="I17" i="47" s="1"/>
  <c r="I9" i="47" a="1"/>
  <c r="I9" i="47" s="1"/>
  <c r="I27" i="47" a="1"/>
  <c r="I27" i="47" s="1"/>
  <c r="B5" i="51" s="1"/>
  <c r="H11" i="47" a="1"/>
  <c r="H11" i="47" s="1"/>
  <c r="G10" i="47" a="1"/>
  <c r="G10" i="47" s="1"/>
  <c r="F9" i="47" a="1"/>
  <c r="F9" i="47" s="1"/>
  <c r="I24" i="47" a="1"/>
  <c r="I24" i="47" s="1"/>
  <c r="I16" i="47" a="1"/>
  <c r="I16" i="47" s="1"/>
  <c r="B27" i="47" a="1"/>
  <c r="B27" i="47" s="1"/>
  <c r="C23" i="47" a="1"/>
  <c r="C23" i="47" s="1"/>
  <c r="B22" i="47" a="1"/>
  <c r="B22" i="47" s="1"/>
  <c r="H20" i="47" a="1"/>
  <c r="H20" i="47" s="1"/>
  <c r="G19" i="47" a="1"/>
  <c r="G19" i="47" s="1"/>
  <c r="F18" i="47" a="1"/>
  <c r="F18" i="47" s="1"/>
  <c r="E17" i="47" a="1"/>
  <c r="E17" i="47" s="1"/>
  <c r="D16" i="47" a="1"/>
  <c r="D16" i="47" s="1"/>
  <c r="C15" i="47" a="1"/>
  <c r="C15" i="47" s="1"/>
  <c r="B14" i="47" a="1"/>
  <c r="B14" i="47" s="1"/>
  <c r="H12" i="47" a="1"/>
  <c r="H12" i="47" s="1"/>
  <c r="G11" i="47" a="1"/>
  <c r="G11" i="47" s="1"/>
  <c r="F10" i="47" a="1"/>
  <c r="F10" i="47" s="1"/>
  <c r="E9" i="47" a="1"/>
  <c r="E9" i="47" s="1"/>
  <c r="I23" i="47" a="1"/>
  <c r="I23" i="47" s="1"/>
  <c r="I15" i="47" a="1"/>
  <c r="I15" i="47" s="1"/>
  <c r="H27" i="47" a="1"/>
  <c r="H27" i="47" s="1"/>
  <c r="F8" i="47" a="1"/>
  <c r="F8" i="47" s="1"/>
  <c r="D26" i="47" a="1"/>
  <c r="D26" i="47" s="1"/>
  <c r="C25" i="47" a="1"/>
  <c r="C25" i="47" s="1"/>
  <c r="B24" i="47" a="1"/>
  <c r="B24" i="47" s="1"/>
  <c r="H22" i="47" a="1"/>
  <c r="H22" i="47" s="1"/>
  <c r="G21" i="47" a="1"/>
  <c r="G21" i="47" s="1"/>
  <c r="F20" i="47" a="1"/>
  <c r="F20" i="47" s="1"/>
  <c r="E19" i="47" a="1"/>
  <c r="E19" i="47" s="1"/>
  <c r="D18" i="47" a="1"/>
  <c r="D18" i="47" s="1"/>
  <c r="C17" i="47" a="1"/>
  <c r="C17" i="47" s="1"/>
  <c r="B16" i="47" a="1"/>
  <c r="B16" i="47" s="1"/>
  <c r="H14" i="47" a="1"/>
  <c r="H14" i="47" s="1"/>
  <c r="G13" i="47" a="1"/>
  <c r="G13" i="47" s="1"/>
  <c r="F12" i="47" a="1"/>
  <c r="F12" i="47" s="1"/>
  <c r="E11" i="47" a="1"/>
  <c r="E11" i="47" s="1"/>
  <c r="D10" i="47" a="1"/>
  <c r="D10" i="47" s="1"/>
  <c r="C9" i="47" a="1"/>
  <c r="C9" i="47" s="1"/>
  <c r="I21" i="47" a="1"/>
  <c r="I21" i="47" s="1"/>
  <c r="I13" i="47" a="1"/>
  <c r="I13" i="47" s="1"/>
  <c r="F27" i="47" a="1"/>
  <c r="F27" i="47" s="1"/>
  <c r="E12" i="47" a="1"/>
  <c r="E12" i="47" s="1"/>
  <c r="D11" i="47" a="1"/>
  <c r="D11" i="47" s="1"/>
  <c r="C10" i="47" a="1"/>
  <c r="C10" i="47" s="1"/>
  <c r="B9" i="47" a="1"/>
  <c r="B9" i="47" s="1"/>
  <c r="I20" i="47" a="1"/>
  <c r="I20" i="47" s="1"/>
  <c r="I12" i="47" a="1"/>
  <c r="I12" i="47" s="1"/>
  <c r="E27" i="47" a="1"/>
  <c r="E27" i="47" s="1"/>
  <c r="H24" i="47" a="1"/>
  <c r="H24" i="47" s="1"/>
  <c r="G23" i="47" a="1"/>
  <c r="G23" i="47" s="1"/>
  <c r="F22" i="47" a="1"/>
  <c r="F22" i="47" s="1"/>
  <c r="E21" i="47" a="1"/>
  <c r="E21" i="47" s="1"/>
  <c r="D20" i="47" a="1"/>
  <c r="D20" i="47" s="1"/>
  <c r="C19" i="47" a="1"/>
  <c r="C19" i="47" s="1"/>
  <c r="B18" i="47" a="1"/>
  <c r="B18" i="47" s="1"/>
  <c r="H16" i="47" a="1"/>
  <c r="H16" i="47" s="1"/>
  <c r="G15" i="47" a="1"/>
  <c r="G15" i="47" s="1"/>
  <c r="F14" i="47" a="1"/>
  <c r="F14" i="47" s="1"/>
  <c r="E13" i="47" a="1"/>
  <c r="E13" i="47" s="1"/>
  <c r="D12" i="47" a="1"/>
  <c r="D12" i="47" s="1"/>
  <c r="C11" i="47" a="1"/>
  <c r="C11" i="47" s="1"/>
  <c r="B10" i="47" a="1"/>
  <c r="B10" i="47" s="1"/>
  <c r="I8" i="47" a="1"/>
  <c r="I8" i="47" s="1"/>
  <c r="I19" i="47" a="1"/>
  <c r="I19" i="47" s="1"/>
  <c r="I11" i="47" a="1"/>
  <c r="I11" i="47" s="1"/>
  <c r="B11" i="50" a="1"/>
  <c r="B11" i="50" s="1"/>
  <c r="B27" i="50" a="1"/>
  <c r="B27" i="50" s="1"/>
  <c r="Z5" i="51" s="1"/>
  <c r="B26" i="50" a="1"/>
  <c r="B26" i="50" s="1"/>
  <c r="B25" i="50" a="1"/>
  <c r="B25" i="50" s="1"/>
  <c r="B24" i="50" a="1"/>
  <c r="B24" i="50" s="1"/>
  <c r="B23" i="50" a="1"/>
  <c r="B23" i="50" s="1"/>
  <c r="B22" i="50" a="1"/>
  <c r="B22" i="50" s="1"/>
  <c r="B21" i="50" a="1"/>
  <c r="B21" i="50" s="1"/>
  <c r="B20" i="50" a="1"/>
  <c r="B20" i="50" s="1"/>
  <c r="B19" i="50" a="1"/>
  <c r="B19" i="50" s="1"/>
  <c r="B18" i="50" a="1"/>
  <c r="B18" i="50" s="1"/>
  <c r="B17" i="50" a="1"/>
  <c r="B17" i="50" s="1"/>
  <c r="B8" i="50" a="1"/>
  <c r="B8" i="50" s="1"/>
  <c r="B9" i="50" a="1"/>
  <c r="B9" i="50" s="1"/>
  <c r="B10" i="50" a="1"/>
  <c r="B10" i="50" s="1"/>
  <c r="B12" i="50" a="1"/>
  <c r="B12" i="50" s="1"/>
  <c r="B13" i="50" a="1"/>
  <c r="B13" i="50" s="1"/>
  <c r="B14" i="50" a="1"/>
  <c r="B14" i="50" s="1"/>
  <c r="B15" i="50" a="1"/>
  <c r="B15" i="50" s="1"/>
  <c r="B16" i="50" a="1"/>
  <c r="B16" i="50" s="1"/>
  <c r="E26" i="48" a="1"/>
  <c r="E26" i="48" s="1"/>
  <c r="E20" i="48" a="1"/>
  <c r="E20" i="48" s="1"/>
  <c r="C20" i="48" a="1"/>
  <c r="C20" i="48" s="1"/>
  <c r="D12" i="48" l="1" a="1"/>
  <c r="D12" i="48" s="1"/>
  <c r="F20" i="48" a="1"/>
  <c r="F20" i="48" s="1"/>
  <c r="F27" i="48" a="1"/>
  <c r="F27" i="48" s="1"/>
  <c r="B14" i="48" a="1"/>
  <c r="B14" i="48" s="1"/>
  <c r="F13" i="48" a="1"/>
  <c r="F13" i="48" s="1"/>
  <c r="E19" i="48" a="1"/>
  <c r="E19" i="48" s="1"/>
  <c r="C17" i="48" a="1"/>
  <c r="C17" i="48" s="1"/>
  <c r="G19" i="48" a="1"/>
  <c r="G19" i="48" s="1"/>
  <c r="D13" i="48" a="1"/>
  <c r="D13" i="48" s="1"/>
  <c r="G16" i="48" a="1"/>
  <c r="G16" i="48" s="1"/>
  <c r="E17" i="48" a="1"/>
  <c r="E17" i="48" s="1"/>
  <c r="B21" i="48" a="1"/>
  <c r="B21" i="48" s="1"/>
  <c r="D11" i="48" a="1"/>
  <c r="D11" i="48" s="1"/>
  <c r="C24" i="48" a="1"/>
  <c r="C24" i="48" s="1"/>
  <c r="D21" i="48" a="1"/>
  <c r="D21" i="48" s="1"/>
  <c r="E10" i="48" a="1"/>
  <c r="E10" i="48" s="1"/>
  <c r="G23" i="48" a="1"/>
  <c r="G23" i="48" s="1"/>
  <c r="G9" i="48" a="1"/>
  <c r="G9" i="48" s="1"/>
  <c r="B12" i="48" a="1"/>
  <c r="B12" i="48" s="1"/>
  <c r="E24" i="48" a="1"/>
  <c r="E24" i="48" s="1"/>
  <c r="F21" i="48" a="1"/>
  <c r="F21" i="48" s="1"/>
  <c r="B22" i="48" a="1"/>
  <c r="B22" i="48" s="1"/>
  <c r="G11" i="48" a="1"/>
  <c r="G11" i="48" s="1"/>
  <c r="G24" i="48" a="1"/>
  <c r="G24" i="48" s="1"/>
  <c r="D10" i="48" a="1"/>
  <c r="D10" i="48" s="1"/>
  <c r="D23" i="48" a="1"/>
  <c r="D23" i="48" s="1"/>
  <c r="B10" i="48" a="1"/>
  <c r="B10" i="48" s="1"/>
  <c r="D27" i="48" a="1"/>
  <c r="D27" i="48" s="1"/>
  <c r="G8" i="48" a="1"/>
  <c r="G8" i="48" s="1"/>
  <c r="E25" i="48" a="1"/>
  <c r="E25" i="48" s="1"/>
  <c r="C9" i="48" a="1"/>
  <c r="C9" i="48" s="1"/>
  <c r="C25" i="48" a="1"/>
  <c r="C25" i="48" s="1"/>
  <c r="B20" i="48" a="1"/>
  <c r="B20" i="48" s="1"/>
  <c r="G25" i="48" a="1"/>
  <c r="G25" i="48" s="1"/>
  <c r="D22" i="48" a="1"/>
  <c r="D22" i="48" s="1"/>
  <c r="C26" i="48" a="1"/>
  <c r="C26" i="48" s="1"/>
  <c r="B24" i="48" a="1"/>
  <c r="B24" i="48" s="1"/>
  <c r="E27" i="48" a="1"/>
  <c r="E27" i="48" s="1"/>
  <c r="F16" i="48" a="1"/>
  <c r="F16" i="48" s="1"/>
  <c r="D24" i="48" a="1"/>
  <c r="D24" i="48" s="1"/>
  <c r="G13" i="48" a="1"/>
  <c r="G13" i="48" s="1"/>
  <c r="F23" i="48" a="1"/>
  <c r="F23" i="48" s="1"/>
  <c r="C27" i="48" a="1"/>
  <c r="C27" i="48" s="1"/>
  <c r="D16" i="48" a="1"/>
  <c r="D16" i="48" s="1"/>
  <c r="F24" i="48" a="1"/>
  <c r="F24" i="48" s="1"/>
  <c r="G12" i="48" a="1"/>
  <c r="G12" i="48" s="1"/>
  <c r="E9" i="48" a="1"/>
  <c r="E9" i="48" s="1"/>
  <c r="B17" i="48" a="1"/>
  <c r="B17" i="48" s="1"/>
  <c r="G27" i="48" a="1"/>
  <c r="G27" i="48" s="1"/>
  <c r="J5" i="51" s="1"/>
  <c r="E8" i="48" a="1"/>
  <c r="E8" i="48" s="1"/>
  <c r="E12" i="48" a="1"/>
  <c r="E12" i="48" s="1"/>
  <c r="C18" i="48" a="1"/>
  <c r="C18" i="48" s="1"/>
  <c r="C12" i="48" a="1"/>
  <c r="C12" i="48" s="1"/>
  <c r="D17" i="48" a="1"/>
  <c r="D17" i="48" s="1"/>
  <c r="G18" i="48" a="1"/>
  <c r="G18" i="48" s="1"/>
  <c r="F11" i="48" a="1"/>
  <c r="F11" i="48" s="1"/>
  <c r="G17" i="48" a="1"/>
  <c r="G17" i="48" s="1"/>
  <c r="C8" i="48" a="1"/>
  <c r="C8" i="48" s="1"/>
  <c r="F17" i="48" a="1"/>
  <c r="F17" i="48" s="1"/>
  <c r="C19" i="48" a="1"/>
  <c r="C19" i="48" s="1"/>
  <c r="E11" i="48" a="1"/>
  <c r="E11" i="48" s="1"/>
  <c r="F10" i="48" a="1"/>
  <c r="F10" i="48" s="1"/>
  <c r="D20" i="48" a="1"/>
  <c r="D20" i="48" s="1"/>
  <c r="E18" i="48" a="1"/>
  <c r="E18" i="48" s="1"/>
  <c r="E13" i="48" a="1"/>
  <c r="E13" i="48" s="1"/>
  <c r="B13" i="48" a="1"/>
  <c r="B13" i="48" s="1"/>
  <c r="F22" i="48" a="1"/>
  <c r="F22" i="48" s="1"/>
  <c r="C23" i="48" a="1"/>
  <c r="C23" i="48" s="1"/>
  <c r="C11" i="48" a="1"/>
  <c r="C11" i="48" s="1"/>
  <c r="F12" i="48" a="1"/>
  <c r="F12" i="48" s="1"/>
  <c r="B23" i="48" a="1"/>
  <c r="B23" i="48" s="1"/>
  <c r="E23" i="48" a="1"/>
  <c r="E23" i="48" s="1"/>
  <c r="B11" i="48" a="1"/>
  <c r="B11" i="48" s="1"/>
  <c r="G17" i="49" a="1"/>
  <c r="G17" i="49" s="1"/>
  <c r="F19" i="48" a="1"/>
  <c r="F19" i="48" s="1"/>
  <c r="B27" i="48" a="1"/>
  <c r="B27" i="48" s="1"/>
  <c r="G22" i="48" a="1"/>
  <c r="G22" i="48" s="1"/>
  <c r="C14" i="48" a="1"/>
  <c r="C14" i="48" s="1"/>
  <c r="B8" i="48" a="1"/>
  <c r="B8" i="48" s="1"/>
  <c r="C13" i="48" a="1"/>
  <c r="C13" i="48" s="1"/>
  <c r="G26" i="48" a="1"/>
  <c r="G26" i="48" s="1"/>
  <c r="G10" i="48" a="1"/>
  <c r="G10" i="48" s="1"/>
  <c r="E16" i="48" a="1"/>
  <c r="E16" i="48" s="1"/>
  <c r="B25" i="48" a="1"/>
  <c r="B25" i="48" s="1"/>
  <c r="C10" i="48" a="1"/>
  <c r="C10" i="48" s="1"/>
  <c r="B18" i="48" a="1"/>
  <c r="B18" i="48" s="1"/>
  <c r="G15" i="48" a="1"/>
  <c r="G15" i="48" s="1"/>
  <c r="F9" i="48" a="1"/>
  <c r="F9" i="48" s="1"/>
  <c r="F25" i="48" a="1"/>
  <c r="F25" i="48" s="1"/>
  <c r="D9" i="48" a="1"/>
  <c r="D9" i="48" s="1"/>
  <c r="D25" i="48" a="1"/>
  <c r="D25" i="48" s="1"/>
  <c r="D15" i="48" a="1"/>
  <c r="D15" i="48" s="1"/>
  <c r="B15" i="48" a="1"/>
  <c r="B15" i="48" s="1"/>
  <c r="B26" i="48" a="1"/>
  <c r="B26" i="48" s="1"/>
  <c r="G21" i="48" a="1"/>
  <c r="G21" i="48" s="1"/>
  <c r="C15" i="48" a="1"/>
  <c r="C15" i="48" s="1"/>
  <c r="B9" i="48" a="1"/>
  <c r="B9" i="48" s="1"/>
  <c r="G20" i="48" a="1"/>
  <c r="G20" i="48" s="1"/>
  <c r="F15" i="48" a="1"/>
  <c r="F15" i="48" s="1"/>
  <c r="D18" i="48" a="1"/>
  <c r="D18" i="48" s="1"/>
  <c r="F18" i="48" a="1"/>
  <c r="F18" i="48" s="1"/>
  <c r="F14" i="48" a="1"/>
  <c r="F14" i="48" s="1"/>
  <c r="B19" i="48" a="1"/>
  <c r="B19" i="48" s="1"/>
  <c r="D26" i="48" a="1"/>
  <c r="D26" i="48" s="1"/>
  <c r="C22" i="48" a="1"/>
  <c r="C22" i="48" s="1"/>
  <c r="G14" i="48" a="1"/>
  <c r="G14" i="48" s="1"/>
  <c r="F8" i="48" a="1"/>
  <c r="F8" i="48" s="1"/>
  <c r="B13" i="47" a="1"/>
  <c r="B13" i="47" s="1"/>
  <c r="G18" i="47" a="1"/>
  <c r="G18" i="47" s="1"/>
  <c r="E8" i="47" a="1"/>
  <c r="E8" i="47" s="1"/>
  <c r="H21" i="47" a="1"/>
  <c r="H21" i="47" s="1"/>
  <c r="E25" i="47" a="1"/>
  <c r="E25" i="47" s="1"/>
  <c r="B26" i="47" a="1"/>
  <c r="B26" i="47" s="1"/>
  <c r="F26" i="47" a="1"/>
  <c r="F26" i="47" s="1"/>
  <c r="D19" i="47" a="1"/>
  <c r="D19" i="47" s="1"/>
  <c r="G8" i="47" a="1"/>
  <c r="G8" i="47" s="1"/>
  <c r="F21" i="47" a="1"/>
  <c r="F21" i="47" s="1"/>
  <c r="F25" i="47" a="1"/>
  <c r="F25" i="47" s="1"/>
  <c r="E26" i="47" a="1"/>
  <c r="E26" i="47" s="1"/>
  <c r="F19" i="47" a="1"/>
  <c r="F19" i="47" s="1"/>
  <c r="H19" i="47" a="1"/>
  <c r="H19" i="47" s="1"/>
  <c r="G20" i="47" a="1"/>
  <c r="G20" i="47" s="1"/>
  <c r="D9" i="47" a="1"/>
  <c r="D9" i="47" s="1"/>
  <c r="B15" i="47" a="1"/>
  <c r="B15" i="47" s="1"/>
  <c r="H26" i="47" a="1"/>
  <c r="H26" i="47" s="1"/>
  <c r="B23" i="47" a="1"/>
  <c r="B23" i="47" s="1"/>
  <c r="D24" i="47" a="1"/>
  <c r="D24" i="47" s="1"/>
  <c r="C16" i="47" a="1"/>
  <c r="C16" i="47" s="1"/>
  <c r="D23" i="47" a="1"/>
  <c r="D23" i="47" s="1"/>
  <c r="B25" i="47" a="1"/>
  <c r="B25" i="47" s="1"/>
  <c r="D17" i="47" a="1"/>
  <c r="D17" i="47" s="1"/>
  <c r="C24" i="47" a="1"/>
  <c r="C24" i="47" s="1"/>
  <c r="D25" i="47" a="1"/>
  <c r="D25" i="47" s="1"/>
  <c r="G26" i="47" a="1"/>
  <c r="G26" i="47" s="1"/>
  <c r="H13" i="47" a="1"/>
  <c r="H13" i="47" s="1"/>
  <c r="C26" i="47" a="1"/>
  <c r="C26" i="47" s="1"/>
  <c r="C14" i="47" a="1"/>
  <c r="C14" i="47" s="1"/>
  <c r="E18" i="47" a="1"/>
  <c r="E18" i="47" s="1"/>
  <c r="C8" i="47" a="1"/>
  <c r="C8" i="47" s="1"/>
  <c r="B16" i="48" a="1"/>
  <c r="B16" i="48" s="1"/>
  <c r="C16" i="48" a="1"/>
  <c r="C16" i="48" s="1"/>
  <c r="C21" i="48" a="1"/>
  <c r="C21" i="48" s="1"/>
  <c r="E21" i="48" a="1"/>
  <c r="E21" i="48" s="1"/>
  <c r="E15" i="48" a="1"/>
  <c r="E15" i="48" s="1"/>
  <c r="D14" i="48" a="1"/>
  <c r="D14" i="48" s="1"/>
  <c r="D19" i="48" a="1"/>
  <c r="D19" i="48" s="1"/>
  <c r="F26" i="48" a="1"/>
  <c r="F26" i="48" s="1"/>
  <c r="E22" i="48" a="1"/>
  <c r="E22" i="48" s="1"/>
  <c r="E14" i="48" a="1"/>
  <c r="E14" i="48" s="1"/>
  <c r="C9" i="49" a="1"/>
  <c r="C9" i="49" s="1"/>
  <c r="F13" i="49" a="1"/>
  <c r="F13" i="49" s="1"/>
  <c r="E14" i="49" a="1"/>
  <c r="E14" i="49" s="1"/>
  <c r="B18" i="49" a="1"/>
  <c r="B18" i="49" s="1"/>
  <c r="D25" i="49" a="1"/>
  <c r="D25" i="49" s="1"/>
  <c r="E19" i="49" a="1"/>
  <c r="E19" i="49" s="1"/>
  <c r="G26" i="49" a="1"/>
  <c r="G26" i="49" s="1"/>
  <c r="D8" i="49" a="1"/>
  <c r="D8" i="49" s="1"/>
  <c r="G24" i="49" a="1"/>
  <c r="G24" i="49" s="1"/>
  <c r="D13" i="49" a="1"/>
  <c r="D13" i="49" s="1"/>
  <c r="C14" i="49" a="1"/>
  <c r="C14" i="49" s="1"/>
  <c r="D18" i="49" a="1"/>
  <c r="D18" i="49" s="1"/>
  <c r="F25" i="49" a="1"/>
  <c r="F25" i="49" s="1"/>
  <c r="G19" i="49" a="1"/>
  <c r="G19" i="49" s="1"/>
  <c r="C27" i="49" a="1"/>
  <c r="C27" i="49" s="1"/>
  <c r="E17" i="49" a="1"/>
  <c r="E17" i="49" s="1"/>
  <c r="B13" i="49" a="1"/>
  <c r="B13" i="49" s="1"/>
  <c r="C20" i="49" a="1"/>
  <c r="C20" i="49" s="1"/>
  <c r="G21" i="49" a="1"/>
  <c r="G21" i="49" s="1"/>
  <c r="F18" i="49" a="1"/>
  <c r="F18" i="49" s="1"/>
  <c r="E27" i="49" a="1"/>
  <c r="E27" i="49" s="1"/>
  <c r="F12" i="49" a="1"/>
  <c r="F12" i="49" s="1"/>
  <c r="E13" i="49" a="1"/>
  <c r="E13" i="49" s="1"/>
  <c r="B19" i="49" a="1"/>
  <c r="B19" i="49" s="1"/>
  <c r="D26" i="49" a="1"/>
  <c r="D26" i="49" s="1"/>
  <c r="E20" i="49" a="1"/>
  <c r="E20" i="49" s="1"/>
  <c r="G27" i="49" a="1"/>
  <c r="G27" i="49" s="1"/>
  <c r="R5" i="51" s="1"/>
  <c r="G13" i="49" a="1"/>
  <c r="G13" i="49" s="1"/>
  <c r="B26" i="49" a="1"/>
  <c r="B26" i="49" s="1"/>
  <c r="D12" i="49" a="1"/>
  <c r="D12" i="49" s="1"/>
  <c r="C13" i="49" a="1"/>
  <c r="C13" i="49" s="1"/>
  <c r="D19" i="49" a="1"/>
  <c r="D19" i="49" s="1"/>
  <c r="F26" i="49" a="1"/>
  <c r="F26" i="49" s="1"/>
  <c r="G20" i="49" a="1"/>
  <c r="G20" i="49" s="1"/>
  <c r="C12" i="49" a="1"/>
  <c r="C12" i="49" s="1"/>
  <c r="F15" i="49" a="1"/>
  <c r="F15" i="49" s="1"/>
  <c r="B12" i="49" a="1"/>
  <c r="B12" i="49" s="1"/>
  <c r="G12" i="49" a="1"/>
  <c r="G12" i="49" s="1"/>
  <c r="F19" i="49" a="1"/>
  <c r="F19" i="49" s="1"/>
  <c r="B27" i="49" a="1"/>
  <c r="B27" i="49" s="1"/>
  <c r="C21" i="49" a="1"/>
  <c r="C21" i="49" s="1"/>
  <c r="D23" i="49" a="1"/>
  <c r="D23" i="49" s="1"/>
  <c r="F11" i="49" a="1"/>
  <c r="F11" i="49" s="1"/>
  <c r="E12" i="49" a="1"/>
  <c r="E12" i="49" s="1"/>
  <c r="B20" i="49" a="1"/>
  <c r="B20" i="49" s="1"/>
  <c r="D27" i="49" a="1"/>
  <c r="D27" i="49" s="1"/>
  <c r="E21" i="49" a="1"/>
  <c r="E21" i="49" s="1"/>
  <c r="D11" i="49" a="1"/>
  <c r="D11" i="49" s="1"/>
  <c r="B11" i="49" a="1"/>
  <c r="B11" i="49" s="1"/>
  <c r="G11" i="49" a="1"/>
  <c r="G11" i="49" s="1"/>
  <c r="F20" i="49" a="1"/>
  <c r="F20" i="49" s="1"/>
  <c r="B16" i="49" a="1"/>
  <c r="B16" i="49" s="1"/>
  <c r="C22" i="49" a="1"/>
  <c r="C22" i="49" s="1"/>
  <c r="F10" i="49" a="1"/>
  <c r="F10" i="49" s="1"/>
  <c r="E11" i="49" a="1"/>
  <c r="E11" i="49" s="1"/>
  <c r="B21" i="49" a="1"/>
  <c r="B21" i="49" s="1"/>
  <c r="C16" i="49" a="1"/>
  <c r="C16" i="49" s="1"/>
  <c r="E22" i="49" a="1"/>
  <c r="E22" i="49" s="1"/>
  <c r="D10" i="49" a="1"/>
  <c r="D10" i="49" s="1"/>
  <c r="C11" i="49" a="1"/>
  <c r="C11" i="49" s="1"/>
  <c r="D21" i="49" a="1"/>
  <c r="D21" i="49" s="1"/>
  <c r="D16" i="49" a="1"/>
  <c r="D16" i="49" s="1"/>
  <c r="G22" i="49" a="1"/>
  <c r="G22" i="49" s="1"/>
  <c r="D20" i="49" a="1"/>
  <c r="D20" i="49" s="1"/>
  <c r="B10" i="49" a="1"/>
  <c r="B10" i="49" s="1"/>
  <c r="G10" i="49" a="1"/>
  <c r="G10" i="49" s="1"/>
  <c r="F21" i="49" a="1"/>
  <c r="F21" i="49" s="1"/>
  <c r="E16" i="49" a="1"/>
  <c r="E16" i="49" s="1"/>
  <c r="C23" i="49" a="1"/>
  <c r="C23" i="49" s="1"/>
  <c r="F9" i="49" a="1"/>
  <c r="F9" i="49" s="1"/>
  <c r="E10" i="49" a="1"/>
  <c r="E10" i="49" s="1"/>
  <c r="B22" i="49" a="1"/>
  <c r="B22" i="49" s="1"/>
  <c r="F16" i="49" a="1"/>
  <c r="F16" i="49" s="1"/>
  <c r="E23" i="49" a="1"/>
  <c r="E23" i="49" s="1"/>
  <c r="D9" i="49" a="1"/>
  <c r="D9" i="49" s="1"/>
  <c r="C10" i="49" a="1"/>
  <c r="C10" i="49" s="1"/>
  <c r="D22" i="49" a="1"/>
  <c r="D22" i="49" s="1"/>
  <c r="G16" i="49" a="1"/>
  <c r="G16" i="49" s="1"/>
  <c r="G23" i="49" a="1"/>
  <c r="G23" i="49" s="1"/>
  <c r="G9" i="49" a="1"/>
  <c r="G9" i="49" s="1"/>
  <c r="B17" i="49" a="1"/>
  <c r="B17" i="49" s="1"/>
  <c r="C24" i="49" a="1"/>
  <c r="C24" i="49" s="1"/>
  <c r="B9" i="49" a="1"/>
  <c r="B9" i="49" s="1"/>
  <c r="F22" i="49" a="1"/>
  <c r="F22" i="49" s="1"/>
  <c r="F8" i="49" a="1"/>
  <c r="F8" i="49" s="1"/>
  <c r="E9" i="49" a="1"/>
  <c r="E9" i="49" s="1"/>
  <c r="B23" i="49" a="1"/>
  <c r="B23" i="49" s="1"/>
  <c r="C17" i="49" a="1"/>
  <c r="C17" i="49" s="1"/>
  <c r="E24" i="49" a="1"/>
  <c r="E24" i="49" s="1"/>
  <c r="F27" i="49" a="1"/>
  <c r="F27" i="49" s="1"/>
  <c r="D15" i="49" a="1"/>
  <c r="D15" i="49" s="1"/>
  <c r="G8" i="49" a="1"/>
  <c r="G8" i="49" s="1"/>
  <c r="B15" i="49" a="1"/>
  <c r="B15" i="49" s="1"/>
  <c r="G15" i="49" a="1"/>
  <c r="G15" i="49" s="1"/>
  <c r="E8" i="49" a="1"/>
  <c r="E8" i="49" s="1"/>
  <c r="B24" i="49" a="1"/>
  <c r="B24" i="49" s="1"/>
  <c r="C18" i="49" a="1"/>
  <c r="C18" i="49" s="1"/>
  <c r="E25" i="49" a="1"/>
  <c r="E25" i="49" s="1"/>
  <c r="F14" i="49" a="1"/>
  <c r="F14" i="49" s="1"/>
  <c r="E15" i="49" a="1"/>
  <c r="E15" i="49" s="1"/>
  <c r="C8" i="49" a="1"/>
  <c r="C8" i="49" s="1"/>
  <c r="D24" i="49" a="1"/>
  <c r="D24" i="49" s="1"/>
  <c r="E18" i="49" a="1"/>
  <c r="E18" i="49" s="1"/>
  <c r="G25" i="49" a="1"/>
  <c r="G25" i="49" s="1"/>
  <c r="B8" i="49" a="1"/>
  <c r="B8" i="49" s="1"/>
  <c r="F23" i="49" a="1"/>
  <c r="F23" i="49" s="1"/>
  <c r="C25" i="49" a="1"/>
  <c r="C25" i="49" s="1"/>
  <c r="D14" i="49" a="1"/>
  <c r="D14" i="49" s="1"/>
  <c r="C15" i="49" a="1"/>
  <c r="C15" i="49" s="1"/>
  <c r="D17" i="49" a="1"/>
  <c r="D17" i="49" s="1"/>
  <c r="F24" i="49" a="1"/>
  <c r="F24" i="49" s="1"/>
  <c r="G18" i="49" a="1"/>
  <c r="G18" i="49" s="1"/>
  <c r="C26" i="49" a="1"/>
  <c r="C26" i="49" s="1"/>
  <c r="B14" i="49" a="1"/>
  <c r="B14" i="49" s="1"/>
  <c r="G14" i="49" a="1"/>
  <c r="G14" i="49" s="1"/>
  <c r="F17" i="49" a="1"/>
  <c r="F17" i="49" s="1"/>
  <c r="B25" i="49" a="1"/>
  <c r="B25" i="49" s="1"/>
  <c r="C19" i="49" a="1"/>
  <c r="C19" i="49" s="1"/>
  <c r="S59" i="43"/>
  <c r="R59" i="43"/>
  <c r="Q59" i="43"/>
  <c r="P59" i="43"/>
  <c r="O59" i="43"/>
  <c r="V27" i="43" s="1"/>
  <c r="N59" i="43"/>
  <c r="M59" i="43"/>
  <c r="L59" i="43"/>
  <c r="K59" i="43"/>
  <c r="J59" i="43"/>
  <c r="I59" i="43"/>
  <c r="H59" i="43"/>
  <c r="G59" i="43"/>
  <c r="F59" i="43"/>
  <c r="V29" i="43" s="1"/>
  <c r="E59" i="43"/>
  <c r="D59" i="43"/>
  <c r="C59" i="43"/>
  <c r="V28" i="43" s="1"/>
  <c r="P48" i="43"/>
  <c r="O48" i="43"/>
  <c r="N48" i="43"/>
  <c r="L48" i="43"/>
  <c r="K48" i="43"/>
  <c r="J48" i="43"/>
  <c r="H48" i="43"/>
  <c r="G48" i="43"/>
  <c r="F48" i="43"/>
  <c r="E48" i="43"/>
  <c r="D48" i="43"/>
  <c r="M47" i="43"/>
  <c r="I47" i="43"/>
  <c r="C47" i="43"/>
  <c r="M46" i="43"/>
  <c r="I46" i="43"/>
  <c r="C46" i="43"/>
  <c r="M45" i="43"/>
  <c r="I45" i="43"/>
  <c r="C45" i="43"/>
  <c r="M44" i="43"/>
  <c r="I44" i="43"/>
  <c r="C44" i="43"/>
  <c r="M43" i="43"/>
  <c r="I43" i="43"/>
  <c r="I48" i="43" s="1"/>
  <c r="C43" i="43"/>
  <c r="M38" i="43"/>
  <c r="L38" i="43"/>
  <c r="K38" i="43"/>
  <c r="J38" i="43"/>
  <c r="H38" i="43"/>
  <c r="G38" i="43"/>
  <c r="F38" i="43"/>
  <c r="E38" i="43"/>
  <c r="D38" i="43"/>
  <c r="I37" i="43"/>
  <c r="C37" i="43"/>
  <c r="I36" i="43"/>
  <c r="C36" i="43"/>
  <c r="I35" i="43"/>
  <c r="C35" i="43"/>
  <c r="I34" i="43"/>
  <c r="C34" i="43"/>
  <c r="I33" i="43"/>
  <c r="I38" i="43" s="1"/>
  <c r="C33" i="43"/>
  <c r="C38" i="43" s="1"/>
  <c r="P28" i="43"/>
  <c r="O28" i="43"/>
  <c r="N28" i="43"/>
  <c r="M28" i="43"/>
  <c r="Q28" i="43" s="1"/>
  <c r="K28" i="43"/>
  <c r="L28" i="43" s="1"/>
  <c r="J28" i="43"/>
  <c r="I28" i="43"/>
  <c r="H28" i="43"/>
  <c r="F28" i="43"/>
  <c r="E28" i="43"/>
  <c r="D28" i="43"/>
  <c r="C28" i="43"/>
  <c r="Q27" i="43"/>
  <c r="L27" i="43"/>
  <c r="G27" i="43"/>
  <c r="Q26" i="43"/>
  <c r="L26" i="43"/>
  <c r="G26" i="43"/>
  <c r="Q25" i="43"/>
  <c r="L25" i="43"/>
  <c r="G25" i="43"/>
  <c r="Q24" i="43"/>
  <c r="L24" i="43"/>
  <c r="G24" i="43"/>
  <c r="Q23" i="43"/>
  <c r="L23" i="43"/>
  <c r="U17" i="43"/>
  <c r="T17" i="43"/>
  <c r="S17" i="43"/>
  <c r="V17" i="43" s="1"/>
  <c r="R17" i="43"/>
  <c r="P17" i="43"/>
  <c r="O17" i="43"/>
  <c r="N17" i="43"/>
  <c r="M17" i="43"/>
  <c r="Q17" i="43" s="1"/>
  <c r="K17" i="43"/>
  <c r="L17" i="43" s="1"/>
  <c r="J17" i="43"/>
  <c r="I17" i="43"/>
  <c r="H17" i="43"/>
  <c r="F17" i="43"/>
  <c r="E17" i="43"/>
  <c r="D17" i="43"/>
  <c r="C17" i="43"/>
  <c r="G17" i="43" s="1"/>
  <c r="V16" i="43"/>
  <c r="Q16" i="43"/>
  <c r="L16" i="43"/>
  <c r="G16" i="43"/>
  <c r="V15" i="43"/>
  <c r="Q15" i="43"/>
  <c r="L15" i="43"/>
  <c r="G15" i="43"/>
  <c r="V14" i="43"/>
  <c r="Q14" i="43"/>
  <c r="L14" i="43"/>
  <c r="G14" i="43"/>
  <c r="V13" i="43"/>
  <c r="Q13" i="43"/>
  <c r="L13" i="43"/>
  <c r="G13" i="43"/>
  <c r="V12" i="43"/>
  <c r="Q12" i="43"/>
  <c r="L12" i="43"/>
  <c r="G12" i="43"/>
  <c r="S69" i="42"/>
  <c r="V27" i="42" s="1"/>
  <c r="R69" i="42"/>
  <c r="Q69" i="42"/>
  <c r="P69" i="42"/>
  <c r="O69" i="42"/>
  <c r="N69" i="42"/>
  <c r="M69" i="42"/>
  <c r="L69" i="42"/>
  <c r="K69" i="42"/>
  <c r="V29" i="42" s="1"/>
  <c r="J69" i="42"/>
  <c r="I69" i="42"/>
  <c r="H69" i="42"/>
  <c r="G69" i="42"/>
  <c r="F69" i="42"/>
  <c r="E69" i="42"/>
  <c r="D69" i="42"/>
  <c r="C69" i="42"/>
  <c r="V28" i="42" s="1"/>
  <c r="P56" i="42"/>
  <c r="O56" i="42"/>
  <c r="N56" i="42"/>
  <c r="L56" i="42"/>
  <c r="K56" i="42"/>
  <c r="J56" i="42"/>
  <c r="H56" i="42"/>
  <c r="G56" i="42"/>
  <c r="F56" i="42"/>
  <c r="E56" i="42"/>
  <c r="D56" i="42"/>
  <c r="M55" i="42"/>
  <c r="I55" i="42"/>
  <c r="C55" i="42"/>
  <c r="M54" i="42"/>
  <c r="I54" i="42"/>
  <c r="C54" i="42"/>
  <c r="M53" i="42"/>
  <c r="I53" i="42"/>
  <c r="C53" i="42"/>
  <c r="M52" i="42"/>
  <c r="I52" i="42"/>
  <c r="C52" i="42"/>
  <c r="M51" i="42"/>
  <c r="I51" i="42"/>
  <c r="C51" i="42"/>
  <c r="M50" i="42"/>
  <c r="I50" i="42"/>
  <c r="C50" i="42"/>
  <c r="I49" i="42"/>
  <c r="C49" i="42"/>
  <c r="I43" i="42"/>
  <c r="C43" i="42"/>
  <c r="I42" i="42"/>
  <c r="C42" i="42"/>
  <c r="I41" i="42"/>
  <c r="C41" i="42"/>
  <c r="I40" i="42"/>
  <c r="C40" i="42"/>
  <c r="I39" i="42"/>
  <c r="C39" i="42"/>
  <c r="I38" i="42"/>
  <c r="C38" i="42"/>
  <c r="I37" i="42"/>
  <c r="C37" i="42"/>
  <c r="P32" i="42"/>
  <c r="Q32" i="42" s="1"/>
  <c r="O32" i="42"/>
  <c r="N32" i="42"/>
  <c r="M32" i="42"/>
  <c r="K32" i="42"/>
  <c r="J32" i="42"/>
  <c r="I32" i="42"/>
  <c r="H32" i="42"/>
  <c r="L32" i="42" s="1"/>
  <c r="F32" i="42"/>
  <c r="E32" i="42"/>
  <c r="D32" i="42"/>
  <c r="Q31" i="42"/>
  <c r="L31" i="42"/>
  <c r="G31" i="42"/>
  <c r="Q30" i="42"/>
  <c r="L30" i="42"/>
  <c r="G30" i="42"/>
  <c r="Q29" i="42"/>
  <c r="L29" i="42"/>
  <c r="G29" i="42"/>
  <c r="Q28" i="42"/>
  <c r="L28" i="42"/>
  <c r="G28" i="42"/>
  <c r="Q27" i="42"/>
  <c r="L27" i="42"/>
  <c r="G27" i="42"/>
  <c r="Q26" i="42"/>
  <c r="L26" i="42"/>
  <c r="G26" i="42"/>
  <c r="Q25" i="42"/>
  <c r="L25" i="42"/>
  <c r="G25" i="42"/>
  <c r="U19" i="42"/>
  <c r="T19" i="42"/>
  <c r="S19" i="42"/>
  <c r="R19" i="42"/>
  <c r="V19" i="42" s="1"/>
  <c r="P19" i="42"/>
  <c r="O19" i="42"/>
  <c r="Q19" i="42" s="1"/>
  <c r="N19" i="42"/>
  <c r="M19" i="42"/>
  <c r="K19" i="42"/>
  <c r="J19" i="42"/>
  <c r="I19" i="42"/>
  <c r="H19" i="42"/>
  <c r="L19" i="42" s="1"/>
  <c r="F19" i="42"/>
  <c r="E19" i="42"/>
  <c r="D19" i="42"/>
  <c r="C19" i="42"/>
  <c r="V18" i="42"/>
  <c r="Q18" i="42"/>
  <c r="L18" i="42"/>
  <c r="G18" i="42"/>
  <c r="V17" i="42"/>
  <c r="Q17" i="42"/>
  <c r="L17" i="42"/>
  <c r="G17" i="42"/>
  <c r="V16" i="42"/>
  <c r="Q16" i="42"/>
  <c r="L16" i="42"/>
  <c r="G16" i="42"/>
  <c r="V15" i="42"/>
  <c r="Q15" i="42"/>
  <c r="L15" i="42"/>
  <c r="G15" i="42"/>
  <c r="V14" i="42"/>
  <c r="Q14" i="42"/>
  <c r="L14" i="42"/>
  <c r="G14" i="42"/>
  <c r="V13" i="42"/>
  <c r="Q13" i="42"/>
  <c r="L13" i="42"/>
  <c r="G13" i="42"/>
  <c r="V12" i="42"/>
  <c r="Q12" i="42"/>
  <c r="L12" i="42"/>
  <c r="G12" i="42"/>
  <c r="X29" i="44"/>
  <c r="X28" i="44"/>
  <c r="P48" i="44"/>
  <c r="O48" i="44"/>
  <c r="N48" i="44"/>
  <c r="L48" i="44"/>
  <c r="K48" i="44"/>
  <c r="J48" i="44"/>
  <c r="H48" i="44"/>
  <c r="G48" i="44"/>
  <c r="F48" i="44"/>
  <c r="E48" i="44"/>
  <c r="D48" i="44"/>
  <c r="M47" i="44"/>
  <c r="I47" i="44"/>
  <c r="C47" i="44"/>
  <c r="M46" i="44"/>
  <c r="I46" i="44"/>
  <c r="C46" i="44"/>
  <c r="M45" i="44"/>
  <c r="I45" i="44"/>
  <c r="C45" i="44"/>
  <c r="M44" i="44"/>
  <c r="I44" i="44"/>
  <c r="I48" i="44" s="1"/>
  <c r="C44" i="44"/>
  <c r="M43" i="44"/>
  <c r="I43" i="44"/>
  <c r="C43" i="44"/>
  <c r="M38" i="44"/>
  <c r="L38" i="44"/>
  <c r="K38" i="44"/>
  <c r="J38" i="44"/>
  <c r="H38" i="44"/>
  <c r="G38" i="44"/>
  <c r="F38" i="44"/>
  <c r="E38" i="44"/>
  <c r="D38" i="44"/>
  <c r="I37" i="44"/>
  <c r="C37" i="44"/>
  <c r="I36" i="44"/>
  <c r="C36" i="44"/>
  <c r="I35" i="44"/>
  <c r="C35" i="44"/>
  <c r="I34" i="44"/>
  <c r="C34" i="44"/>
  <c r="I33" i="44"/>
  <c r="I38" i="44" s="1"/>
  <c r="C33" i="44"/>
  <c r="P28" i="44"/>
  <c r="O28" i="44"/>
  <c r="N28" i="44"/>
  <c r="M28" i="44"/>
  <c r="K28" i="44"/>
  <c r="J28" i="44"/>
  <c r="I28" i="44"/>
  <c r="L28" i="44" s="1"/>
  <c r="H28" i="44"/>
  <c r="F28" i="44"/>
  <c r="E28" i="44"/>
  <c r="D28" i="44"/>
  <c r="C28" i="44"/>
  <c r="Q27" i="44"/>
  <c r="L27" i="44"/>
  <c r="G27" i="44"/>
  <c r="Q26" i="44"/>
  <c r="L26" i="44"/>
  <c r="G26" i="44"/>
  <c r="Q25" i="44"/>
  <c r="L25" i="44"/>
  <c r="G25" i="44"/>
  <c r="Q24" i="44"/>
  <c r="L24" i="44"/>
  <c r="G24" i="44"/>
  <c r="Q23" i="44"/>
  <c r="L23" i="44"/>
  <c r="G23" i="44"/>
  <c r="Z17" i="44"/>
  <c r="Y17" i="44"/>
  <c r="X17" i="44"/>
  <c r="W17" i="44"/>
  <c r="U17" i="44"/>
  <c r="T17" i="44"/>
  <c r="S17" i="44"/>
  <c r="R17" i="44"/>
  <c r="V17" i="44" s="1"/>
  <c r="P17" i="44"/>
  <c r="O17" i="44"/>
  <c r="N17" i="44"/>
  <c r="M17" i="44"/>
  <c r="K17" i="44"/>
  <c r="J17" i="44"/>
  <c r="I17" i="44"/>
  <c r="H17" i="44"/>
  <c r="F17" i="44"/>
  <c r="E17" i="44"/>
  <c r="D17" i="44"/>
  <c r="C17" i="44"/>
  <c r="AA16" i="44"/>
  <c r="V16" i="44"/>
  <c r="Q16" i="44"/>
  <c r="L16" i="44"/>
  <c r="G16" i="44"/>
  <c r="AA15" i="44"/>
  <c r="V15" i="44"/>
  <c r="Q15" i="44"/>
  <c r="L15" i="44"/>
  <c r="G15" i="44"/>
  <c r="AA14" i="44"/>
  <c r="V14" i="44"/>
  <c r="Q14" i="44"/>
  <c r="L14" i="44"/>
  <c r="G14" i="44"/>
  <c r="AA13" i="44"/>
  <c r="V13" i="44"/>
  <c r="Q13" i="44"/>
  <c r="L13" i="44"/>
  <c r="G13" i="44"/>
  <c r="AA12" i="44"/>
  <c r="V12" i="44"/>
  <c r="Q12" i="44"/>
  <c r="L12" i="44"/>
  <c r="G12" i="44"/>
  <c r="M27" i="45"/>
  <c r="I27" i="45"/>
  <c r="C27" i="45"/>
  <c r="I22" i="45"/>
  <c r="C22" i="45"/>
  <c r="Q17" i="45"/>
  <c r="L17" i="45"/>
  <c r="G17" i="45"/>
  <c r="AA11" i="45"/>
  <c r="V11" i="45"/>
  <c r="Q11" i="45"/>
  <c r="L11" i="45"/>
  <c r="G11" i="45"/>
  <c r="B10" i="21"/>
  <c r="C10" i="21"/>
  <c r="D10" i="21"/>
  <c r="E10" i="21"/>
  <c r="F10" i="21"/>
  <c r="G10" i="21"/>
  <c r="H10" i="21"/>
  <c r="B14" i="21"/>
  <c r="C14" i="21"/>
  <c r="D14" i="21"/>
  <c r="E14" i="21"/>
  <c r="F14" i="21"/>
  <c r="G14" i="21"/>
  <c r="H14" i="21"/>
  <c r="B17" i="21"/>
  <c r="C17" i="21"/>
  <c r="D17" i="21"/>
  <c r="E17" i="21"/>
  <c r="F17" i="21"/>
  <c r="G17" i="21"/>
  <c r="H17" i="21"/>
  <c r="B20" i="21"/>
  <c r="C20" i="21"/>
  <c r="D20" i="21"/>
  <c r="E20" i="21"/>
  <c r="F20" i="21"/>
  <c r="G20" i="21"/>
  <c r="H20" i="21"/>
  <c r="B23" i="21"/>
  <c r="C23" i="21"/>
  <c r="D23" i="21"/>
  <c r="E23" i="21"/>
  <c r="F23" i="21"/>
  <c r="G23" i="21"/>
  <c r="H23" i="21"/>
  <c r="B1" i="51" l="1"/>
  <c r="V25" i="42"/>
  <c r="V26" i="42"/>
  <c r="F6" i="51" s="1"/>
  <c r="M48" i="43"/>
  <c r="C48" i="43"/>
  <c r="V26" i="43" s="1"/>
  <c r="V31" i="43" s="1"/>
  <c r="AD4" i="51"/>
  <c r="Q28" i="44"/>
  <c r="G28" i="44"/>
  <c r="AA17" i="44"/>
  <c r="L17" i="44"/>
  <c r="G17" i="44"/>
  <c r="M48" i="44"/>
  <c r="Q17" i="44"/>
  <c r="X27" i="44"/>
  <c r="X25" i="44" l="1"/>
  <c r="V31" i="42"/>
  <c r="X31" i="44" l="1"/>
  <c r="B17" i="26"/>
  <c r="B23" i="28" l="1"/>
  <c r="B20" i="28"/>
  <c r="B17" i="28"/>
  <c r="B14" i="28"/>
  <c r="B10" i="28"/>
  <c r="B27" i="28" l="1"/>
  <c r="C23" i="27"/>
  <c r="D23" i="27"/>
  <c r="E23" i="27"/>
  <c r="F23" i="27"/>
  <c r="B23" i="27"/>
  <c r="C20" i="27"/>
  <c r="D20" i="27"/>
  <c r="E20" i="27"/>
  <c r="F20" i="27"/>
  <c r="B20" i="27"/>
  <c r="C17" i="27"/>
  <c r="D17" i="27"/>
  <c r="E17" i="27"/>
  <c r="F17" i="27"/>
  <c r="B17" i="27"/>
  <c r="C14" i="27"/>
  <c r="D14" i="27"/>
  <c r="E14" i="27"/>
  <c r="F14" i="27"/>
  <c r="B14" i="27"/>
  <c r="C10" i="27"/>
  <c r="D10" i="27"/>
  <c r="E10" i="27"/>
  <c r="F10" i="27"/>
  <c r="B10" i="27"/>
  <c r="C26" i="26"/>
  <c r="D26" i="26"/>
  <c r="E26" i="26"/>
  <c r="F26" i="26"/>
  <c r="B26" i="26"/>
  <c r="C23" i="26"/>
  <c r="D23" i="26"/>
  <c r="E23" i="26"/>
  <c r="F23" i="26"/>
  <c r="B23" i="26"/>
  <c r="C20" i="26"/>
  <c r="D20" i="26"/>
  <c r="E20" i="26"/>
  <c r="F20" i="26"/>
  <c r="B20" i="26"/>
  <c r="C17" i="26"/>
  <c r="D17" i="26"/>
  <c r="E17" i="26"/>
  <c r="F17" i="26"/>
  <c r="C10" i="26"/>
  <c r="D10" i="26"/>
  <c r="E10" i="26"/>
  <c r="F10" i="26"/>
  <c r="B10" i="26"/>
  <c r="G27" i="2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<sst xmlns="http://schemas.openxmlformats.org/spreadsheetml/2006/main" count="1260" uniqueCount="449">
  <si>
    <t>2024_25</t>
  </si>
  <si>
    <t xml:space="preserve">Operational Statistics Collection </t>
  </si>
  <si>
    <t>LE Tables</t>
  </si>
  <si>
    <t>Index of Tables</t>
  </si>
  <si>
    <t>Description</t>
  </si>
  <si>
    <t>LE1a</t>
  </si>
  <si>
    <r>
      <t xml:space="preserve">Number of </t>
    </r>
    <r>
      <rPr>
        <b/>
        <sz val="11"/>
        <rFont val="Arial"/>
        <family val="2"/>
      </rPr>
      <t>wholetime firefighters</t>
    </r>
    <r>
      <rPr>
        <sz val="11"/>
        <rFont val="Arial"/>
        <family val="2"/>
      </rPr>
      <t xml:space="preserve"> leaving by reason</t>
    </r>
  </si>
  <si>
    <t>LE1b</t>
  </si>
  <si>
    <r>
      <t xml:space="preserve">Number of </t>
    </r>
    <r>
      <rPr>
        <b/>
        <sz val="11"/>
        <rFont val="Arial"/>
        <family val="2"/>
      </rPr>
      <t>wholetime firefighters</t>
    </r>
    <r>
      <rPr>
        <sz val="11"/>
        <rFont val="Arial"/>
        <family val="2"/>
      </rPr>
      <t xml:space="preserve"> leaving by  gender, age, disability, ethnicity, religion and sexual orientation </t>
    </r>
  </si>
  <si>
    <t>LE2a</t>
  </si>
  <si>
    <r>
      <t xml:space="preserve">Number of </t>
    </r>
    <r>
      <rPr>
        <b/>
        <sz val="11"/>
        <rFont val="Arial"/>
        <family val="2"/>
      </rPr>
      <t>on call firefighters</t>
    </r>
    <r>
      <rPr>
        <sz val="11"/>
        <rFont val="Arial"/>
        <family val="2"/>
      </rPr>
      <t xml:space="preserve"> leaving by reason</t>
    </r>
  </si>
  <si>
    <t>LE2b</t>
  </si>
  <si>
    <r>
      <t xml:space="preserve">Number of </t>
    </r>
    <r>
      <rPr>
        <b/>
        <sz val="11"/>
        <rFont val="Arial"/>
        <family val="2"/>
      </rPr>
      <t>on call firefighters</t>
    </r>
    <r>
      <rPr>
        <sz val="11"/>
        <rFont val="Arial"/>
        <family val="2"/>
      </rPr>
      <t xml:space="preserve"> leaving by gender, age, disability, ethnicity, religion and sexual orientation </t>
    </r>
  </si>
  <si>
    <t>LE3a</t>
  </si>
  <si>
    <r>
      <t xml:space="preserve">Number of </t>
    </r>
    <r>
      <rPr>
        <b/>
        <sz val="11"/>
        <rFont val="Arial"/>
        <family val="2"/>
      </rPr>
      <t>fire control staff</t>
    </r>
    <r>
      <rPr>
        <sz val="11"/>
        <rFont val="Arial"/>
        <family val="2"/>
      </rPr>
      <t xml:space="preserve"> leaving by reason</t>
    </r>
  </si>
  <si>
    <t>LE3b</t>
  </si>
  <si>
    <r>
      <t xml:space="preserve">Number of </t>
    </r>
    <r>
      <rPr>
        <b/>
        <sz val="11"/>
        <rFont val="Arial"/>
        <family val="2"/>
      </rPr>
      <t>fire control staff</t>
    </r>
    <r>
      <rPr>
        <sz val="11"/>
        <rFont val="Arial"/>
        <family val="2"/>
      </rPr>
      <t xml:space="preserve"> leaving by gender, age, disability, ethnicity, religion and sexual orientation </t>
    </r>
  </si>
  <si>
    <t>LE4a</t>
  </si>
  <si>
    <r>
      <t xml:space="preserve">Number of </t>
    </r>
    <r>
      <rPr>
        <b/>
        <sz val="11"/>
        <rFont val="Arial"/>
        <family val="2"/>
      </rPr>
      <t>support staff</t>
    </r>
    <r>
      <rPr>
        <sz val="11"/>
        <rFont val="Arial"/>
        <family val="2"/>
      </rPr>
      <t xml:space="preserve"> leaving by reason</t>
    </r>
  </si>
  <si>
    <t>LE4b</t>
  </si>
  <si>
    <r>
      <t xml:space="preserve">Number of </t>
    </r>
    <r>
      <rPr>
        <b/>
        <sz val="11"/>
        <rFont val="Arial"/>
        <family val="2"/>
      </rPr>
      <t>support staff</t>
    </r>
    <r>
      <rPr>
        <sz val="11"/>
        <rFont val="Arial"/>
        <family val="2"/>
      </rPr>
      <t xml:space="preserve"> leaving  by gender, age, disability, ethnicity, religion and sexual orientation </t>
    </r>
  </si>
  <si>
    <t>Guidance</t>
  </si>
  <si>
    <t>Guidance notes</t>
  </si>
  <si>
    <t>Key</t>
  </si>
  <si>
    <t xml:space="preserve">Cells highlighted yellow following data entry indicate a significant change in the figures inputted relative to the previous year. Please double check the relevant figures prior to submitting this return. </t>
  </si>
  <si>
    <t>Contact</t>
  </si>
  <si>
    <t>E-mail Address</t>
  </si>
  <si>
    <t>If you have any comments on the data submitted please provide them in the box below. If not, please leave blank.</t>
  </si>
  <si>
    <t>FRS Selector&gt;&gt;&gt;&gt;&gt;</t>
  </si>
  <si>
    <t>Avon</t>
  </si>
  <si>
    <t>E31000001</t>
  </si>
  <si>
    <t>Bedfordshire</t>
  </si>
  <si>
    <t>E31000002</t>
  </si>
  <si>
    <t>Berkshire</t>
  </si>
  <si>
    <t>E31000003</t>
  </si>
  <si>
    <t>Buckinghamshire</t>
  </si>
  <si>
    <t>E31000004</t>
  </si>
  <si>
    <t>Cambridgeshire</t>
  </si>
  <si>
    <t>E31000005</t>
  </si>
  <si>
    <t>Cheshire</t>
  </si>
  <si>
    <t>E31000006</t>
  </si>
  <si>
    <t>Cleveland</t>
  </si>
  <si>
    <t>E31000007</t>
  </si>
  <si>
    <t>Cornwall</t>
  </si>
  <si>
    <t>E31000008</t>
  </si>
  <si>
    <t>Cumbria</t>
  </si>
  <si>
    <t>E31000009</t>
  </si>
  <si>
    <t>Derbyshire</t>
  </si>
  <si>
    <t>E31000010</t>
  </si>
  <si>
    <t>Devon and Somerset</t>
  </si>
  <si>
    <t>E31000011</t>
  </si>
  <si>
    <t>Dorset and Wiltshire</t>
  </si>
  <si>
    <t>E31000047</t>
  </si>
  <si>
    <t>Durham</t>
  </si>
  <si>
    <t>E31000013</t>
  </si>
  <si>
    <t>East Sussex</t>
  </si>
  <si>
    <t>E31000014</t>
  </si>
  <si>
    <t>Essex</t>
  </si>
  <si>
    <t>E31000015</t>
  </si>
  <si>
    <t>Gloucestershire</t>
  </si>
  <si>
    <t>E31000016</t>
  </si>
  <si>
    <t>Greater London</t>
  </si>
  <si>
    <t>E31000046</t>
  </si>
  <si>
    <t>Greater Manchester</t>
  </si>
  <si>
    <t>E31000040</t>
  </si>
  <si>
    <t>Hampshire and Isle of Wight</t>
  </si>
  <si>
    <t>E31000017</t>
  </si>
  <si>
    <t>Hereford and Worcester</t>
  </si>
  <si>
    <t>E31000018</t>
  </si>
  <si>
    <t>Hertfordshire</t>
  </si>
  <si>
    <t>E31000019</t>
  </si>
  <si>
    <t>Humberside</t>
  </si>
  <si>
    <t>E31000020</t>
  </si>
  <si>
    <t>Isles Of Scilly</t>
  </si>
  <si>
    <t>E31000039</t>
  </si>
  <si>
    <t>Kent</t>
  </si>
  <si>
    <t>E31000022</t>
  </si>
  <si>
    <t>Lancashire</t>
  </si>
  <si>
    <t>E31000023</t>
  </si>
  <si>
    <t>Leicestershire</t>
  </si>
  <si>
    <t>E31000024</t>
  </si>
  <si>
    <t>Lincolnshire</t>
  </si>
  <si>
    <t>E31000025</t>
  </si>
  <si>
    <t>Merseyside</t>
  </si>
  <si>
    <t>E31000041</t>
  </si>
  <si>
    <t>Norfolk</t>
  </si>
  <si>
    <t>E31000026</t>
  </si>
  <si>
    <t>North Yorkshire</t>
  </si>
  <si>
    <t>E31000027</t>
  </si>
  <si>
    <t>Northamptonshire</t>
  </si>
  <si>
    <t>E31000028</t>
  </si>
  <si>
    <t>Northumberland</t>
  </si>
  <si>
    <t>E31000029</t>
  </si>
  <si>
    <t>Nottinghamshire</t>
  </si>
  <si>
    <t>E31000030</t>
  </si>
  <si>
    <t>Oxfordshire</t>
  </si>
  <si>
    <t>E31000031</t>
  </si>
  <si>
    <t>Shropshire</t>
  </si>
  <si>
    <t>E31000032</t>
  </si>
  <si>
    <t>South Yorkshire</t>
  </si>
  <si>
    <t>E31000042</t>
  </si>
  <si>
    <t>Staffordshire</t>
  </si>
  <si>
    <t>E31000033</t>
  </si>
  <si>
    <t>Suffolk</t>
  </si>
  <si>
    <t>E31000034</t>
  </si>
  <si>
    <t>Surrey</t>
  </si>
  <si>
    <t>E31000035</t>
  </si>
  <si>
    <t>Tyne and Wear</t>
  </si>
  <si>
    <t>E31000043</t>
  </si>
  <si>
    <t>Warwickshire</t>
  </si>
  <si>
    <t>E31000036</t>
  </si>
  <si>
    <t>West Midlands</t>
  </si>
  <si>
    <t>E31000044</t>
  </si>
  <si>
    <t>West Sussex</t>
  </si>
  <si>
    <t>E31000037</t>
  </si>
  <si>
    <t>West Yorkshire</t>
  </si>
  <si>
    <t>E31000045</t>
  </si>
  <si>
    <t>North West Fire Control</t>
  </si>
  <si>
    <t>NWFC</t>
  </si>
  <si>
    <t>Template FRS</t>
  </si>
  <si>
    <t>2023_24</t>
  </si>
  <si>
    <t>2022/23</t>
  </si>
  <si>
    <t>2023/24</t>
  </si>
  <si>
    <t>2025_26</t>
  </si>
  <si>
    <t>2024/25</t>
  </si>
  <si>
    <t>2026_27</t>
  </si>
  <si>
    <t>2025/26</t>
  </si>
  <si>
    <t>2027_28</t>
  </si>
  <si>
    <t>2026/27</t>
  </si>
  <si>
    <t>2028_29</t>
  </si>
  <si>
    <t>2027/28</t>
  </si>
  <si>
    <t>Guidance notes for the forms on numbers of leavers (LE1-4)</t>
  </si>
  <si>
    <t>General guidance</t>
  </si>
  <si>
    <t>LE1a, LE2a, LE3a &amp; LE4a provide information on the number (headcount) of staff leaving the fire service during the latest reporting period 1 April to 31 March.</t>
  </si>
  <si>
    <t>These returns enable monitoring of retention of firefighters on a national basis, assessing the reasons for leaving the FRS.</t>
  </si>
  <si>
    <t xml:space="preserve">The forms collect information on the following reasons for leaving the service: </t>
  </si>
  <si>
    <t>1a. Moving - to another FRS</t>
  </si>
  <si>
    <t>1b. Moving - within FRS from operational (firefighter or control) to support staff</t>
  </si>
  <si>
    <t>1b. Moving - within FRS from support to operational (firefighter or control) staff [LE4 only]</t>
  </si>
  <si>
    <t>2a. Resignation - to take up alternative employment</t>
  </si>
  <si>
    <t>2b. Resignation - due to ill health</t>
  </si>
  <si>
    <t>2c. Resignation - any other reason (please specify)</t>
  </si>
  <si>
    <t>2d. Resignation - issues with primary employment/other work commitments [LE2 only]</t>
  </si>
  <si>
    <t>2e. Resignation - personal reasons (including work / life balance &amp; caring responsibilities) [LE2 only]</t>
  </si>
  <si>
    <t>2f. Resignation - relocation/leaving the area (including going travelling, moving country) [LE2 only]</t>
  </si>
  <si>
    <t>3a. Redundancy - compulsory</t>
  </si>
  <si>
    <t>3b. Redundancy - voluntary</t>
  </si>
  <si>
    <t>4a. Retirement - early</t>
  </si>
  <si>
    <t>4b. Retirement - normal</t>
  </si>
  <si>
    <t>5a. Dismissal - poor performance (including failure to maintain fitness)</t>
  </si>
  <si>
    <t>5b. Dismissal - disciplinary grounds</t>
  </si>
  <si>
    <t>6. Deceased</t>
  </si>
  <si>
    <t>7. Other (please supply details in text box below)</t>
  </si>
  <si>
    <t>8. Unknown / Reason for leaving not recorded</t>
  </si>
  <si>
    <t>‘Totals’ are calculated automatically and the worksheets have been password protected allowing only unlocked cells to be selected to ensure internal consistency.</t>
  </si>
  <si>
    <t>Definitions</t>
  </si>
  <si>
    <r>
      <t>Leavers:</t>
    </r>
    <r>
      <rPr>
        <sz val="12"/>
        <color indexed="8"/>
        <rFont val="Arial"/>
        <family val="2"/>
      </rPr>
      <t xml:space="preserve"> </t>
    </r>
  </si>
  <si>
    <t xml:space="preserve">All personnel who ceased to be employed by the FRS during the reporting period. Include personnel whose last day of employment in the fire service, regardless of any prior periods of sickness or suspension, falls within the latest period 1 April to 31 March. New temporary and fixed-term staff who leave the service should also be included. </t>
  </si>
  <si>
    <t>Personnel who's last day is the 31st March should be counted in the workforce total HR return and should then be counted in the leavers return in the following year.</t>
  </si>
  <si>
    <r>
      <t xml:space="preserve">Exclude personnel transferring to other FRSs (e.g. during a merger) or being seconded to Home Office, Fire Service College </t>
    </r>
    <r>
      <rPr>
        <i/>
        <sz val="12"/>
        <color indexed="8"/>
        <rFont val="Arial"/>
        <family val="2"/>
      </rPr>
      <t>etc</t>
    </r>
    <r>
      <rPr>
        <sz val="12"/>
        <color indexed="8"/>
        <rFont val="Arial"/>
        <family val="2"/>
      </rPr>
      <t xml:space="preserve">. </t>
    </r>
  </si>
  <si>
    <t>Where, at the end of the reporting year, it is known that an appeal is pending over the dismissal of an individual, be it for disciplinary, medical or proficiency reasons, then the person should not to be included in the leavers return until the outcome of the appeal is known, which may be in the following reporting year.</t>
  </si>
  <si>
    <r>
      <t xml:space="preserve">Personnel leaving should only be counted once, even if they have </t>
    </r>
    <r>
      <rPr>
        <b/>
        <sz val="12"/>
        <color rgb="FF000000"/>
        <rFont val="Arial"/>
        <family val="2"/>
      </rPr>
      <t>2 contracts of employment</t>
    </r>
    <r>
      <rPr>
        <sz val="12"/>
        <color indexed="8"/>
        <rFont val="Arial"/>
        <family val="2"/>
      </rPr>
      <t>. Personnel who have 2 contracts of employment and leave the service for different reasons for each contract should be counted once under their primary contract. If they only resign from 1 of the 2 contracts, they should not be included in these returns.</t>
    </r>
  </si>
  <si>
    <t>Moving to another Fire and Rescue Service:</t>
  </si>
  <si>
    <t>Resignation to take employment with another FRS, please do not include transfers (e.g. that occur during a merger)</t>
  </si>
  <si>
    <t>Moving within the same Fire and Rescue Service from operational to support personnel or support to operational personnel:</t>
  </si>
  <si>
    <t xml:space="preserve">Where a person leaves to take up another type of employment within the same FRS as support staff (e.g.  wholetime staff re-engaged under the FPS scheme) or moves from support to operational staff. </t>
  </si>
  <si>
    <t>Resignation to take up alternative employment:</t>
  </si>
  <si>
    <t>Resignation to take any other employment outside the FRS</t>
  </si>
  <si>
    <t xml:space="preserve">Resignation - ill health: </t>
  </si>
  <si>
    <t>Personnel resigning on the grounds of ill-health only</t>
  </si>
  <si>
    <t>Resignation - any other reason:</t>
  </si>
  <si>
    <t>Include personnel resigning as a result of harassment or discrimination, not on the grounds of ill-health.</t>
  </si>
  <si>
    <t>Redundancy - compulsory:</t>
  </si>
  <si>
    <t>Where a person has been made compulsory redundant by the FRS</t>
  </si>
  <si>
    <t>Redundancy - voluntary:</t>
  </si>
  <si>
    <t>Where a person has taken voluntary redundancy</t>
  </si>
  <si>
    <t>Retirement - early:</t>
  </si>
  <si>
    <t>Where a person has taken early retirement, this includes due to ill health</t>
  </si>
  <si>
    <t>Retirement - normal:</t>
  </si>
  <si>
    <t>Where a person leaves the FRS to take up retirement after having served their eligible length of service to receive a full pension.</t>
  </si>
  <si>
    <t>Dismissal - poor performance (including failure to maintain fitness):</t>
  </si>
  <si>
    <r>
      <t>Termination of the contract of employment with FRS as a consequence of poor performance.</t>
    </r>
    <r>
      <rPr>
        <b/>
        <sz val="12"/>
        <rFont val="Arial"/>
        <family val="2"/>
      </rPr>
      <t xml:space="preserve"> This includes failure to maintain fitness.</t>
    </r>
  </si>
  <si>
    <t>Dismissal - disciplinary grounds:</t>
  </si>
  <si>
    <t>Termination of the contract of employment with FRS for disciplinary reasons such as gross misconduct.</t>
  </si>
  <si>
    <t>Deceased:</t>
  </si>
  <si>
    <t>LE1b, LE2b, LE3b &amp; LE4b provide information on the diversity characteristics of staff leaving the fire service during the latest reporting period 1 April to 31 March.</t>
  </si>
  <si>
    <t>Gender:</t>
  </si>
  <si>
    <t>Gender is to be recorded as gender identity.</t>
  </si>
  <si>
    <t>Guidance on reporting gender identity can be found here:</t>
  </si>
  <si>
    <t>Gender Identity Data Harmonisation Guidance</t>
  </si>
  <si>
    <t>The categories provided are "Male", "Female", "Other" and "Unknown". Anyone choosing "prefer not to say" or similar terms should be included in "unknown". While we acknowledge there are many other gender identity categories, the "Other" category is currently being used while the central government Analysis Function draft and update their guidance on gender harmonisation standard.</t>
  </si>
  <si>
    <t>Age groups:</t>
  </si>
  <si>
    <t xml:space="preserve">Staff should be entered in the appropriate age categories in sheets HR2-7. </t>
  </si>
  <si>
    <t>If the age is not known or staff have opted for "prefer not to say" or similar terms, please record under ‘Not stated’.</t>
  </si>
  <si>
    <t>Ethnicity:</t>
  </si>
  <si>
    <t>Data for ethnicity are collected from the following categories and sub-categories:</t>
  </si>
  <si>
    <t>o       White</t>
  </si>
  <si>
    <t>→ English/ Welsh/ Scottish/ Northern Irish/ British</t>
  </si>
  <si>
    <t>→ Irish</t>
  </si>
  <si>
    <t>→ Gypsy or Irish Traveller</t>
  </si>
  <si>
    <t>→ Roma</t>
  </si>
  <si>
    <t>→ Any other White background</t>
  </si>
  <si>
    <t>o      Mixed or Multiple Ethnic Groups</t>
  </si>
  <si>
    <t>→ White and Black Caribbean</t>
  </si>
  <si>
    <t>→ White and Black African</t>
  </si>
  <si>
    <t>→ White and Asian</t>
  </si>
  <si>
    <t>→ Any other Mixed / Multiple ethnic background</t>
  </si>
  <si>
    <t>o       Asian / Asian British</t>
  </si>
  <si>
    <t>→ Indian</t>
  </si>
  <si>
    <t>→ Pakistani</t>
  </si>
  <si>
    <t>→ Bangladeshi</t>
  </si>
  <si>
    <t>→ Chinese</t>
  </si>
  <si>
    <t>→ Any other Asian</t>
  </si>
  <si>
    <t>o       Black / African / Caribbean / Black British</t>
  </si>
  <si>
    <t>→ African</t>
  </si>
  <si>
    <t>→ Caribbean</t>
  </si>
  <si>
    <t>→ Any other Black / African / Caribbean</t>
  </si>
  <si>
    <t>o       Other</t>
  </si>
  <si>
    <t>→ Arab</t>
  </si>
  <si>
    <t>→ Any other ethnic group</t>
  </si>
  <si>
    <t>o       Ethnic origin Not Stated</t>
  </si>
  <si>
    <t>If the ethnicity is not known or staff have opted for "prefer not to say" or similar terms, please record under ‘Not stated’.</t>
  </si>
  <si>
    <t>Disability:</t>
  </si>
  <si>
    <t xml:space="preserve">As defined in the Equality Act 2010. A person has a disability if:
</t>
  </si>
  <si>
    <t>a)  they have a physical or mental impairment</t>
  </si>
  <si>
    <t>b) the impairment has a substantial and long-term adverse effect on their ability to perform normal day-to-day activities</t>
  </si>
  <si>
    <t>If disability status is not known or staff have opted for "prefer not to say" or similar terms, please record under ‘Not stated’.</t>
  </si>
  <si>
    <r>
      <t>Sexual orientation</t>
    </r>
    <r>
      <rPr>
        <sz val="12"/>
        <color indexed="8"/>
        <rFont val="Arial"/>
        <family val="2"/>
      </rPr>
      <t>:</t>
    </r>
  </si>
  <si>
    <t>Data on sexual orientation are collected for the following categories:</t>
  </si>
  <si>
    <t>o     Bisexual</t>
  </si>
  <si>
    <t>o     Gay / Lesbian</t>
  </si>
  <si>
    <t>o     Heterosexual</t>
  </si>
  <si>
    <t>o     Other</t>
  </si>
  <si>
    <t>o     Not stated</t>
  </si>
  <si>
    <t>If the sexual orientation is not known or staff have opted for "prefer not to say" or similar terms, please record under ‘Not stated’.</t>
  </si>
  <si>
    <t>Religion:</t>
  </si>
  <si>
    <t>Information on religion is collected for the following categories:</t>
  </si>
  <si>
    <t>o     Christian</t>
  </si>
  <si>
    <t>o     Buddhist</t>
  </si>
  <si>
    <t>o     Hindu</t>
  </si>
  <si>
    <t>o     Jewish</t>
  </si>
  <si>
    <t>o     Muslim</t>
  </si>
  <si>
    <t>o     Sikh</t>
  </si>
  <si>
    <t>o     Any other religion</t>
  </si>
  <si>
    <t>o     No religion at all</t>
  </si>
  <si>
    <t>If the religion is not known or staff have opted for "prefer not to say" or similar terms, please record under ‘Not stated’.</t>
  </si>
  <si>
    <t>SHEET</t>
  </si>
  <si>
    <t>FINANCIAL_YEAR</t>
  </si>
  <si>
    <t>FRS_NAME</t>
  </si>
  <si>
    <t>ROLE</t>
  </si>
  <si>
    <t>RANK</t>
  </si>
  <si>
    <t>LEAVING_REASON</t>
  </si>
  <si>
    <t>TOTAL</t>
  </si>
  <si>
    <t>LE1</t>
  </si>
  <si>
    <t>Brigade Manager</t>
  </si>
  <si>
    <t>Area Manager</t>
  </si>
  <si>
    <t>Group Manager</t>
  </si>
  <si>
    <t>Station Manager</t>
  </si>
  <si>
    <t>Watch Manager</t>
  </si>
  <si>
    <t>Crew Manager</t>
  </si>
  <si>
    <t>Firefighter</t>
  </si>
  <si>
    <t>Total</t>
  </si>
  <si>
    <t>1. Total moving</t>
  </si>
  <si>
    <t>2. Total resignation</t>
  </si>
  <si>
    <t>3. Total redundancy</t>
  </si>
  <si>
    <t>4. Total retirement</t>
  </si>
  <si>
    <t>5. Total dismissal</t>
  </si>
  <si>
    <t>LE1 Number of wholetime firefighters leaving (headcount)</t>
  </si>
  <si>
    <t>FRS Notes</t>
  </si>
  <si>
    <t xml:space="preserve">LE1 Number of wholetime firefighters leaving by gender, age, disability, ethnicity, religion and sexual orientation </t>
  </si>
  <si>
    <t>Gender and age of wholetime firefighters leaving in the latest year 1 April to 31 March</t>
  </si>
  <si>
    <t>Age: 17-24</t>
  </si>
  <si>
    <t>Age: 25-35</t>
  </si>
  <si>
    <t>Age: 36-45</t>
  </si>
  <si>
    <t>Age: 46-55</t>
  </si>
  <si>
    <t>Men</t>
  </si>
  <si>
    <t>Women</t>
  </si>
  <si>
    <t>Other</t>
  </si>
  <si>
    <t>Unknown</t>
  </si>
  <si>
    <t>17m</t>
  </si>
  <si>
    <t>17f</t>
  </si>
  <si>
    <t>25m</t>
  </si>
  <si>
    <t>25f</t>
  </si>
  <si>
    <t>36m</t>
  </si>
  <si>
    <t>36f</t>
  </si>
  <si>
    <t>46m</t>
  </si>
  <si>
    <t>46f</t>
  </si>
  <si>
    <t>bm</t>
  </si>
  <si>
    <t xml:space="preserve">Area Manager </t>
  </si>
  <si>
    <t>am</t>
  </si>
  <si>
    <t>gm</t>
  </si>
  <si>
    <t>sm</t>
  </si>
  <si>
    <t>wm</t>
  </si>
  <si>
    <t>cm</t>
  </si>
  <si>
    <t>ff</t>
  </si>
  <si>
    <t>Age: 56-65</t>
  </si>
  <si>
    <t>Age: 66+</t>
  </si>
  <si>
    <t>Age not stated</t>
  </si>
  <si>
    <t>Consistency QA check</t>
  </si>
  <si>
    <t>56m</t>
  </si>
  <si>
    <t>56f</t>
  </si>
  <si>
    <t>66m</t>
  </si>
  <si>
    <t>66f</t>
  </si>
  <si>
    <t>Total wholetime firefighters - all ages</t>
  </si>
  <si>
    <t>Total wholetime firefighters - all ethnicities</t>
  </si>
  <si>
    <t>Total wholetime firefighters - all sexual orientations</t>
  </si>
  <si>
    <t>Total wholetime firefighters - all disability statuses</t>
  </si>
  <si>
    <t>Total wholetime firefighters - all religious identities</t>
  </si>
  <si>
    <t>Totals for each characteristic match</t>
  </si>
  <si>
    <t>The total number of wholetime firefighters reported against each diversity characteristic should be the same. If this is not possible for any reason please explain below.</t>
  </si>
  <si>
    <t>Ethnic origin of wholetime firefighters leaving in the latest year 1 April to 31 March</t>
  </si>
  <si>
    <t>White</t>
  </si>
  <si>
    <r>
      <rPr>
        <b/>
        <sz val="10"/>
        <rFont val="Arial"/>
        <family val="2"/>
      </rPr>
      <t xml:space="preserve">White: </t>
    </r>
    <r>
      <rPr>
        <sz val="10"/>
        <rFont val="Arial"/>
        <family val="2"/>
      </rPr>
      <t xml:space="preserve">
English/ Welsh/ Scottish/ Northern Irish/ British</t>
    </r>
  </si>
  <si>
    <r>
      <rPr>
        <b/>
        <sz val="10"/>
        <rFont val="Arial"/>
        <family val="2"/>
      </rPr>
      <t xml:space="preserve">White: </t>
    </r>
    <r>
      <rPr>
        <sz val="10"/>
        <rFont val="Arial"/>
        <family val="2"/>
      </rPr>
      <t xml:space="preserve">
Irish</t>
    </r>
  </si>
  <si>
    <r>
      <rPr>
        <b/>
        <sz val="10"/>
        <rFont val="Arial"/>
        <family val="2"/>
      </rPr>
      <t xml:space="preserve">White: </t>
    </r>
    <r>
      <rPr>
        <sz val="10"/>
        <rFont val="Arial"/>
        <family val="2"/>
      </rPr>
      <t xml:space="preserve">
Gypsy or Irish Traveller</t>
    </r>
  </si>
  <si>
    <r>
      <rPr>
        <b/>
        <sz val="10"/>
        <rFont val="Arial"/>
        <family val="2"/>
      </rPr>
      <t xml:space="preserve">White: </t>
    </r>
    <r>
      <rPr>
        <sz val="10"/>
        <rFont val="Arial"/>
        <family val="2"/>
      </rPr>
      <t xml:space="preserve">
Roma</t>
    </r>
  </si>
  <si>
    <r>
      <t xml:space="preserve">Any other </t>
    </r>
    <r>
      <rPr>
        <b/>
        <sz val="10"/>
        <rFont val="Arial"/>
        <family val="2"/>
      </rPr>
      <t>White</t>
    </r>
    <r>
      <rPr>
        <sz val="10"/>
        <rFont val="Arial"/>
        <family val="2"/>
      </rPr>
      <t xml:space="preserve"> background</t>
    </r>
  </si>
  <si>
    <t>Mixed or Multiple Ethnic Groups</t>
  </si>
  <si>
    <r>
      <rPr>
        <b/>
        <sz val="10"/>
        <rFont val="Arial"/>
        <family val="2"/>
      </rPr>
      <t xml:space="preserve">Mixed or Multiple Ethnic Groups: </t>
    </r>
    <r>
      <rPr>
        <sz val="10"/>
        <rFont val="Arial"/>
        <family val="2"/>
      </rPr>
      <t>White and Black Caribbean</t>
    </r>
  </si>
  <si>
    <r>
      <rPr>
        <b/>
        <sz val="10"/>
        <rFont val="Arial"/>
        <family val="2"/>
      </rPr>
      <t xml:space="preserve">Mixed or Multiple Ethnic Groups: </t>
    </r>
    <r>
      <rPr>
        <sz val="10"/>
        <rFont val="Arial"/>
        <family val="2"/>
      </rPr>
      <t>White and Black African</t>
    </r>
  </si>
  <si>
    <r>
      <rPr>
        <b/>
        <sz val="10"/>
        <rFont val="Arial"/>
        <family val="2"/>
      </rPr>
      <t xml:space="preserve">Mixed or Multiple Ethnic Groups: </t>
    </r>
    <r>
      <rPr>
        <sz val="10"/>
        <rFont val="Arial"/>
        <family val="2"/>
      </rPr>
      <t>White and Asian</t>
    </r>
  </si>
  <si>
    <r>
      <t xml:space="preserve">Any other </t>
    </r>
    <r>
      <rPr>
        <b/>
        <sz val="10"/>
        <rFont val="Arial"/>
        <family val="2"/>
      </rPr>
      <t>Mixed / Multiple</t>
    </r>
    <r>
      <rPr>
        <sz val="10"/>
        <rFont val="Arial"/>
        <family val="2"/>
      </rPr>
      <t xml:space="preserve"> ethnic background</t>
    </r>
  </si>
  <si>
    <t xml:space="preserve"> Asian/Asian British</t>
  </si>
  <si>
    <r>
      <t xml:space="preserve"> Asian/Asian British: 
</t>
    </r>
    <r>
      <rPr>
        <sz val="10"/>
        <rFont val="Arial"/>
        <family val="2"/>
      </rPr>
      <t>Indian</t>
    </r>
  </si>
  <si>
    <r>
      <t xml:space="preserve">Asian/Asian British: 
</t>
    </r>
    <r>
      <rPr>
        <sz val="10"/>
        <rFont val="Arial"/>
        <family val="2"/>
      </rPr>
      <t>Pakistani</t>
    </r>
  </si>
  <si>
    <r>
      <t xml:space="preserve">Asian/Asian British: 
</t>
    </r>
    <r>
      <rPr>
        <sz val="10"/>
        <rFont val="Arial"/>
        <family val="2"/>
      </rPr>
      <t>Bangladeshi</t>
    </r>
  </si>
  <si>
    <r>
      <rPr>
        <b/>
        <sz val="10"/>
        <rFont val="Arial"/>
        <family val="2"/>
      </rPr>
      <t xml:space="preserve">Asian/Asian British: </t>
    </r>
    <r>
      <rPr>
        <sz val="10"/>
        <rFont val="Arial"/>
        <family val="2"/>
      </rPr>
      <t xml:space="preserve">
Chinese</t>
    </r>
  </si>
  <si>
    <r>
      <t xml:space="preserve">Any other </t>
    </r>
    <r>
      <rPr>
        <b/>
        <sz val="10"/>
        <rFont val="Arial"/>
        <family val="2"/>
      </rPr>
      <t>Asian/Asian British</t>
    </r>
    <r>
      <rPr>
        <sz val="10"/>
        <rFont val="Arial"/>
        <family val="2"/>
      </rPr>
      <t xml:space="preserve"> background</t>
    </r>
  </si>
  <si>
    <t>Black / African / Caribbean / Black British</t>
  </si>
  <si>
    <r>
      <rPr>
        <b/>
        <sz val="10"/>
        <rFont val="Arial"/>
        <family val="2"/>
      </rPr>
      <t xml:space="preserve">Black / African / Caribbean / Black British: </t>
    </r>
    <r>
      <rPr>
        <sz val="10"/>
        <rFont val="Arial"/>
        <family val="2"/>
      </rPr>
      <t xml:space="preserve">
African</t>
    </r>
  </si>
  <si>
    <r>
      <rPr>
        <b/>
        <sz val="10"/>
        <rFont val="Arial"/>
        <family val="2"/>
      </rPr>
      <t xml:space="preserve">Black / African / Caribbean / Black British: </t>
    </r>
    <r>
      <rPr>
        <sz val="10"/>
        <rFont val="Arial"/>
        <family val="2"/>
      </rPr>
      <t xml:space="preserve">
Caribbean</t>
    </r>
  </si>
  <si>
    <r>
      <t xml:space="preserve">Any other </t>
    </r>
    <r>
      <rPr>
        <b/>
        <sz val="10"/>
        <rFont val="Arial"/>
        <family val="2"/>
      </rPr>
      <t>Black/African/ Caribbean</t>
    </r>
    <r>
      <rPr>
        <sz val="10"/>
        <rFont val="Arial"/>
        <family val="2"/>
      </rPr>
      <t xml:space="preserve"> background</t>
    </r>
  </si>
  <si>
    <t>Other ethnic group</t>
  </si>
  <si>
    <r>
      <rPr>
        <b/>
        <sz val="10"/>
        <rFont val="Arial"/>
        <family val="2"/>
      </rPr>
      <t xml:space="preserve">Other ethnic group: 
</t>
    </r>
    <r>
      <rPr>
        <sz val="10"/>
        <rFont val="Arial"/>
        <family val="2"/>
      </rPr>
      <t>Arab</t>
    </r>
  </si>
  <si>
    <r>
      <t xml:space="preserve">Any </t>
    </r>
    <r>
      <rPr>
        <b/>
        <sz val="10"/>
        <rFont val="Arial"/>
        <family val="2"/>
      </rPr>
      <t>other ethnic</t>
    </r>
    <r>
      <rPr>
        <sz val="10"/>
        <rFont val="Arial"/>
        <family val="2"/>
      </rPr>
      <t xml:space="preserve"> group</t>
    </r>
  </si>
  <si>
    <t>Ethnic origin Not Stated</t>
  </si>
  <si>
    <t>Disability of wholetime firefighters leaving in the latest year 1 April to 31 March</t>
  </si>
  <si>
    <t>Religion of wholetime firefighters leaving in the latest year 1 April to 31 March</t>
  </si>
  <si>
    <t>Sexual orientation of wholetime firefighters leaving in the latest year 1 April to 31 March</t>
  </si>
  <si>
    <t>Disabled</t>
  </si>
  <si>
    <t>Not Disabled</t>
  </si>
  <si>
    <t>Disability Not Stated</t>
  </si>
  <si>
    <t>Christian</t>
  </si>
  <si>
    <t>Buddhist</t>
  </si>
  <si>
    <t>Hindu</t>
  </si>
  <si>
    <t>Jewish</t>
  </si>
  <si>
    <t>Muslim</t>
  </si>
  <si>
    <t>Sikh</t>
  </si>
  <si>
    <t>None</t>
  </si>
  <si>
    <t>Religion Not Stated</t>
  </si>
  <si>
    <t>Bisexual</t>
  </si>
  <si>
    <t>Gay/ Lesbian</t>
  </si>
  <si>
    <t>Heterosexual</t>
  </si>
  <si>
    <t>Sexual orientation Not Stated</t>
  </si>
  <si>
    <t>dis</t>
  </si>
  <si>
    <t>notdis</t>
  </si>
  <si>
    <t>dns</t>
  </si>
  <si>
    <t>chr</t>
  </si>
  <si>
    <t>bud</t>
  </si>
  <si>
    <t>hin</t>
  </si>
  <si>
    <t>jew</t>
  </si>
  <si>
    <t>mus</t>
  </si>
  <si>
    <t>sik</t>
  </si>
  <si>
    <t>roth</t>
  </si>
  <si>
    <t>non</t>
  </si>
  <si>
    <t>rns</t>
  </si>
  <si>
    <t>bi</t>
  </si>
  <si>
    <t>gl</t>
  </si>
  <si>
    <t>het</t>
  </si>
  <si>
    <t>soth</t>
  </si>
  <si>
    <t>sns</t>
  </si>
  <si>
    <t>LE2</t>
  </si>
  <si>
    <t>LE2 Number of on-call firefighters leaving (headcount)</t>
  </si>
  <si>
    <t>2d. Resignation - issues with primary employment/other work commitments</t>
  </si>
  <si>
    <t>2e. Resignation - personal reasons (including work / life balance &amp; caring responsibilities)</t>
  </si>
  <si>
    <t>2f. Resignation - relocation/leaving the area (including going travelling, moving country)</t>
  </si>
  <si>
    <t xml:space="preserve">LE2 Number of on-call firefighters leaving by gender, age, disability, ethnicity, religion and sexual orientation </t>
  </si>
  <si>
    <t>Gender and age of on call firefighters leaving in the latest year 1 April to 31 March</t>
  </si>
  <si>
    <t>Total on call firefighters - all ages</t>
  </si>
  <si>
    <t>Total on call firefighters - all ethnicities</t>
  </si>
  <si>
    <t>Total on call firefighters - all sexual orientations</t>
  </si>
  <si>
    <t>Total on call firefighters - all disability statuses</t>
  </si>
  <si>
    <t>Total on call firefighters - all religious identities</t>
  </si>
  <si>
    <t>Ethnic origin of on call firefighters leaving in the latest year 1 April to 31 March</t>
  </si>
  <si>
    <t>The total number of on call firefighters reported against each diversity characteristic should be the same. If this is not possible for any reason please explain below.</t>
  </si>
  <si>
    <t> Asian / Asian British</t>
  </si>
  <si>
    <t>Disability of on call firefighters leaving in the latest year 1 April to 31 March</t>
  </si>
  <si>
    <t>Religion of on call firefighters leaving in the latest year 1 April to 31 March</t>
  </si>
  <si>
    <t>Sexual orientation of on call firefighters leaving in the latest year 1 April to 31 March</t>
  </si>
  <si>
    <t>LE3</t>
  </si>
  <si>
    <t>LE3 Number of control staff leaving (headcount)</t>
  </si>
  <si>
    <t xml:space="preserve">LE3 Number of control staff leaving by gender, age, disability, ethnicity, religion and sexual orientation </t>
  </si>
  <si>
    <t>Gender and age of fire control staff leaving in the latest year 1 April to 31 March</t>
  </si>
  <si>
    <t>Age: 16</t>
  </si>
  <si>
    <t>Total fire control staff - all ages</t>
  </si>
  <si>
    <t>Total fire control staff - all ethnicities</t>
  </si>
  <si>
    <t>Total fire control staff - all sexual orientations</t>
  </si>
  <si>
    <t>Total fire control staff - all disability statuses</t>
  </si>
  <si>
    <t>Total fire control staff - all religious identities</t>
  </si>
  <si>
    <t>Ethnic origin of fire control staff leaving in the latest year 1 April to 31 March</t>
  </si>
  <si>
    <t>The total number of fire control staff reported against each diversity characteristic should be the same. If this is not possible for any reason please explain below.</t>
  </si>
  <si>
    <t>Disability of fire control staff leaving in the latest year 1 April to 31 March</t>
  </si>
  <si>
    <t>Religion of fire control staff leaving in the latest year 1 April to 31 March</t>
  </si>
  <si>
    <t>Sexual orientation of fire control staff leaving in the latest year 1 April to 31 March</t>
  </si>
  <si>
    <t>LE4</t>
  </si>
  <si>
    <t>LE4 Number of support leaving (headcount)</t>
  </si>
  <si>
    <t>Total staff</t>
  </si>
  <si>
    <t>1b. Moving - within FRS from support to operational (firefighter or control) staff</t>
  </si>
  <si>
    <t xml:space="preserve">LE4 Number of support staff leaving by gender, age, disability, ethnicity, religion and sexual orientation </t>
  </si>
  <si>
    <t>Gender and age of support staff leaving in the latest year 1 April to 31 March</t>
  </si>
  <si>
    <t>ansm</t>
  </si>
  <si>
    <t>Ethnic origin of support staff leaving in the latest year 1 April to 31 March</t>
  </si>
  <si>
    <t>Disability of support staffs leaving in the latest year 1 April to 31 March</t>
  </si>
  <si>
    <t>Religion of support staff leaving in the latest year 1 April to 31 March</t>
  </si>
  <si>
    <t>Sexual orientation of support staff leaving in the latest year 1 April to 31 March</t>
  </si>
  <si>
    <t>Total support staff - all ages</t>
  </si>
  <si>
    <t>Total support staff - all ethnicities</t>
  </si>
  <si>
    <t>Total support staff - all sexual orientations</t>
  </si>
  <si>
    <t>Total support staff - all disability statuses</t>
  </si>
  <si>
    <t>Total support staff - all religious identities</t>
  </si>
  <si>
    <t>The total number of support staff reported against each diversity characteristic should be the same. If this is not possible for any reason please explain below.</t>
  </si>
  <si>
    <t>Errors</t>
  </si>
  <si>
    <t>LE1a  - Wholetime FF</t>
  </si>
  <si>
    <t>LE1b - Wholetime FF</t>
  </si>
  <si>
    <t>LE2a - Oncall FF</t>
  </si>
  <si>
    <t>LE2b - Oncall FF</t>
  </si>
  <si>
    <t>LE3a - Control Staff</t>
  </si>
  <si>
    <t>LE3b - Control Staff</t>
  </si>
  <si>
    <t>LE4a - Support Staff</t>
  </si>
  <si>
    <t>LE4b - Support Staff</t>
  </si>
  <si>
    <t>LE1a I27 = LE1b C69 + D69 + E69</t>
  </si>
  <si>
    <t>LE2a G30 = LE2b C59 + D59 + E59</t>
  </si>
  <si>
    <t>LE3a G27 = LE2b C59 + D59 + E59</t>
  </si>
  <si>
    <t>LE4a B27 = LE4b C33 + D33+ E33</t>
  </si>
  <si>
    <t>Wholetime FF change on PY</t>
  </si>
  <si>
    <t>Unknown gender</t>
  </si>
  <si>
    <t>On-call FF change on PY</t>
  </si>
  <si>
    <t>Control staff change on PY</t>
  </si>
  <si>
    <t>WT FF change on PY</t>
  </si>
  <si>
    <t>Not stated ethnicity</t>
  </si>
  <si>
    <t>Leaver rate</t>
  </si>
  <si>
    <t>Not stated disability</t>
  </si>
  <si>
    <t>Not stated religion</t>
  </si>
  <si>
    <t>Not stated sexual orientation</t>
  </si>
  <si>
    <t>Absolute value threshold</t>
  </si>
  <si>
    <t>Percentage thresholds</t>
  </si>
  <si>
    <r>
      <t xml:space="preserve">Please complete by </t>
    </r>
    <r>
      <rPr>
        <b/>
        <sz val="11"/>
        <color rgb="FF0070C0"/>
        <rFont val="Arial"/>
        <family val="2"/>
      </rPr>
      <t xml:space="preserve">Friday 12 June 2026 </t>
    </r>
    <r>
      <rPr>
        <b/>
        <sz val="11"/>
        <rFont val="Arial"/>
        <family val="2"/>
      </rPr>
      <t>and send the spreadsheet by e-mail to: FireStatistics@homeoffice.gov.uk</t>
    </r>
  </si>
  <si>
    <t>Please record if a person had died in the period 1 April 2025 to 31 March 2026.</t>
  </si>
  <si>
    <t>From the data collection in 2025 (data for 2025/26), the ethnicity categories aligned to the central government Analysis Function ethnicity harmonisation standard.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</si>
</sst>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9">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MS Sans Serif"/>
      <family val="2"/>
    </font>
    <font>
      <b/>
      <sz val="12"/>
      <name val="Arial"/>
      <family val="2"/>
    </font>
    <font>
      <b/>
      <sz val="10"/>
      <name val="Arial"/>
      <family val="2"/>
    </font>
    <font>
      <sz val="8"/>
      <name val="Arial"/>
      <family val="2"/>
    </font>
    <font>
      <b/>
      <sz val="14"/>
      <name val="Arial"/>
      <family val="2"/>
    </font>
    <font>
      <sz val="12"/>
      <name val="Arial"/>
      <family val="2"/>
    </font>
    <font>
      <b/>
      <sz val="11"/>
      <name val="Arial"/>
      <family val="2"/>
    </font>
    <font>
      <sz val="11"/>
      <name val="Arial"/>
      <family val="2"/>
    </font>
    <font>
      <sz val="12"/>
      <color indexed="8"/>
      <name val="Arial"/>
      <family val="2"/>
    </font>
    <font>
      <b/>
      <sz val="11"/>
      <color indexed="43"/>
      <name val="Arial"/>
      <family val="2"/>
    </font>
    <font>
      <u/>
      <sz val="11"/>
      <color indexed="10"/>
      <name val="Arial"/>
      <family val="2"/>
    </font>
    <font>
      <u/>
      <sz val="11"/>
      <color indexed="12"/>
      <name val="Arial"/>
      <family val="2"/>
    </font>
    <font>
      <sz val="11"/>
      <color indexed="9"/>
      <name val="Arial"/>
      <family val="2"/>
    </font>
    <font>
      <b/>
      <sz val="18"/>
      <name val="Arial"/>
      <family val="2"/>
    </font>
    <font>
      <sz val="11"/>
      <color rgb="FFFF0000"/>
      <name val="Arial"/>
      <family val="2"/>
    </font>
    <font>
      <sz val="14"/>
      <name val="Arial"/>
      <family val="2"/>
    </font>
    <font>
      <b/>
      <sz val="11"/>
      <color theme="1"/>
      <name val="Arial"/>
      <family val="2"/>
    </font>
    <font>
      <i/>
      <sz val="12"/>
      <color indexed="8"/>
      <name val="Arial"/>
      <family val="2"/>
    </font>
    <font>
      <b/>
      <sz val="12"/>
      <color indexed="8"/>
      <name val="Arial"/>
      <family val="2"/>
    </font>
    <font>
      <b/>
      <sz val="16"/>
      <name val="Arial"/>
      <family val="2"/>
    </font>
    <font>
      <sz val="10"/>
      <color rgb="FFFF0000"/>
      <name val="Arial"/>
      <family val="2"/>
    </font>
    <font>
      <b/>
      <sz val="10"/>
      <color rgb="FFFF0000"/>
      <name val="Arial"/>
      <family val="2"/>
    </font>
    <font>
      <b/>
      <sz val="12"/>
      <color rgb="FF000000"/>
      <name val="Arial"/>
      <family val="2"/>
    </font>
    <font>
      <b/>
      <sz val="20"/>
      <color rgb="FFFF0000"/>
      <name val="Arial"/>
      <family val="2"/>
    </font>
    <font>
      <b/>
      <sz val="14"/>
      <color rgb="FFFF0000"/>
      <name val="Arial"/>
      <family val="2"/>
    </font>
    <font>
      <b/>
      <i/>
      <sz val="12"/>
      <name val="Arial"/>
      <family val="2"/>
    </font>
    <font>
      <b/>
      <i/>
      <sz val="12"/>
      <color indexed="8"/>
      <name val="Arial"/>
      <family val="2"/>
    </font>
    <font>
      <b/>
      <sz val="20"/>
      <name val="Arial"/>
      <family val="2"/>
    </font>
    <font>
      <b/>
      <sz val="10"/>
      <color indexed="10"/>
      <name val="Arial"/>
      <family val="2"/>
    </font>
    <font>
      <b/>
      <sz val="10"/>
      <color indexed="9"/>
      <name val="Arial"/>
      <family val="2"/>
    </font>
    <font>
      <b/>
      <sz val="10"/>
      <color indexed="17"/>
      <name val="Arial"/>
      <family val="2"/>
    </font>
    <font>
      <sz val="12"/>
      <color indexed="8"/>
      <name val="Calibri"/>
      <family val="2"/>
    </font>
    <font>
      <b/>
      <sz val="11"/>
      <color rgb="FF0070C0"/>
      <name val="Arial"/>
      <family val="2"/>
    </font>
    <font>
      <b/>
      <sz val="11"/>
      <color theme="0"/>
      <name val="Calibri"/>
      <family val="2"/>
      <scheme val="minor"/>
    </font>
  </fonts>
  <fills count="12">
    <fill>
      <patternFill patternType="none"/>
    </fill>
    <fill>
      <patternFill patternType="gray125"/>
    </fill>
    <fill>
      <patternFill patternType="solid">
        <fgColor rgb="FFCC99FF"/>
        <bgColor indexed="64"/>
      </patternFill>
    </fill>
    <fill>
      <patternFill patternType="solid">
        <fgColor theme="0"/>
        <bgColor indexed="64"/>
      </patternFill>
    </fill>
    <fill>
      <patternFill patternType="solid">
        <fgColor rgb="FFFFCCFF"/>
        <bgColor indexed="64"/>
      </patternFill>
    </fill>
    <fill>
      <patternFill patternType="solid">
        <fgColor rgb="FFFFC000"/>
        <bgColor indexed="64"/>
      </patternFill>
    </fill>
    <fill>
      <patternFill patternType="solid">
        <fgColor theme="7" tint="0.79998168889431442"/>
        <bgColor indexed="64"/>
      </patternFill>
    </fill>
    <fill>
      <patternFill patternType="solid">
        <fgColor indexed="49"/>
        <bgColor indexed="64"/>
      </patternFill>
    </fill>
    <fill>
      <patternFill patternType="solid">
        <fgColor rgb="FF00B050"/>
        <bgColor indexed="64"/>
      </patternFill>
    </fill>
    <fill>
      <patternFill patternType="solid">
        <fgColor rgb="FFCC99FF"/>
        <bgColor rgb="FF000000"/>
      </patternFill>
    </fill>
    <fill>
      <patternFill patternType="solid">
        <fgColor rgb="FFFFCCFF"/>
        <bgColor rgb="FF000000"/>
      </patternFill>
    </fill>
    <fill>
      <patternFill patternType="solid">
        <fgColor rgb="FF0106BF"/>
        <bgColor indexed="64"/>
      </patternFill>
    </fill>
  </fills>
  <borders count="59">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style="medium">
        <color indexed="64"/>
      </left>
      <right/>
      <top/>
      <bottom/>
      <diagonal/>
    </border>
    <border>
      <left/>
      <right/>
      <top/>
      <bottom style="medium">
        <color indexed="64"/>
      </bottom>
      <diagonal/>
    </border>
    <border>
      <left/>
      <right/>
      <top style="medium">
        <color indexed="64"/>
      </top>
      <bottom/>
      <diagonal/>
    </border>
    <border>
      <left/>
      <right/>
      <top style="medium">
        <color indexed="64"/>
      </top>
      <bottom style="medium">
        <color indexed="64"/>
      </bottom>
      <diagonal/>
    </border>
    <border>
      <left/>
      <right style="medium">
        <color indexed="64"/>
      </right>
      <top/>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diagonal/>
    </border>
    <border>
      <left style="medium">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thin">
        <color indexed="64"/>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style="thin">
        <color indexed="64"/>
      </right>
      <top style="thin">
        <color indexed="64"/>
      </top>
      <bottom style="medium">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s>
  <cellStyleXfs count="10">
    <xf numFmtId="0" fontId="0" fillId="0" borderId="0"/>
    <xf numFmtId="0" fontId="5" fillId="0" borderId="0" applyNumberFormat="0" applyFill="0" applyBorder="0" applyAlignment="0" applyProtection="0"/>
    <xf numFmtId="0" fontId="4" fillId="0" borderId="0"/>
    <xf numFmtId="0" fontId="3" fillId="0" borderId="0"/>
    <xf numFmtId="0" fontId="2" fillId="0" borderId="0"/>
    <xf numFmtId="0" fontId="1" fillId="0" borderId="0"/>
    <xf numFmtId="0" fontId="4" fillId="0" borderId="0"/>
    <xf numFmtId="0" fontId="4" fillId="0" borderId="0"/>
    <xf numFmtId="0" fontId="4" fillId="0" borderId="0"/>
    <xf numFmtId="0" fontId="4" fillId="0" borderId="0"/>
  </cellStyleXfs>
  <cellXfs count="372">
    <xf numFmtId="0" fontId="0" fillId="0" borderId="0" xfId="0"/>
    <xf numFmtId="0" fontId="0" fillId="0" borderId="0" xfId="0" applyAlignment="1">
      <alignment horizontal="left" vertical="center"/>
    </xf>
    <xf numFmtId="0" fontId="0" fillId="0" borderId="0" xfId="0" applyAlignment="1">
      <alignment vertical="center"/>
    </xf>
    <xf numFmtId="0" fontId="0" fillId="0" borderId="0" xfId="0" applyAlignment="1">
      <alignment horizontal="left" vertical="center" wrapText="1"/>
    </xf>
    <xf numFmtId="0" fontId="0" fillId="0" borderId="0" xfId="0" applyAlignment="1">
      <alignment vertical="center" wrapText="1"/>
    </xf>
    <xf numFmtId="0" fontId="0" fillId="0" borderId="0" xfId="0" applyAlignment="1">
      <alignment vertical="top"/>
    </xf>
    <xf numFmtId="0" fontId="10" fillId="0" borderId="0" xfId="0" applyFont="1" applyAlignment="1">
      <alignment vertical="top"/>
    </xf>
    <xf numFmtId="0" fontId="4" fillId="2" borderId="1" xfId="0" applyFont="1" applyFill="1" applyBorder="1" applyAlignment="1">
      <alignment horizontal="center" vertical="center" wrapText="1"/>
    </xf>
    <xf numFmtId="0" fontId="4" fillId="2" borderId="2" xfId="0" applyFont="1" applyFill="1" applyBorder="1" applyAlignment="1">
      <alignment horizontal="center" vertical="center" wrapText="1"/>
    </xf>
    <xf numFmtId="0" fontId="4" fillId="2" borderId="8" xfId="0" applyFont="1" applyFill="1" applyBorder="1" applyAlignment="1">
      <alignment horizontal="center" vertical="center" wrapText="1"/>
    </xf>
    <xf numFmtId="0" fontId="4" fillId="2" borderId="22" xfId="0" applyFont="1" applyFill="1" applyBorder="1" applyAlignment="1">
      <alignment horizontal="left" vertical="center" wrapText="1"/>
    </xf>
    <xf numFmtId="0" fontId="4" fillId="2" borderId="23" xfId="0" applyFont="1" applyFill="1" applyBorder="1" applyAlignment="1">
      <alignment horizontal="left" vertical="center" wrapText="1"/>
    </xf>
    <xf numFmtId="0" fontId="7" fillId="2" borderId="3" xfId="0" applyFont="1" applyFill="1" applyBorder="1" applyAlignment="1">
      <alignment horizontal="left" vertical="center" wrapText="1"/>
    </xf>
    <xf numFmtId="3" fontId="7" fillId="2" borderId="1" xfId="0" applyNumberFormat="1" applyFont="1" applyFill="1" applyBorder="1" applyAlignment="1">
      <alignment horizontal="right" vertical="center" wrapText="1"/>
    </xf>
    <xf numFmtId="3" fontId="4" fillId="4" borderId="14" xfId="0" applyNumberFormat="1" applyFont="1" applyFill="1" applyBorder="1" applyAlignment="1" applyProtection="1">
      <alignment horizontal="right" vertical="center" wrapText="1"/>
      <protection locked="0"/>
    </xf>
    <xf numFmtId="3" fontId="4" fillId="4" borderId="15" xfId="0" applyNumberFormat="1" applyFont="1" applyFill="1" applyBorder="1" applyAlignment="1" applyProtection="1">
      <alignment horizontal="right" vertical="center" wrapText="1"/>
      <protection locked="0"/>
    </xf>
    <xf numFmtId="3" fontId="4" fillId="4" borderId="17" xfId="0" applyNumberFormat="1" applyFont="1" applyFill="1" applyBorder="1" applyAlignment="1" applyProtection="1">
      <alignment horizontal="right" vertical="center" wrapText="1"/>
      <protection locked="0"/>
    </xf>
    <xf numFmtId="3" fontId="4" fillId="4" borderId="18" xfId="0" applyNumberFormat="1" applyFont="1" applyFill="1" applyBorder="1" applyAlignment="1" applyProtection="1">
      <alignment horizontal="right" vertical="center" wrapText="1"/>
      <protection locked="0"/>
    </xf>
    <xf numFmtId="3" fontId="4" fillId="4" borderId="20" xfId="0" applyNumberFormat="1" applyFont="1" applyFill="1" applyBorder="1" applyAlignment="1" applyProtection="1">
      <alignment horizontal="right" vertical="center" wrapText="1"/>
      <protection locked="0"/>
    </xf>
    <xf numFmtId="3" fontId="4" fillId="4" borderId="21" xfId="0" applyNumberFormat="1" applyFont="1" applyFill="1" applyBorder="1" applyAlignment="1" applyProtection="1">
      <alignment horizontal="right" vertical="center" wrapText="1"/>
      <protection locked="0"/>
    </xf>
    <xf numFmtId="0" fontId="4" fillId="2" borderId="25" xfId="0" applyFont="1" applyFill="1" applyBorder="1" applyAlignment="1">
      <alignment horizontal="left" vertical="center" wrapText="1"/>
    </xf>
    <xf numFmtId="0" fontId="4" fillId="2" borderId="5" xfId="0" applyFont="1" applyFill="1" applyBorder="1" applyAlignment="1">
      <alignment horizontal="left" vertical="center" wrapText="1"/>
    </xf>
    <xf numFmtId="0" fontId="4" fillId="2" borderId="26" xfId="0" applyFont="1" applyFill="1" applyBorder="1" applyAlignment="1">
      <alignment horizontal="left" vertical="center" wrapText="1"/>
    </xf>
    <xf numFmtId="0" fontId="7" fillId="2" borderId="1" xfId="0" applyFont="1" applyFill="1" applyBorder="1" applyAlignment="1">
      <alignment horizontal="left" vertical="center" wrapText="1"/>
    </xf>
    <xf numFmtId="0" fontId="4" fillId="2" borderId="27" xfId="0" applyFont="1" applyFill="1" applyBorder="1" applyAlignment="1">
      <alignment horizontal="left" vertical="center" wrapText="1"/>
    </xf>
    <xf numFmtId="0" fontId="16" fillId="0" borderId="0" xfId="1" applyFont="1" applyBorder="1" applyAlignment="1" applyProtection="1">
      <alignment horizontal="left"/>
    </xf>
    <xf numFmtId="0" fontId="7" fillId="2" borderId="11"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12" fillId="0" borderId="0" xfId="0" applyFont="1"/>
    <xf numFmtId="0" fontId="9" fillId="3" borderId="0" xfId="0" applyFont="1" applyFill="1"/>
    <xf numFmtId="0" fontId="20" fillId="0" borderId="0" xfId="0" applyFont="1"/>
    <xf numFmtId="0" fontId="14" fillId="0" borderId="0" xfId="0" applyFont="1" applyAlignment="1">
      <alignment horizontal="left"/>
    </xf>
    <xf numFmtId="0" fontId="11" fillId="0" borderId="0" xfId="2" applyFont="1"/>
    <xf numFmtId="0" fontId="12" fillId="0" borderId="0" xfId="0" applyFont="1" applyAlignment="1">
      <alignment vertical="center" wrapText="1"/>
    </xf>
    <xf numFmtId="0" fontId="12" fillId="0" borderId="0" xfId="0" applyFont="1" applyAlignment="1">
      <alignment vertical="center"/>
    </xf>
    <xf numFmtId="0" fontId="11" fillId="0" borderId="0" xfId="0" applyFont="1"/>
    <xf numFmtId="0" fontId="11" fillId="4" borderId="1" xfId="0" applyFont="1" applyFill="1" applyBorder="1" applyAlignment="1">
      <alignment horizontal="left" vertical="center" wrapText="1"/>
    </xf>
    <xf numFmtId="0" fontId="12" fillId="0" borderId="0" xfId="0" applyFont="1" applyAlignment="1">
      <alignment vertical="top"/>
    </xf>
    <xf numFmtId="0" fontId="12" fillId="0" borderId="0" xfId="0" applyFont="1" applyAlignment="1">
      <alignment horizontal="center" vertical="center" wrapText="1"/>
    </xf>
    <xf numFmtId="0" fontId="19" fillId="0" borderId="0" xfId="0" applyFont="1"/>
    <xf numFmtId="0" fontId="17" fillId="0" borderId="0" xfId="0" applyFont="1"/>
    <xf numFmtId="0" fontId="7" fillId="0" borderId="0" xfId="0" applyFont="1" applyAlignment="1">
      <alignment vertical="center" wrapText="1"/>
    </xf>
    <xf numFmtId="0" fontId="12" fillId="0" borderId="0" xfId="0" applyFont="1" applyAlignment="1">
      <alignment horizontal="left" vertical="center" wrapText="1"/>
    </xf>
    <xf numFmtId="0" fontId="25" fillId="0" borderId="0" xfId="0" applyFont="1" applyAlignment="1">
      <alignment vertical="top"/>
    </xf>
    <xf numFmtId="0" fontId="4" fillId="0" borderId="0" xfId="0" applyFont="1" applyAlignment="1">
      <alignment horizontal="left" vertical="center"/>
    </xf>
    <xf numFmtId="3" fontId="0" fillId="0" borderId="0" xfId="0" applyNumberFormat="1" applyAlignment="1">
      <alignment vertical="center"/>
    </xf>
    <xf numFmtId="0" fontId="21" fillId="4" borderId="0" xfId="0" applyFont="1" applyFill="1" applyProtection="1">
      <protection locked="0"/>
    </xf>
    <xf numFmtId="0" fontId="21" fillId="4" borderId="0" xfId="0" applyFont="1" applyFill="1" applyAlignment="1" applyProtection="1">
      <alignment horizontal="left"/>
      <protection locked="0"/>
    </xf>
    <xf numFmtId="0" fontId="21" fillId="2" borderId="0" xfId="0" applyFont="1" applyFill="1" applyProtection="1">
      <protection locked="0"/>
    </xf>
    <xf numFmtId="0" fontId="21" fillId="2" borderId="0" xfId="0" applyFont="1" applyFill="1" applyAlignment="1" applyProtection="1">
      <alignment horizontal="left"/>
      <protection locked="0"/>
    </xf>
    <xf numFmtId="0" fontId="13" fillId="0" borderId="0" xfId="0" applyFont="1" applyAlignment="1">
      <alignment horizontal="justify" vertical="top"/>
    </xf>
    <xf numFmtId="0" fontId="20" fillId="0" borderId="0" xfId="0" applyFont="1" applyAlignment="1">
      <alignment vertical="center"/>
    </xf>
    <xf numFmtId="0" fontId="4" fillId="0" borderId="0" xfId="0" applyFont="1" applyAlignment="1">
      <alignment horizontal="center" vertical="center"/>
    </xf>
    <xf numFmtId="3" fontId="4" fillId="4" borderId="32" xfId="0" applyNumberFormat="1" applyFont="1" applyFill="1" applyBorder="1" applyAlignment="1" applyProtection="1">
      <alignment horizontal="right" vertical="center" wrapText="1"/>
      <protection locked="0"/>
    </xf>
    <xf numFmtId="3" fontId="4" fillId="4" borderId="22" xfId="0" applyNumberFormat="1" applyFont="1" applyFill="1" applyBorder="1" applyAlignment="1" applyProtection="1">
      <alignment horizontal="right" vertical="center" wrapText="1"/>
      <protection locked="0"/>
    </xf>
    <xf numFmtId="3" fontId="4" fillId="4" borderId="24" xfId="0" applyNumberFormat="1" applyFont="1" applyFill="1" applyBorder="1" applyAlignment="1" applyProtection="1">
      <alignment horizontal="right" vertical="center" wrapText="1"/>
      <protection locked="0"/>
    </xf>
    <xf numFmtId="3" fontId="4" fillId="4" borderId="23" xfId="0" applyNumberFormat="1" applyFont="1" applyFill="1" applyBorder="1" applyAlignment="1" applyProtection="1">
      <alignment horizontal="right" vertical="center" wrapText="1"/>
      <protection locked="0"/>
    </xf>
    <xf numFmtId="0" fontId="11" fillId="0" borderId="0" xfId="2" applyFont="1" applyAlignment="1">
      <alignment vertical="center" wrapText="1"/>
    </xf>
    <xf numFmtId="0" fontId="4" fillId="0" borderId="0" xfId="0" applyFont="1" applyAlignment="1">
      <alignment vertical="center"/>
    </xf>
    <xf numFmtId="0" fontId="25" fillId="0" borderId="0" xfId="0" applyFont="1" applyAlignment="1">
      <alignment vertical="center"/>
    </xf>
    <xf numFmtId="0" fontId="28" fillId="0" borderId="12" xfId="0" applyFont="1" applyBorder="1" applyAlignment="1">
      <alignment horizontal="left" vertical="center" wrapText="1"/>
    </xf>
    <xf numFmtId="3" fontId="7" fillId="2" borderId="16" xfId="0" applyNumberFormat="1" applyFont="1" applyFill="1" applyBorder="1" applyAlignment="1">
      <alignment horizontal="right" vertical="center" wrapText="1"/>
    </xf>
    <xf numFmtId="3" fontId="7" fillId="2" borderId="2" xfId="0" applyNumberFormat="1" applyFont="1" applyFill="1" applyBorder="1" applyAlignment="1">
      <alignment horizontal="right" vertical="center" wrapText="1"/>
    </xf>
    <xf numFmtId="3" fontId="7" fillId="2" borderId="10" xfId="0" applyNumberFormat="1" applyFont="1" applyFill="1" applyBorder="1" applyAlignment="1">
      <alignment horizontal="right" vertical="center" wrapText="1"/>
    </xf>
    <xf numFmtId="3" fontId="7" fillId="2" borderId="19" xfId="0" applyNumberFormat="1" applyFont="1" applyFill="1" applyBorder="1" applyAlignment="1">
      <alignment horizontal="right" vertical="center" wrapText="1"/>
    </xf>
    <xf numFmtId="3" fontId="7" fillId="2" borderId="26" xfId="0" applyNumberFormat="1" applyFont="1" applyFill="1" applyBorder="1" applyAlignment="1">
      <alignment horizontal="right" vertical="center" wrapText="1"/>
    </xf>
    <xf numFmtId="3" fontId="7" fillId="2" borderId="25" xfId="0" applyNumberFormat="1" applyFont="1" applyFill="1" applyBorder="1" applyAlignment="1">
      <alignment horizontal="right" vertical="center" wrapText="1"/>
    </xf>
    <xf numFmtId="3" fontId="7" fillId="2" borderId="23" xfId="0" applyNumberFormat="1" applyFont="1" applyFill="1" applyBorder="1" applyAlignment="1">
      <alignment horizontal="right" vertical="center" wrapText="1"/>
    </xf>
    <xf numFmtId="3" fontId="7" fillId="2" borderId="3" xfId="0" applyNumberFormat="1" applyFont="1" applyFill="1" applyBorder="1" applyAlignment="1">
      <alignment horizontal="right" vertical="center" wrapText="1"/>
    </xf>
    <xf numFmtId="3" fontId="7" fillId="2" borderId="13" xfId="0" applyNumberFormat="1" applyFont="1" applyFill="1" applyBorder="1" applyAlignment="1">
      <alignment horizontal="right" vertical="center" wrapText="1"/>
    </xf>
    <xf numFmtId="0" fontId="7" fillId="0" borderId="0" xfId="7" applyFont="1"/>
    <xf numFmtId="0" fontId="4" fillId="0" borderId="0" xfId="7"/>
    <xf numFmtId="0" fontId="29" fillId="0" borderId="0" xfId="0" applyFont="1" applyAlignment="1">
      <alignment vertical="center"/>
    </xf>
    <xf numFmtId="3" fontId="4" fillId="4" borderId="33" xfId="0" applyNumberFormat="1" applyFont="1" applyFill="1" applyBorder="1" applyAlignment="1" applyProtection="1">
      <alignment horizontal="right" vertical="center" wrapText="1"/>
      <protection locked="0"/>
    </xf>
    <xf numFmtId="3" fontId="4" fillId="4" borderId="34" xfId="0" applyNumberFormat="1" applyFont="1" applyFill="1" applyBorder="1" applyAlignment="1" applyProtection="1">
      <alignment horizontal="right" vertical="center" wrapText="1"/>
      <protection locked="0"/>
    </xf>
    <xf numFmtId="3" fontId="4" fillId="4" borderId="35" xfId="0" applyNumberFormat="1" applyFont="1" applyFill="1" applyBorder="1" applyAlignment="1" applyProtection="1">
      <alignment horizontal="right" vertical="center" wrapText="1"/>
      <protection locked="0"/>
    </xf>
    <xf numFmtId="0" fontId="30" fillId="0" borderId="0" xfId="0" applyFont="1" applyAlignment="1">
      <alignment vertical="top"/>
    </xf>
    <xf numFmtId="0" fontId="9" fillId="0" borderId="0" xfId="0" applyFont="1" applyAlignment="1">
      <alignment horizontal="center" vertical="center" wrapText="1"/>
    </xf>
    <xf numFmtId="0" fontId="5" fillId="0" borderId="0" xfId="1" applyAlignment="1" applyProtection="1">
      <alignment horizontal="center" vertical="center"/>
    </xf>
    <xf numFmtId="0" fontId="15" fillId="0" borderId="0" xfId="1" applyFont="1" applyAlignment="1" applyProtection="1">
      <alignment horizontal="center" vertical="center"/>
    </xf>
    <xf numFmtId="0" fontId="11" fillId="3" borderId="0" xfId="0" applyFont="1" applyFill="1"/>
    <xf numFmtId="0" fontId="12" fillId="3" borderId="0" xfId="0" applyFont="1" applyFill="1"/>
    <xf numFmtId="0" fontId="12" fillId="3" borderId="0" xfId="0" applyFont="1" applyFill="1" applyAlignment="1">
      <alignment horizontal="left" wrapText="1"/>
    </xf>
    <xf numFmtId="0" fontId="7" fillId="0" borderId="0" xfId="0" applyFont="1"/>
    <xf numFmtId="0" fontId="4" fillId="0" borderId="0" xfId="0" applyFont="1"/>
    <xf numFmtId="0" fontId="4" fillId="3" borderId="27"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5" xfId="0" applyFont="1" applyFill="1" applyBorder="1" applyAlignment="1">
      <alignment horizontal="center" vertical="center"/>
    </xf>
    <xf numFmtId="3" fontId="4" fillId="6" borderId="1" xfId="0" applyNumberFormat="1" applyFont="1" applyFill="1" applyBorder="1" applyAlignment="1">
      <alignment horizontal="center" vertical="center" wrapText="1"/>
    </xf>
    <xf numFmtId="3" fontId="4" fillId="6" borderId="2" xfId="0" applyNumberFormat="1" applyFont="1" applyFill="1" applyBorder="1" applyAlignment="1">
      <alignment horizontal="center" vertical="center" wrapText="1"/>
    </xf>
    <xf numFmtId="3" fontId="7" fillId="6" borderId="1" xfId="0" applyNumberFormat="1" applyFont="1" applyFill="1" applyBorder="1" applyAlignment="1">
      <alignment horizontal="center" vertical="center" wrapText="1"/>
    </xf>
    <xf numFmtId="3" fontId="4" fillId="6" borderId="10" xfId="0" applyNumberFormat="1" applyFont="1" applyFill="1" applyBorder="1" applyAlignment="1">
      <alignment horizontal="center" vertical="center" wrapText="1"/>
    </xf>
    <xf numFmtId="0" fontId="4" fillId="0" borderId="27" xfId="0" applyFont="1" applyBorder="1" applyAlignment="1">
      <alignment vertical="center"/>
    </xf>
    <xf numFmtId="0" fontId="4" fillId="0" borderId="5" xfId="0" applyFont="1" applyBorder="1" applyAlignment="1">
      <alignment vertical="center"/>
    </xf>
    <xf numFmtId="3" fontId="4" fillId="7" borderId="0" xfId="0" applyNumberFormat="1" applyFont="1" applyFill="1" applyAlignment="1">
      <alignment horizontal="right" vertical="center" wrapText="1"/>
    </xf>
    <xf numFmtId="3" fontId="7" fillId="7" borderId="27" xfId="0" applyNumberFormat="1" applyFont="1" applyFill="1" applyBorder="1" applyAlignment="1">
      <alignment horizontal="right" vertical="center" wrapText="1"/>
    </xf>
    <xf numFmtId="3" fontId="4" fillId="7" borderId="27" xfId="0" applyNumberFormat="1" applyFont="1" applyFill="1" applyBorder="1" applyAlignment="1">
      <alignment horizontal="right" vertical="center" wrapText="1"/>
    </xf>
    <xf numFmtId="0" fontId="4" fillId="7" borderId="36" xfId="0" applyFont="1" applyFill="1" applyBorder="1" applyAlignment="1">
      <alignment horizontal="left" vertical="center" wrapText="1"/>
    </xf>
    <xf numFmtId="3" fontId="4" fillId="4" borderId="37" xfId="0" applyNumberFormat="1" applyFont="1" applyFill="1" applyBorder="1" applyAlignment="1" applyProtection="1">
      <alignment horizontal="right" vertical="center" wrapText="1"/>
      <protection locked="0"/>
    </xf>
    <xf numFmtId="3" fontId="4" fillId="4" borderId="38" xfId="0" applyNumberFormat="1" applyFont="1" applyFill="1" applyBorder="1" applyAlignment="1" applyProtection="1">
      <alignment horizontal="right" vertical="center" wrapText="1"/>
      <protection locked="0"/>
    </xf>
    <xf numFmtId="3" fontId="4" fillId="2" borderId="23" xfId="0" applyNumberFormat="1" applyFont="1" applyFill="1" applyBorder="1" applyAlignment="1">
      <alignment horizontal="right" vertical="center" wrapText="1"/>
    </xf>
    <xf numFmtId="0" fontId="4" fillId="7" borderId="39" xfId="0" applyFont="1" applyFill="1" applyBorder="1" applyAlignment="1">
      <alignment horizontal="left" vertical="center" wrapText="1"/>
    </xf>
    <xf numFmtId="0" fontId="4" fillId="7" borderId="40" xfId="0" applyFont="1" applyFill="1" applyBorder="1" applyAlignment="1">
      <alignment horizontal="left" vertical="center" wrapText="1"/>
    </xf>
    <xf numFmtId="3" fontId="4" fillId="4" borderId="41" xfId="0" applyNumberFormat="1" applyFont="1" applyFill="1" applyBorder="1" applyAlignment="1" applyProtection="1">
      <alignment horizontal="right" vertical="center" wrapText="1"/>
      <protection locked="0"/>
    </xf>
    <xf numFmtId="3" fontId="4" fillId="4" borderId="42" xfId="0" applyNumberFormat="1" applyFont="1" applyFill="1" applyBorder="1" applyAlignment="1" applyProtection="1">
      <alignment horizontal="right" vertical="center" wrapText="1"/>
      <protection locked="0"/>
    </xf>
    <xf numFmtId="3" fontId="4" fillId="4" borderId="43" xfId="0" applyNumberFormat="1" applyFont="1" applyFill="1" applyBorder="1" applyAlignment="1" applyProtection="1">
      <alignment horizontal="right" vertical="center" wrapText="1"/>
      <protection locked="0"/>
    </xf>
    <xf numFmtId="3" fontId="4" fillId="4" borderId="44" xfId="0" applyNumberFormat="1" applyFont="1" applyFill="1" applyBorder="1" applyAlignment="1" applyProtection="1">
      <alignment horizontal="right" vertical="center" wrapText="1"/>
      <protection locked="0"/>
    </xf>
    <xf numFmtId="3" fontId="4" fillId="2" borderId="25" xfId="0" applyNumberFormat="1" applyFont="1" applyFill="1" applyBorder="1" applyAlignment="1">
      <alignment horizontal="right" vertical="center" wrapText="1"/>
    </xf>
    <xf numFmtId="0" fontId="7" fillId="8" borderId="1" xfId="0" applyFont="1" applyFill="1" applyBorder="1" applyAlignment="1">
      <alignment horizontal="left" vertical="center" wrapText="1"/>
    </xf>
    <xf numFmtId="3" fontId="7" fillId="2" borderId="1" xfId="8" applyNumberFormat="1" applyFont="1" applyFill="1" applyBorder="1" applyAlignment="1">
      <alignment horizontal="right" vertical="center" wrapText="1"/>
    </xf>
    <xf numFmtId="0" fontId="7" fillId="0" borderId="0" xfId="0" applyFont="1" applyAlignment="1">
      <alignment horizontal="left" vertical="center" wrapText="1"/>
    </xf>
    <xf numFmtId="3" fontId="33" fillId="0" borderId="0" xfId="0" applyNumberFormat="1" applyFont="1" applyAlignment="1">
      <alignment vertical="center" wrapText="1"/>
    </xf>
    <xf numFmtId="0" fontId="7" fillId="0" borderId="0" xfId="0" applyFont="1" applyAlignment="1">
      <alignment horizontal="left" vertical="center"/>
    </xf>
    <xf numFmtId="3" fontId="4" fillId="0" borderId="0" xfId="0" applyNumberFormat="1" applyFont="1" applyAlignment="1">
      <alignment vertical="center"/>
    </xf>
    <xf numFmtId="3" fontId="4" fillId="4" borderId="45" xfId="0" applyNumberFormat="1" applyFont="1" applyFill="1" applyBorder="1" applyAlignment="1" applyProtection="1">
      <alignment horizontal="right" vertical="center" wrapText="1"/>
      <protection locked="0"/>
    </xf>
    <xf numFmtId="3" fontId="4" fillId="0" borderId="0" xfId="0" applyNumberFormat="1" applyFont="1" applyAlignment="1">
      <alignment horizontal="right" vertical="center"/>
    </xf>
    <xf numFmtId="3" fontId="7" fillId="2" borderId="13" xfId="8" applyNumberFormat="1" applyFont="1" applyFill="1" applyBorder="1" applyAlignment="1">
      <alignment horizontal="right" vertical="center" wrapText="1"/>
    </xf>
    <xf numFmtId="3" fontId="7" fillId="2" borderId="12" xfId="0" applyNumberFormat="1" applyFont="1" applyFill="1" applyBorder="1" applyAlignment="1">
      <alignment horizontal="right" vertical="center" wrapText="1"/>
    </xf>
    <xf numFmtId="0" fontId="4" fillId="0" borderId="0" xfId="0" applyFont="1" applyAlignment="1">
      <alignment horizontal="left" vertical="top" wrapText="1"/>
    </xf>
    <xf numFmtId="0" fontId="7" fillId="9" borderId="37" xfId="0" applyFont="1" applyFill="1" applyBorder="1" applyAlignment="1">
      <alignment horizontal="center" vertical="center" wrapText="1"/>
    </xf>
    <xf numFmtId="0" fontId="7" fillId="9" borderId="1" xfId="0" applyFont="1" applyFill="1" applyBorder="1" applyAlignment="1">
      <alignment horizontal="center" vertical="center" wrapText="1"/>
    </xf>
    <xf numFmtId="0" fontId="4" fillId="9" borderId="17" xfId="0" applyFont="1" applyFill="1" applyBorder="1" applyAlignment="1">
      <alignment horizontal="left" vertical="center" wrapText="1"/>
    </xf>
    <xf numFmtId="0" fontId="7" fillId="10" borderId="37" xfId="0" applyFont="1" applyFill="1" applyBorder="1" applyAlignment="1">
      <alignment horizontal="right" vertical="center" wrapText="1"/>
    </xf>
    <xf numFmtId="3" fontId="7" fillId="2" borderId="22" xfId="0" applyNumberFormat="1" applyFont="1" applyFill="1" applyBorder="1" applyAlignment="1">
      <alignment horizontal="right" vertical="center" wrapText="1"/>
    </xf>
    <xf numFmtId="3" fontId="7" fillId="2" borderId="24" xfId="0" applyNumberFormat="1" applyFont="1" applyFill="1" applyBorder="1" applyAlignment="1">
      <alignment horizontal="right" vertical="center" wrapText="1"/>
    </xf>
    <xf numFmtId="0" fontId="7" fillId="2" borderId="2" xfId="0" applyFont="1" applyFill="1" applyBorder="1" applyAlignment="1">
      <alignment horizontal="left" vertical="center" wrapText="1"/>
    </xf>
    <xf numFmtId="0" fontId="7" fillId="2" borderId="8" xfId="0" applyFont="1" applyFill="1" applyBorder="1" applyAlignment="1">
      <alignment horizontal="right" vertical="center" wrapText="1"/>
    </xf>
    <xf numFmtId="0" fontId="7" fillId="2" borderId="2" xfId="0" applyFont="1" applyFill="1" applyBorder="1" applyAlignment="1">
      <alignment horizontal="right" vertical="center" wrapText="1"/>
    </xf>
    <xf numFmtId="0" fontId="7" fillId="2" borderId="1" xfId="0" applyFont="1" applyFill="1" applyBorder="1" applyAlignment="1">
      <alignment horizontal="right" vertical="center" wrapText="1"/>
    </xf>
    <xf numFmtId="3" fontId="34" fillId="0" borderId="0" xfId="0" applyNumberFormat="1" applyFont="1" applyAlignment="1">
      <alignment vertical="center" wrapText="1"/>
    </xf>
    <xf numFmtId="0" fontId="4" fillId="3" borderId="0" xfId="0" applyFont="1" applyFill="1" applyAlignment="1">
      <alignment horizontal="right" vertical="center"/>
    </xf>
    <xf numFmtId="9" fontId="4" fillId="0" borderId="0" xfId="0" applyNumberFormat="1" applyFont="1" applyAlignment="1">
      <alignment horizontal="right" vertical="center"/>
    </xf>
    <xf numFmtId="3" fontId="4" fillId="3" borderId="0" xfId="0" applyNumberFormat="1" applyFont="1" applyFill="1" applyAlignment="1">
      <alignment horizontal="right" vertical="center"/>
    </xf>
    <xf numFmtId="0" fontId="7" fillId="9" borderId="42" xfId="0" applyFont="1" applyFill="1" applyBorder="1" applyAlignment="1">
      <alignment horizontal="center" vertical="center" wrapText="1"/>
    </xf>
    <xf numFmtId="0" fontId="7" fillId="9" borderId="52" xfId="0" applyFont="1" applyFill="1" applyBorder="1" applyAlignment="1">
      <alignment horizontal="center" vertical="center" wrapText="1"/>
    </xf>
    <xf numFmtId="0" fontId="4" fillId="0" borderId="0" xfId="0" applyFont="1" applyAlignment="1">
      <alignment vertical="center" wrapText="1"/>
    </xf>
    <xf numFmtId="0" fontId="4" fillId="9" borderId="44" xfId="0" applyFont="1" applyFill="1" applyBorder="1" applyAlignment="1">
      <alignment horizontal="left" vertical="center" wrapText="1"/>
    </xf>
    <xf numFmtId="0" fontId="7" fillId="10" borderId="42" xfId="0" applyFont="1" applyFill="1" applyBorder="1" applyAlignment="1">
      <alignment horizontal="right" vertical="center" wrapText="1"/>
    </xf>
    <xf numFmtId="0" fontId="7" fillId="9" borderId="53" xfId="0" applyFont="1" applyFill="1" applyBorder="1" applyAlignment="1">
      <alignment horizontal="left" vertical="center" wrapText="1"/>
    </xf>
    <xf numFmtId="0" fontId="7" fillId="9" borderId="30" xfId="0" applyFont="1" applyFill="1" applyBorder="1" applyAlignment="1">
      <alignment horizontal="right" vertical="center" wrapText="1"/>
    </xf>
    <xf numFmtId="0" fontId="7" fillId="9" borderId="1" xfId="0" applyFont="1" applyFill="1" applyBorder="1" applyAlignment="1">
      <alignment horizontal="right" vertical="center" wrapText="1"/>
    </xf>
    <xf numFmtId="0" fontId="7" fillId="9" borderId="10" xfId="0" applyFont="1" applyFill="1" applyBorder="1" applyAlignment="1">
      <alignment horizontal="right" vertical="center" wrapText="1"/>
    </xf>
    <xf numFmtId="0" fontId="7" fillId="9" borderId="2" xfId="0" applyFont="1" applyFill="1" applyBorder="1" applyAlignment="1">
      <alignment horizontal="right" vertical="center" wrapText="1"/>
    </xf>
    <xf numFmtId="0" fontId="33" fillId="0" borderId="0" xfId="0" applyFont="1" applyAlignment="1" applyProtection="1">
      <alignment vertical="center" wrapText="1"/>
      <protection locked="0"/>
    </xf>
    <xf numFmtId="3" fontId="35" fillId="0" borderId="0" xfId="0" applyNumberFormat="1" applyFont="1" applyAlignment="1">
      <alignment horizontal="left" vertical="center" wrapText="1"/>
    </xf>
    <xf numFmtId="0" fontId="4" fillId="0" borderId="3" xfId="0" applyFont="1" applyBorder="1" applyAlignment="1">
      <alignment horizontal="center" vertical="center"/>
    </xf>
    <xf numFmtId="3" fontId="4" fillId="7" borderId="4" xfId="0" applyNumberFormat="1" applyFont="1" applyFill="1" applyBorder="1" applyAlignment="1">
      <alignment horizontal="right" vertical="center" wrapText="1"/>
    </xf>
    <xf numFmtId="3" fontId="4" fillId="7" borderId="5" xfId="0" applyNumberFormat="1" applyFont="1" applyFill="1" applyBorder="1" applyAlignment="1">
      <alignment horizontal="right" vertical="center" wrapText="1"/>
    </xf>
    <xf numFmtId="3" fontId="4" fillId="7" borderId="9" xfId="0" applyNumberFormat="1" applyFont="1" applyFill="1" applyBorder="1" applyAlignment="1">
      <alignment horizontal="right" vertical="center" wrapText="1"/>
    </xf>
    <xf numFmtId="0" fontId="4" fillId="2" borderId="54" xfId="0" applyFont="1" applyFill="1" applyBorder="1" applyAlignment="1">
      <alignment horizontal="left" vertical="center" wrapText="1"/>
    </xf>
    <xf numFmtId="0" fontId="4" fillId="7" borderId="54" xfId="0" applyFont="1" applyFill="1" applyBorder="1" applyAlignment="1">
      <alignment horizontal="left" vertical="center" wrapText="1"/>
    </xf>
    <xf numFmtId="3" fontId="4" fillId="4" borderId="55" xfId="0" applyNumberFormat="1" applyFont="1" applyFill="1" applyBorder="1" applyAlignment="1" applyProtection="1">
      <alignment horizontal="right" vertical="center" wrapText="1"/>
      <protection locked="0"/>
    </xf>
    <xf numFmtId="0" fontId="4" fillId="2" borderId="39" xfId="0" applyFont="1" applyFill="1" applyBorder="1" applyAlignment="1">
      <alignment horizontal="left" vertical="center" wrapText="1"/>
    </xf>
    <xf numFmtId="0" fontId="4" fillId="2" borderId="40" xfId="0" applyFont="1" applyFill="1" applyBorder="1" applyAlignment="1">
      <alignment horizontal="left" vertical="center" wrapText="1"/>
    </xf>
    <xf numFmtId="0" fontId="7" fillId="8" borderId="2" xfId="0" applyFont="1" applyFill="1" applyBorder="1" applyAlignment="1">
      <alignment horizontal="left" vertical="center" wrapText="1"/>
    </xf>
    <xf numFmtId="3" fontId="7" fillId="2" borderId="3" xfId="8" applyNumberFormat="1" applyFont="1" applyFill="1" applyBorder="1" applyAlignment="1">
      <alignment horizontal="right" vertical="center" wrapText="1"/>
    </xf>
    <xf numFmtId="3" fontId="7" fillId="2" borderId="12" xfId="8" applyNumberFormat="1" applyFont="1" applyFill="1" applyBorder="1" applyAlignment="1">
      <alignment horizontal="right" vertical="center" wrapText="1"/>
    </xf>
    <xf numFmtId="0" fontId="4" fillId="0" borderId="0" xfId="0" applyFont="1" applyAlignment="1">
      <alignment vertical="top" wrapText="1"/>
    </xf>
    <xf numFmtId="0" fontId="28" fillId="3" borderId="0" xfId="0" applyFont="1" applyFill="1" applyAlignment="1">
      <alignment horizontal="left" vertical="center" wrapText="1"/>
    </xf>
    <xf numFmtId="0" fontId="7" fillId="3" borderId="0" xfId="0" applyFont="1" applyFill="1" applyAlignment="1">
      <alignment horizontal="center" vertical="center" wrapText="1"/>
    </xf>
    <xf numFmtId="0" fontId="4" fillId="3" borderId="27" xfId="8" applyFill="1" applyBorder="1" applyAlignment="1">
      <alignment horizontal="center" vertical="center"/>
    </xf>
    <xf numFmtId="0" fontId="4" fillId="2" borderId="3" xfId="8" applyFill="1" applyBorder="1" applyAlignment="1">
      <alignment horizontal="center" vertical="center"/>
    </xf>
    <xf numFmtId="0" fontId="4" fillId="2" borderId="5" xfId="8" applyFill="1" applyBorder="1" applyAlignment="1">
      <alignment horizontal="center" vertical="center"/>
    </xf>
    <xf numFmtId="3" fontId="4" fillId="6" borderId="1" xfId="8" applyNumberFormat="1" applyFill="1" applyBorder="1" applyAlignment="1">
      <alignment horizontal="center" vertical="center" wrapText="1"/>
    </xf>
    <xf numFmtId="3" fontId="7" fillId="6" borderId="1" xfId="8" applyNumberFormat="1" applyFont="1" applyFill="1" applyBorder="1" applyAlignment="1">
      <alignment horizontal="center" vertical="center" wrapText="1"/>
    </xf>
    <xf numFmtId="0" fontId="4" fillId="0" borderId="27" xfId="8" applyBorder="1" applyAlignment="1">
      <alignment vertical="center"/>
    </xf>
    <xf numFmtId="0" fontId="4" fillId="0" borderId="5" xfId="8" applyBorder="1" applyAlignment="1">
      <alignment vertical="center"/>
    </xf>
    <xf numFmtId="3" fontId="4" fillId="7" borderId="0" xfId="8" applyNumberFormat="1" applyFill="1" applyAlignment="1">
      <alignment horizontal="right" vertical="center" wrapText="1"/>
    </xf>
    <xf numFmtId="3" fontId="7" fillId="7" borderId="0" xfId="8" applyNumberFormat="1" applyFont="1" applyFill="1" applyAlignment="1">
      <alignment horizontal="right" vertical="center" wrapText="1"/>
    </xf>
    <xf numFmtId="0" fontId="7" fillId="2" borderId="1" xfId="8" applyFont="1" applyFill="1" applyBorder="1" applyAlignment="1">
      <alignment horizontal="left" vertical="center" wrapText="1"/>
    </xf>
    <xf numFmtId="0" fontId="7" fillId="8" borderId="2" xfId="8" applyFont="1" applyFill="1" applyBorder="1" applyAlignment="1">
      <alignment horizontal="left" vertical="center" wrapText="1"/>
    </xf>
    <xf numFmtId="3" fontId="4" fillId="4" borderId="1" xfId="0" applyNumberFormat="1" applyFont="1" applyFill="1" applyBorder="1" applyAlignment="1" applyProtection="1">
      <alignment horizontal="right" vertical="center" wrapText="1"/>
      <protection locked="0"/>
    </xf>
    <xf numFmtId="3" fontId="4" fillId="2" borderId="1" xfId="0" applyNumberFormat="1" applyFont="1" applyFill="1" applyBorder="1" applyAlignment="1">
      <alignment horizontal="right" vertical="center" wrapText="1"/>
    </xf>
    <xf numFmtId="0" fontId="7" fillId="0" borderId="0" xfId="8" applyFont="1" applyAlignment="1">
      <alignment horizontal="left" vertical="center" wrapText="1"/>
    </xf>
    <xf numFmtId="3" fontId="33" fillId="0" borderId="0" xfId="8" applyNumberFormat="1" applyFont="1" applyAlignment="1">
      <alignment vertical="center" wrapText="1"/>
    </xf>
    <xf numFmtId="0" fontId="4" fillId="0" borderId="0" xfId="8" applyAlignment="1">
      <alignment vertical="center"/>
    </xf>
    <xf numFmtId="0" fontId="4" fillId="0" borderId="0" xfId="8" applyAlignment="1">
      <alignment horizontal="center" vertical="center"/>
    </xf>
    <xf numFmtId="3" fontId="4" fillId="0" borderId="0" xfId="8" applyNumberFormat="1" applyAlignment="1">
      <alignment vertical="center"/>
    </xf>
    <xf numFmtId="3" fontId="7" fillId="3" borderId="0" xfId="8" applyNumberFormat="1" applyFont="1" applyFill="1" applyAlignment="1">
      <alignment vertical="center" wrapText="1"/>
    </xf>
    <xf numFmtId="3" fontId="33" fillId="3" borderId="0" xfId="8" applyNumberFormat="1" applyFont="1" applyFill="1" applyAlignment="1">
      <alignment vertical="center" wrapText="1"/>
    </xf>
    <xf numFmtId="0" fontId="7" fillId="3" borderId="0" xfId="0" applyFont="1" applyFill="1" applyAlignment="1">
      <alignment horizontal="left" vertical="center" wrapText="1"/>
    </xf>
    <xf numFmtId="3" fontId="33" fillId="3" borderId="0" xfId="0" applyNumberFormat="1" applyFont="1" applyFill="1" applyAlignment="1">
      <alignment vertical="center" wrapText="1"/>
    </xf>
    <xf numFmtId="3" fontId="4" fillId="3" borderId="0" xfId="8" applyNumberFormat="1" applyFill="1" applyAlignment="1">
      <alignment horizontal="center" vertical="center" wrapText="1"/>
    </xf>
    <xf numFmtId="0" fontId="7" fillId="10" borderId="41" xfId="0" applyFont="1" applyFill="1" applyBorder="1" applyAlignment="1">
      <alignment horizontal="right" vertical="center" wrapText="1"/>
    </xf>
    <xf numFmtId="3" fontId="4" fillId="3" borderId="0" xfId="8" applyNumberFormat="1" applyFill="1" applyAlignment="1">
      <alignment horizontal="right" vertical="center" wrapText="1"/>
    </xf>
    <xf numFmtId="3" fontId="4" fillId="3" borderId="0" xfId="0" applyNumberFormat="1" applyFont="1" applyFill="1" applyAlignment="1">
      <alignment horizontal="center" vertical="center" wrapText="1"/>
    </xf>
    <xf numFmtId="3" fontId="7" fillId="3" borderId="0" xfId="0" applyNumberFormat="1" applyFont="1" applyFill="1" applyAlignment="1">
      <alignment horizontal="center" vertical="center" wrapText="1"/>
    </xf>
    <xf numFmtId="0" fontId="7" fillId="3" borderId="0" xfId="8" applyFont="1" applyFill="1" applyAlignment="1">
      <alignment horizontal="left" vertical="center" wrapText="1"/>
    </xf>
    <xf numFmtId="3" fontId="4" fillId="3" borderId="0" xfId="0" applyNumberFormat="1" applyFont="1" applyFill="1" applyAlignment="1" applyProtection="1">
      <alignment horizontal="right" vertical="center" wrapText="1"/>
      <protection locked="0"/>
    </xf>
    <xf numFmtId="3" fontId="4" fillId="3" borderId="0" xfId="0" applyNumberFormat="1" applyFont="1" applyFill="1" applyAlignment="1">
      <alignment horizontal="right" vertical="center" wrapText="1"/>
    </xf>
    <xf numFmtId="3" fontId="7" fillId="3" borderId="0" xfId="0" applyNumberFormat="1" applyFont="1" applyFill="1" applyAlignment="1">
      <alignment horizontal="right" vertical="center" wrapText="1"/>
    </xf>
    <xf numFmtId="3" fontId="34" fillId="0" borderId="0" xfId="8" applyNumberFormat="1" applyFont="1" applyAlignment="1">
      <alignment vertical="center" wrapText="1"/>
    </xf>
    <xf numFmtId="3" fontId="4" fillId="3" borderId="0" xfId="8" applyNumberFormat="1" applyFill="1" applyAlignment="1">
      <alignment vertical="center"/>
    </xf>
    <xf numFmtId="0" fontId="4" fillId="3" borderId="0" xfId="0" applyFont="1" applyFill="1" applyAlignment="1">
      <alignment horizontal="left" vertical="center" wrapText="1"/>
    </xf>
    <xf numFmtId="3" fontId="33" fillId="0" borderId="0" xfId="8" applyNumberFormat="1" applyFont="1" applyAlignment="1">
      <alignment horizontal="left" vertical="center" wrapText="1"/>
    </xf>
    <xf numFmtId="3" fontId="35" fillId="0" borderId="0" xfId="8" applyNumberFormat="1" applyFont="1" applyAlignment="1">
      <alignment horizontal="left" vertical="center" wrapText="1"/>
    </xf>
    <xf numFmtId="0" fontId="4" fillId="0" borderId="13" xfId="0" applyFont="1" applyBorder="1" applyAlignment="1">
      <alignment horizontal="center" vertical="center"/>
    </xf>
    <xf numFmtId="0" fontId="4" fillId="7" borderId="2" xfId="0" applyFont="1" applyFill="1" applyBorder="1" applyAlignment="1">
      <alignment horizontal="left" vertical="center" wrapText="1"/>
    </xf>
    <xf numFmtId="3" fontId="4" fillId="4" borderId="53" xfId="0" applyNumberFormat="1" applyFont="1" applyFill="1" applyBorder="1" applyAlignment="1" applyProtection="1">
      <alignment horizontal="right" vertical="center" wrapText="1"/>
      <protection locked="0"/>
    </xf>
    <xf numFmtId="3" fontId="4" fillId="4" borderId="31" xfId="0" applyNumberFormat="1" applyFont="1" applyFill="1" applyBorder="1" applyAlignment="1" applyProtection="1">
      <alignment horizontal="right" vertical="center" wrapText="1"/>
      <protection locked="0"/>
    </xf>
    <xf numFmtId="3" fontId="4" fillId="4" borderId="28" xfId="0" applyNumberFormat="1" applyFont="1" applyFill="1" applyBorder="1" applyAlignment="1" applyProtection="1">
      <alignment horizontal="right" vertical="center" wrapText="1"/>
      <protection locked="0"/>
    </xf>
    <xf numFmtId="3" fontId="4" fillId="4" borderId="29" xfId="0" applyNumberFormat="1" applyFont="1" applyFill="1" applyBorder="1" applyAlignment="1" applyProtection="1">
      <alignment horizontal="right" vertical="center" wrapText="1"/>
      <protection locked="0"/>
    </xf>
    <xf numFmtId="0" fontId="4" fillId="3" borderId="0" xfId="0" applyFont="1" applyFill="1" applyAlignment="1">
      <alignment horizontal="center" vertical="center" wrapText="1"/>
    </xf>
    <xf numFmtId="0" fontId="4" fillId="2" borderId="22" xfId="8" applyFill="1" applyBorder="1" applyAlignment="1">
      <alignment horizontal="left" vertical="center" wrapText="1"/>
    </xf>
    <xf numFmtId="0" fontId="4" fillId="7" borderId="36" xfId="8" applyFill="1" applyBorder="1" applyAlignment="1">
      <alignment horizontal="left" vertical="center" wrapText="1"/>
    </xf>
    <xf numFmtId="3" fontId="4" fillId="4" borderId="17" xfId="8" applyNumberFormat="1" applyFill="1" applyBorder="1" applyAlignment="1" applyProtection="1">
      <alignment horizontal="right" vertical="center" wrapText="1"/>
      <protection locked="0"/>
    </xf>
    <xf numFmtId="3" fontId="4" fillId="4" borderId="37" xfId="8" applyNumberFormat="1" applyFill="1" applyBorder="1" applyAlignment="1" applyProtection="1">
      <alignment horizontal="right" vertical="center" wrapText="1"/>
      <protection locked="0"/>
    </xf>
    <xf numFmtId="3" fontId="7" fillId="2" borderId="37" xfId="8" applyNumberFormat="1" applyFont="1" applyFill="1" applyBorder="1" applyAlignment="1">
      <alignment horizontal="right" vertical="center" wrapText="1"/>
    </xf>
    <xf numFmtId="3" fontId="4" fillId="2" borderId="17" xfId="8" applyNumberFormat="1" applyFill="1" applyBorder="1" applyAlignment="1">
      <alignment horizontal="right" vertical="center" wrapText="1"/>
    </xf>
    <xf numFmtId="0" fontId="4" fillId="2" borderId="23" xfId="8" applyFill="1" applyBorder="1" applyAlignment="1">
      <alignment horizontal="left" vertical="center" wrapText="1"/>
    </xf>
    <xf numFmtId="0" fontId="4" fillId="7" borderId="39" xfId="8" applyFill="1" applyBorder="1" applyAlignment="1">
      <alignment horizontal="left" vertical="center" wrapText="1"/>
    </xf>
    <xf numFmtId="3" fontId="4" fillId="4" borderId="44" xfId="8" applyNumberFormat="1" applyFill="1" applyBorder="1" applyAlignment="1" applyProtection="1">
      <alignment horizontal="right" vertical="center" wrapText="1"/>
      <protection locked="0"/>
    </xf>
    <xf numFmtId="3" fontId="4" fillId="4" borderId="42" xfId="8" applyNumberFormat="1" applyFill="1" applyBorder="1" applyAlignment="1" applyProtection="1">
      <alignment horizontal="right" vertical="center" wrapText="1"/>
      <protection locked="0"/>
    </xf>
    <xf numFmtId="3" fontId="7" fillId="2" borderId="42" xfId="8" applyNumberFormat="1" applyFont="1" applyFill="1" applyBorder="1" applyAlignment="1">
      <alignment horizontal="right" vertical="center" wrapText="1"/>
    </xf>
    <xf numFmtId="3" fontId="4" fillId="2" borderId="44" xfId="8" applyNumberFormat="1" applyFill="1" applyBorder="1" applyAlignment="1">
      <alignment horizontal="right" vertical="center" wrapText="1"/>
    </xf>
    <xf numFmtId="0" fontId="7" fillId="8" borderId="1" xfId="8" applyFont="1" applyFill="1" applyBorder="1" applyAlignment="1">
      <alignment horizontal="left" vertical="center" wrapText="1"/>
    </xf>
    <xf numFmtId="3" fontId="7" fillId="7" borderId="0" xfId="0" applyNumberFormat="1" applyFont="1" applyFill="1" applyAlignment="1">
      <alignment horizontal="right" vertical="center" wrapText="1"/>
    </xf>
    <xf numFmtId="3" fontId="7" fillId="2" borderId="17" xfId="0" applyNumberFormat="1" applyFont="1" applyFill="1" applyBorder="1" applyAlignment="1">
      <alignment horizontal="right" vertical="center" wrapText="1"/>
    </xf>
    <xf numFmtId="3" fontId="7" fillId="2" borderId="37" xfId="0" applyNumberFormat="1" applyFont="1" applyFill="1" applyBorder="1" applyAlignment="1">
      <alignment horizontal="right" vertical="center" wrapText="1"/>
    </xf>
    <xf numFmtId="3" fontId="7" fillId="2" borderId="42" xfId="0" applyNumberFormat="1" applyFont="1" applyFill="1" applyBorder="1" applyAlignment="1">
      <alignment horizontal="right" vertical="center" wrapText="1"/>
    </xf>
    <xf numFmtId="3" fontId="7" fillId="2" borderId="44" xfId="0" applyNumberFormat="1" applyFont="1" applyFill="1" applyBorder="1" applyAlignment="1">
      <alignment horizontal="right" vertical="center" wrapText="1"/>
    </xf>
    <xf numFmtId="0" fontId="4" fillId="0" borderId="0" xfId="8" applyAlignment="1">
      <alignment horizontal="left" vertical="center"/>
    </xf>
    <xf numFmtId="0" fontId="12" fillId="0" borderId="0" xfId="8" applyFont="1" applyAlignment="1">
      <alignment vertical="center"/>
    </xf>
    <xf numFmtId="3" fontId="12" fillId="0" borderId="0" xfId="8" applyNumberFormat="1" applyFont="1" applyAlignment="1">
      <alignment vertical="center"/>
    </xf>
    <xf numFmtId="0" fontId="7" fillId="0" borderId="0" xfId="0" applyFont="1" applyAlignment="1">
      <alignment vertical="center"/>
    </xf>
    <xf numFmtId="0" fontId="4" fillId="0" borderId="0" xfId="0" applyFont="1" applyAlignment="1">
      <alignment vertical="top"/>
    </xf>
    <xf numFmtId="0" fontId="23" fillId="0" borderId="0" xfId="0" applyFont="1" applyAlignment="1">
      <alignment horizontal="left" vertical="top" wrapText="1"/>
    </xf>
    <xf numFmtId="0" fontId="13" fillId="0" borderId="0" xfId="0" applyFont="1" applyAlignment="1">
      <alignment horizontal="left" vertical="top" wrapText="1"/>
    </xf>
    <xf numFmtId="0" fontId="10" fillId="0" borderId="0" xfId="0" applyFont="1" applyAlignment="1">
      <alignment horizontal="left" vertical="top" wrapText="1"/>
    </xf>
    <xf numFmtId="0" fontId="0" fillId="0" borderId="0" xfId="0" applyAlignment="1">
      <alignment horizontal="left" vertical="top" wrapText="1"/>
    </xf>
    <xf numFmtId="0" fontId="13" fillId="3" borderId="0" xfId="0" applyFont="1" applyFill="1" applyAlignment="1">
      <alignment horizontal="left" vertical="top" wrapText="1"/>
    </xf>
    <xf numFmtId="0" fontId="6" fillId="0" borderId="0" xfId="0" applyFont="1" applyAlignment="1">
      <alignment horizontal="left" vertical="top" wrapText="1"/>
    </xf>
    <xf numFmtId="0" fontId="31" fillId="0" borderId="0" xfId="0" applyFont="1" applyAlignment="1">
      <alignment horizontal="left" vertical="top" wrapText="1"/>
    </xf>
    <xf numFmtId="0" fontId="10" fillId="0" borderId="0" xfId="0" applyFont="1" applyAlignment="1">
      <alignment horizontal="justify" vertical="top"/>
    </xf>
    <xf numFmtId="0" fontId="10" fillId="0" borderId="0" xfId="0" applyFont="1" applyAlignment="1">
      <alignment vertical="top" wrapText="1"/>
    </xf>
    <xf numFmtId="0" fontId="36" fillId="0" borderId="0" xfId="0" applyFont="1" applyAlignment="1">
      <alignment horizontal="center" vertical="top"/>
    </xf>
    <xf numFmtId="0" fontId="6" fillId="0" borderId="0" xfId="0" applyFont="1" applyAlignment="1">
      <alignment vertical="top"/>
    </xf>
    <xf numFmtId="0" fontId="23" fillId="0" borderId="0" xfId="0" applyFont="1" applyAlignment="1">
      <alignment horizontal="justify" vertical="top"/>
    </xf>
    <xf numFmtId="3" fontId="4" fillId="6" borderId="53" xfId="0" applyNumberFormat="1" applyFont="1" applyFill="1" applyBorder="1" applyAlignment="1">
      <alignment horizontal="center" vertical="center" wrapText="1"/>
    </xf>
    <xf numFmtId="3" fontId="4" fillId="6" borderId="28" xfId="0" applyNumberFormat="1" applyFont="1" applyFill="1" applyBorder="1" applyAlignment="1">
      <alignment horizontal="center" vertical="center" wrapText="1"/>
    </xf>
    <xf numFmtId="3" fontId="4" fillId="6" borderId="29" xfId="0" applyNumberFormat="1" applyFont="1" applyFill="1" applyBorder="1" applyAlignment="1">
      <alignment horizontal="center" vertical="center" wrapText="1"/>
    </xf>
    <xf numFmtId="0" fontId="4" fillId="2" borderId="53" xfId="0" applyFont="1" applyFill="1" applyBorder="1" applyAlignment="1">
      <alignment horizontal="center" vertical="center" wrapText="1"/>
    </xf>
    <xf numFmtId="0" fontId="4" fillId="2" borderId="28" xfId="0" applyFont="1" applyFill="1" applyBorder="1" applyAlignment="1">
      <alignment horizontal="center" vertical="center" wrapText="1"/>
    </xf>
    <xf numFmtId="0" fontId="4" fillId="2" borderId="29" xfId="0" applyFont="1" applyFill="1" applyBorder="1" applyAlignment="1">
      <alignment horizontal="center" vertical="center" wrapText="1"/>
    </xf>
    <xf numFmtId="0" fontId="30" fillId="0" borderId="0" xfId="0" applyFont="1"/>
    <xf numFmtId="0" fontId="31" fillId="0" borderId="0" xfId="0" applyFont="1" applyAlignment="1">
      <alignment horizontal="left" wrapText="1"/>
    </xf>
    <xf numFmtId="0" fontId="13" fillId="0" borderId="0" xfId="0" applyFont="1" applyAlignment="1">
      <alignment vertical="top"/>
    </xf>
    <xf numFmtId="0" fontId="13" fillId="0" borderId="0" xfId="0" applyFont="1" applyAlignment="1">
      <alignment vertical="top" wrapText="1"/>
    </xf>
    <xf numFmtId="0" fontId="23" fillId="0" borderId="0" xfId="0" applyFont="1" applyAlignment="1">
      <alignment vertical="top"/>
    </xf>
    <xf numFmtId="0" fontId="36" fillId="0" borderId="0" xfId="0" applyFont="1" applyAlignment="1">
      <alignment vertical="top"/>
    </xf>
    <xf numFmtId="0" fontId="23" fillId="0" borderId="0" xfId="0" applyFont="1" applyAlignment="1">
      <alignment vertical="top" wrapText="1"/>
    </xf>
    <xf numFmtId="3" fontId="26" fillId="5" borderId="0" xfId="0" applyNumberFormat="1" applyFont="1" applyFill="1" applyAlignment="1">
      <alignment horizontal="right" vertical="center"/>
    </xf>
    <xf numFmtId="0" fontId="25" fillId="4" borderId="0" xfId="9" applyFont="1" applyFill="1" applyAlignment="1">
      <alignment horizontal="center" vertical="center" wrapText="1"/>
    </xf>
    <xf numFmtId="1" fontId="25" fillId="4" borderId="0" xfId="9" applyNumberFormat="1" applyFont="1" applyFill="1" applyAlignment="1">
      <alignment horizontal="center" vertical="center" wrapText="1"/>
    </xf>
    <xf numFmtId="0" fontId="25" fillId="4" borderId="0" xfId="9" applyFont="1" applyFill="1" applyAlignment="1">
      <alignment horizontal="center" vertical="center"/>
    </xf>
    <xf numFmtId="0" fontId="21" fillId="0" borderId="0" xfId="0" applyFont="1" applyProtection="1">
      <protection locked="0"/>
    </xf>
    <xf numFmtId="0" fontId="19" fillId="4" borderId="0" xfId="0" applyFont="1" applyFill="1" applyAlignment="1">
      <alignment horizontal="right"/>
    </xf>
    <xf numFmtId="3" fontId="0" fillId="0" borderId="0" xfId="0" applyNumberFormat="1"/>
    <xf numFmtId="3" fontId="7" fillId="2" borderId="39" xfId="0" applyNumberFormat="1" applyFont="1" applyFill="1" applyBorder="1" applyAlignment="1">
      <alignment horizontal="right" vertical="center" wrapText="1"/>
    </xf>
    <xf numFmtId="3" fontId="7" fillId="2" borderId="57" xfId="0" applyNumberFormat="1" applyFont="1" applyFill="1" applyBorder="1" applyAlignment="1">
      <alignment horizontal="right" vertical="center" wrapText="1"/>
    </xf>
    <xf numFmtId="3" fontId="7" fillId="2" borderId="58" xfId="0" applyNumberFormat="1" applyFont="1" applyFill="1" applyBorder="1" applyAlignment="1">
      <alignment horizontal="right" vertical="center" wrapText="1"/>
    </xf>
    <xf numFmtId="3" fontId="7" fillId="6" borderId="52" xfId="0" applyNumberFormat="1" applyFont="1" applyFill="1" applyBorder="1" applyAlignment="1">
      <alignment horizontal="center" vertical="center" wrapText="1"/>
    </xf>
    <xf numFmtId="3" fontId="4" fillId="6" borderId="52" xfId="0" applyNumberFormat="1" applyFont="1" applyFill="1" applyBorder="1" applyAlignment="1">
      <alignment horizontal="center" vertical="center" wrapText="1"/>
    </xf>
    <xf numFmtId="0" fontId="7" fillId="9" borderId="13" xfId="0" applyFont="1" applyFill="1" applyBorder="1" applyAlignment="1">
      <alignment horizontal="right" vertical="center" wrapText="1"/>
    </xf>
    <xf numFmtId="3" fontId="7" fillId="2" borderId="54" xfId="0" applyNumberFormat="1" applyFont="1" applyFill="1" applyBorder="1" applyAlignment="1">
      <alignment horizontal="right" vertical="center" wrapText="1"/>
    </xf>
    <xf numFmtId="3" fontId="7" fillId="2" borderId="8" xfId="0" applyNumberFormat="1" applyFont="1" applyFill="1" applyBorder="1" applyAlignment="1">
      <alignment horizontal="right" vertical="center" wrapText="1"/>
    </xf>
    <xf numFmtId="3" fontId="7" fillId="9" borderId="1" xfId="0" applyNumberFormat="1" applyFont="1" applyFill="1" applyBorder="1" applyAlignment="1">
      <alignment horizontal="right" vertical="center" wrapText="1"/>
    </xf>
    <xf numFmtId="0" fontId="4" fillId="10" borderId="38" xfId="0" applyFont="1" applyFill="1" applyBorder="1" applyAlignment="1" applyProtection="1">
      <alignment horizontal="right" vertical="center" wrapText="1"/>
      <protection locked="0"/>
    </xf>
    <xf numFmtId="0" fontId="4" fillId="10" borderId="17" xfId="0" applyFont="1" applyFill="1" applyBorder="1" applyAlignment="1" applyProtection="1">
      <alignment horizontal="right" vertical="center" wrapText="1"/>
      <protection locked="0"/>
    </xf>
    <xf numFmtId="0" fontId="4" fillId="10" borderId="37" xfId="0" applyFont="1" applyFill="1" applyBorder="1" applyAlignment="1" applyProtection="1">
      <alignment horizontal="right" vertical="center" wrapText="1"/>
      <protection locked="0"/>
    </xf>
    <xf numFmtId="0" fontId="4" fillId="10" borderId="55" xfId="0" applyFont="1" applyFill="1" applyBorder="1" applyAlignment="1" applyProtection="1">
      <alignment horizontal="right" vertical="center" wrapText="1"/>
      <protection locked="0"/>
    </xf>
    <xf numFmtId="0" fontId="4" fillId="10" borderId="18" xfId="0" applyFont="1" applyFill="1" applyBorder="1" applyAlignment="1" applyProtection="1">
      <alignment horizontal="right" vertical="center" wrapText="1"/>
      <protection locked="0"/>
    </xf>
    <xf numFmtId="0" fontId="38" fillId="11" borderId="0" xfId="0" applyFont="1" applyFill="1"/>
    <xf numFmtId="0" fontId="38" fillId="0" borderId="0" xfId="0" applyFont="1"/>
    <xf numFmtId="0" fontId="0" fillId="0" borderId="0" xfId="0" applyAlignment="1">
      <alignment wrapText="1"/>
    </xf>
    <xf numFmtId="0" fontId="38" fillId="11" borderId="0" xfId="0" applyFont="1" applyFill="1" applyAlignment="1">
      <alignment wrapText="1"/>
    </xf>
    <xf numFmtId="0" fontId="5" fillId="0" borderId="0" xfId="1" applyAlignment="1">
      <alignment vertical="top"/>
    </xf>
    <xf numFmtId="0" fontId="26" fillId="5" borderId="0" xfId="0" applyFont="1" applyFill="1" applyAlignment="1">
      <alignment horizontal="center" vertical="center"/>
    </xf>
    <xf numFmtId="0" fontId="0" fillId="0" borderId="0" xfId="0" applyAlignment="1">
      <alignment horizontal="center" vertical="center"/>
    </xf>
    <xf numFmtId="0" fontId="12" fillId="0" borderId="0" xfId="0" applyFont="1" applyAlignment="1">
      <alignment horizontal="left" vertical="center" wrapText="1"/>
    </xf>
    <xf numFmtId="0" fontId="12" fillId="0" borderId="0" xfId="0" applyFont="1" applyAlignment="1">
      <alignment horizontal="left"/>
    </xf>
    <xf numFmtId="0" fontId="12" fillId="3" borderId="0" xfId="0" applyFont="1" applyFill="1" applyAlignment="1">
      <alignment horizontal="left" wrapText="1"/>
    </xf>
    <xf numFmtId="0" fontId="11" fillId="0" borderId="0" xfId="0" applyFont="1" applyAlignment="1">
      <alignment horizontal="left" wrapText="1"/>
    </xf>
    <xf numFmtId="0" fontId="11" fillId="0" borderId="0" xfId="2" applyFont="1" applyAlignment="1">
      <alignment horizontal="left" vertical="center" wrapText="1"/>
    </xf>
    <xf numFmtId="0" fontId="11" fillId="0" borderId="0" xfId="0" applyFont="1"/>
    <xf numFmtId="0" fontId="11" fillId="0" borderId="0" xfId="0" applyFont="1" applyAlignment="1">
      <alignment horizontal="center" vertical="center"/>
    </xf>
    <xf numFmtId="0" fontId="9" fillId="2" borderId="3" xfId="0" applyFont="1" applyFill="1" applyBorder="1" applyAlignment="1">
      <alignment horizontal="center" vertical="center"/>
    </xf>
    <xf numFmtId="0" fontId="9" fillId="2" borderId="6" xfId="0" applyFont="1" applyFill="1" applyBorder="1" applyAlignment="1">
      <alignment horizontal="center" vertical="center"/>
    </xf>
    <xf numFmtId="0" fontId="9" fillId="2" borderId="12" xfId="0" applyFont="1" applyFill="1" applyBorder="1" applyAlignment="1">
      <alignment horizontal="center" vertical="center"/>
    </xf>
    <xf numFmtId="0" fontId="32" fillId="4" borderId="2" xfId="0" applyFont="1" applyFill="1" applyBorder="1" applyAlignment="1">
      <alignment horizontal="center" vertical="center"/>
    </xf>
    <xf numFmtId="0" fontId="32" fillId="4" borderId="8" xfId="0" applyFont="1" applyFill="1" applyBorder="1" applyAlignment="1">
      <alignment horizontal="center" vertical="center"/>
    </xf>
    <xf numFmtId="0" fontId="32" fillId="4" borderId="10" xfId="0" applyFont="1" applyFill="1" applyBorder="1" applyAlignment="1">
      <alignment horizontal="center" vertical="center"/>
    </xf>
    <xf numFmtId="0" fontId="6" fillId="4" borderId="2" xfId="0" applyFont="1" applyFill="1" applyBorder="1" applyAlignment="1">
      <alignment horizontal="center" vertical="center"/>
    </xf>
    <xf numFmtId="0" fontId="6" fillId="4" borderId="8" xfId="0" applyFont="1" applyFill="1" applyBorder="1" applyAlignment="1">
      <alignment horizontal="center" vertical="center"/>
    </xf>
    <xf numFmtId="0" fontId="6" fillId="4" borderId="10" xfId="0" applyFont="1" applyFill="1" applyBorder="1" applyAlignment="1">
      <alignment horizontal="center" vertical="center"/>
    </xf>
    <xf numFmtId="0" fontId="6" fillId="2" borderId="4" xfId="0" applyFont="1" applyFill="1" applyBorder="1" applyAlignment="1">
      <alignment horizontal="center" vertical="center"/>
    </xf>
    <xf numFmtId="0" fontId="6" fillId="2" borderId="7" xfId="0" applyFont="1" applyFill="1" applyBorder="1" applyAlignment="1">
      <alignment horizontal="center" vertical="center"/>
    </xf>
    <xf numFmtId="0" fontId="6" fillId="2" borderId="11" xfId="0" applyFont="1" applyFill="1" applyBorder="1" applyAlignment="1">
      <alignment horizontal="center" vertical="center"/>
    </xf>
    <xf numFmtId="0" fontId="18" fillId="2" borderId="5" xfId="0" applyFont="1" applyFill="1" applyBorder="1" applyAlignment="1">
      <alignment horizontal="center" vertical="center"/>
    </xf>
    <xf numFmtId="0" fontId="18" fillId="2" borderId="0" xfId="0" applyFont="1" applyFill="1" applyAlignment="1">
      <alignment horizontal="center" vertical="center"/>
    </xf>
    <xf numFmtId="0" fontId="18" fillId="2" borderId="9" xfId="0" applyFont="1" applyFill="1" applyBorder="1" applyAlignment="1">
      <alignment horizontal="center" vertical="center"/>
    </xf>
    <xf numFmtId="0" fontId="29" fillId="0" borderId="0" xfId="0" applyFont="1" applyAlignment="1">
      <alignment horizontal="left" wrapText="1"/>
    </xf>
    <xf numFmtId="0" fontId="12" fillId="0" borderId="0" xfId="0" applyFont="1" applyAlignment="1">
      <alignment horizontal="left" vertical="center"/>
    </xf>
    <xf numFmtId="0" fontId="12" fillId="0" borderId="2" xfId="0" applyFont="1" applyBorder="1" applyAlignment="1" applyProtection="1">
      <alignment horizontal="left" vertical="top" wrapText="1"/>
      <protection locked="0"/>
    </xf>
    <xf numFmtId="0" fontId="12" fillId="0" borderId="8" xfId="0" applyFont="1" applyBorder="1" applyAlignment="1" applyProtection="1">
      <alignment horizontal="left" vertical="top" wrapText="1"/>
      <protection locked="0"/>
    </xf>
    <xf numFmtId="0" fontId="12" fillId="0" borderId="10" xfId="0" applyFont="1" applyBorder="1" applyAlignment="1" applyProtection="1">
      <alignment horizontal="left" vertical="top" wrapText="1"/>
      <protection locked="0"/>
    </xf>
    <xf numFmtId="0" fontId="16" fillId="4" borderId="1" xfId="1" applyFont="1" applyFill="1" applyBorder="1" applyAlignment="1" applyProtection="1">
      <alignment horizontal="right" vertical="center"/>
      <protection locked="0"/>
    </xf>
    <xf numFmtId="0" fontId="12" fillId="4" borderId="1" xfId="0" applyFont="1" applyFill="1" applyBorder="1" applyAlignment="1" applyProtection="1">
      <alignment horizontal="right" vertical="center"/>
      <protection locked="0"/>
    </xf>
    <xf numFmtId="0" fontId="11" fillId="3" borderId="6" xfId="0" applyFont="1" applyFill="1" applyBorder="1" applyAlignment="1">
      <alignment horizontal="left" wrapText="1"/>
    </xf>
    <xf numFmtId="0" fontId="13" fillId="0" borderId="0" xfId="0" applyFont="1" applyAlignment="1">
      <alignment horizontal="justify" vertical="top"/>
    </xf>
    <xf numFmtId="0" fontId="6" fillId="0" borderId="0" xfId="0" applyFont="1" applyAlignment="1">
      <alignment horizontal="justify" vertical="top"/>
    </xf>
    <xf numFmtId="0" fontId="24" fillId="0" borderId="0" xfId="0" applyFont="1" applyAlignment="1">
      <alignment vertical="top"/>
    </xf>
    <xf numFmtId="0" fontId="10" fillId="0" borderId="0" xfId="0" applyFont="1" applyAlignment="1">
      <alignment horizontal="justify" vertical="top"/>
    </xf>
    <xf numFmtId="0" fontId="10" fillId="0" borderId="0" xfId="0" applyFont="1" applyAlignment="1">
      <alignment horizontal="justify"/>
    </xf>
    <xf numFmtId="0" fontId="13" fillId="0" borderId="0" xfId="0" applyFont="1" applyAlignment="1">
      <alignment horizontal="justify"/>
    </xf>
    <xf numFmtId="0" fontId="9" fillId="0" borderId="0" xfId="0" applyFont="1" applyAlignment="1">
      <alignment horizontal="center" vertical="center" wrapText="1"/>
    </xf>
    <xf numFmtId="0" fontId="24" fillId="2" borderId="2" xfId="0" applyFont="1" applyFill="1" applyBorder="1" applyAlignment="1">
      <alignment horizontal="left" vertical="center" wrapText="1"/>
    </xf>
    <xf numFmtId="0" fontId="24" fillId="2" borderId="8" xfId="0" applyFont="1" applyFill="1" applyBorder="1" applyAlignment="1">
      <alignment horizontal="left" vertical="center" wrapText="1"/>
    </xf>
    <xf numFmtId="0" fontId="24" fillId="2" borderId="10" xfId="0" applyFont="1" applyFill="1" applyBorder="1" applyAlignment="1">
      <alignment horizontal="left" vertical="center" wrapText="1"/>
    </xf>
    <xf numFmtId="0" fontId="7" fillId="2" borderId="37" xfId="0" applyFont="1" applyFill="1" applyBorder="1" applyAlignment="1">
      <alignment horizontal="center" vertical="center" wrapText="1"/>
    </xf>
    <xf numFmtId="0" fontId="7" fillId="2" borderId="56" xfId="0" applyFont="1" applyFill="1" applyBorder="1" applyAlignment="1">
      <alignment horizontal="center" vertical="center" wrapText="1"/>
    </xf>
    <xf numFmtId="0" fontId="7" fillId="2" borderId="38" xfId="0" applyFont="1" applyFill="1" applyBorder="1" applyAlignment="1">
      <alignment horizontal="center" vertical="center" wrapText="1"/>
    </xf>
    <xf numFmtId="3" fontId="0" fillId="0" borderId="37" xfId="0" applyNumberFormat="1" applyBorder="1" applyAlignment="1" applyProtection="1">
      <alignment horizontal="center" vertical="center"/>
      <protection locked="0"/>
    </xf>
    <xf numFmtId="3" fontId="0" fillId="0" borderId="56" xfId="0" applyNumberFormat="1" applyBorder="1" applyAlignment="1" applyProtection="1">
      <alignment horizontal="center" vertical="center"/>
      <protection locked="0"/>
    </xf>
    <xf numFmtId="3" fontId="0" fillId="0" borderId="38" xfId="0" applyNumberFormat="1" applyBorder="1" applyAlignment="1" applyProtection="1">
      <alignment horizontal="center" vertical="center"/>
      <protection locked="0"/>
    </xf>
    <xf numFmtId="0" fontId="7" fillId="2" borderId="2" xfId="0" applyFont="1" applyFill="1" applyBorder="1" applyAlignment="1">
      <alignment horizontal="center" vertical="center" wrapText="1"/>
    </xf>
    <xf numFmtId="0" fontId="7" fillId="2" borderId="8"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4" fillId="2" borderId="13" xfId="0" applyNumberFormat="1" applyFont="1" applyFill="1" applyBorder="1" applyAlignment="1">
      <alignment horizontal="center" vertical="center" wrapText="1"/>
    </xf>
    <xf numFmtId="3" fontId="4" fillId="2" borderId="2" xfId="0" applyNumberFormat="1" applyFont="1" applyFill="1" applyBorder="1" applyAlignment="1">
      <alignment horizontal="center" vertical="center" wrapText="1"/>
    </xf>
    <xf numFmtId="3" fontId="4" fillId="2" borderId="8" xfId="0" applyNumberFormat="1" applyFont="1" applyFill="1" applyBorder="1" applyAlignment="1">
      <alignment horizontal="center" vertical="center" wrapText="1"/>
    </xf>
    <xf numFmtId="3" fontId="4" fillId="2" borderId="10" xfId="0" applyNumberFormat="1" applyFont="1" applyFill="1" applyBorder="1" applyAlignment="1">
      <alignment horizontal="center" vertical="center" wrapText="1"/>
    </xf>
    <xf numFmtId="0" fontId="4" fillId="0" borderId="0" xfId="0" applyFont="1" applyAlignment="1">
      <alignment horizontal="left" vertical="center"/>
    </xf>
    <xf numFmtId="3" fontId="4" fillId="2" borderId="1" xfId="0" applyNumberFormat="1" applyFont="1" applyFill="1" applyBorder="1" applyAlignment="1">
      <alignment horizontal="center" vertical="center" wrapText="1"/>
    </xf>
    <xf numFmtId="0" fontId="4" fillId="0" borderId="0" xfId="0" applyFont="1" applyAlignment="1">
      <alignment vertical="center"/>
    </xf>
    <xf numFmtId="0" fontId="4" fillId="0" borderId="0" xfId="0" applyFont="1" applyAlignment="1">
      <alignment horizontal="left" vertical="top" wrapText="1"/>
    </xf>
    <xf numFmtId="3" fontId="7" fillId="2" borderId="2" xfId="0" applyNumberFormat="1" applyFont="1" applyFill="1" applyBorder="1" applyAlignment="1">
      <alignment horizontal="center" vertical="center" wrapText="1"/>
    </xf>
    <xf numFmtId="3" fontId="7" fillId="2" borderId="8" xfId="0" applyNumberFormat="1" applyFont="1" applyFill="1" applyBorder="1" applyAlignment="1">
      <alignment horizontal="center" vertical="center" wrapText="1"/>
    </xf>
    <xf numFmtId="3" fontId="7" fillId="2" borderId="10" xfId="0" applyNumberFormat="1" applyFont="1" applyFill="1" applyBorder="1" applyAlignment="1">
      <alignment horizontal="center" vertical="center" wrapText="1"/>
    </xf>
    <xf numFmtId="3" fontId="4" fillId="0" borderId="42" xfId="0" applyNumberFormat="1" applyFont="1" applyBorder="1" applyAlignment="1" applyProtection="1">
      <alignment vertical="center"/>
      <protection locked="0"/>
    </xf>
    <xf numFmtId="3" fontId="4" fillId="0" borderId="46" xfId="0" applyNumberFormat="1" applyFont="1" applyBorder="1" applyAlignment="1" applyProtection="1">
      <alignment vertical="center"/>
      <protection locked="0"/>
    </xf>
    <xf numFmtId="3" fontId="4" fillId="0" borderId="43" xfId="0" applyNumberFormat="1" applyFont="1" applyBorder="1" applyAlignment="1" applyProtection="1">
      <alignment vertical="center"/>
      <protection locked="0"/>
    </xf>
    <xf numFmtId="3" fontId="4" fillId="0" borderId="47" xfId="0" applyNumberFormat="1" applyFont="1" applyBorder="1" applyAlignment="1" applyProtection="1">
      <alignment vertical="center"/>
      <protection locked="0"/>
    </xf>
    <xf numFmtId="3" fontId="4" fillId="0" borderId="0" xfId="0" applyNumberFormat="1" applyFont="1" applyAlignment="1" applyProtection="1">
      <alignment vertical="center"/>
      <protection locked="0"/>
    </xf>
    <xf numFmtId="3" fontId="4" fillId="0" borderId="48" xfId="0" applyNumberFormat="1" applyFont="1" applyBorder="1" applyAlignment="1" applyProtection="1">
      <alignment vertical="center"/>
      <protection locked="0"/>
    </xf>
    <xf numFmtId="3" fontId="4" fillId="0" borderId="49" xfId="0" applyNumberFormat="1" applyFont="1" applyBorder="1" applyAlignment="1" applyProtection="1">
      <alignment vertical="center"/>
      <protection locked="0"/>
    </xf>
    <xf numFmtId="3" fontId="4" fillId="0" borderId="50" xfId="0" applyNumberFormat="1" applyFont="1" applyBorder="1" applyAlignment="1" applyProtection="1">
      <alignment vertical="center"/>
      <protection locked="0"/>
    </xf>
    <xf numFmtId="3" fontId="4" fillId="0" borderId="51" xfId="0" applyNumberFormat="1" applyFont="1" applyBorder="1" applyAlignment="1" applyProtection="1">
      <alignment vertical="center"/>
      <protection locked="0"/>
    </xf>
    <xf numFmtId="0" fontId="4" fillId="0" borderId="0" xfId="0" applyFont="1" applyAlignment="1">
      <alignment horizontal="left" vertical="center" wrapText="1"/>
    </xf>
    <xf numFmtId="0" fontId="4" fillId="0" borderId="0" xfId="0" applyFont="1" applyAlignment="1">
      <alignment horizontal="center" vertical="center" wrapText="1"/>
    </xf>
    <xf numFmtId="0" fontId="7" fillId="2" borderId="17" xfId="0" applyFont="1" applyFill="1" applyBorder="1" applyAlignment="1">
      <alignment horizontal="left" vertical="center" wrapText="1"/>
    </xf>
    <xf numFmtId="3" fontId="0" fillId="0" borderId="17" xfId="0" applyNumberFormat="1" applyBorder="1" applyAlignment="1" applyProtection="1">
      <alignment horizontal="left" vertical="center"/>
      <protection locked="0"/>
    </xf>
    <xf numFmtId="0" fontId="7" fillId="2" borderId="2" xfId="8" applyFont="1" applyFill="1" applyBorder="1" applyAlignment="1">
      <alignment horizontal="center" vertical="center" wrapText="1"/>
    </xf>
    <xf numFmtId="0" fontId="7" fillId="2" borderId="8" xfId="8" applyFont="1" applyFill="1" applyBorder="1" applyAlignment="1">
      <alignment horizontal="center" vertical="center" wrapText="1"/>
    </xf>
    <xf numFmtId="0" fontId="7" fillId="2" borderId="10" xfId="8" applyFont="1" applyFill="1" applyBorder="1" applyAlignment="1">
      <alignment horizontal="center" vertical="center" wrapText="1"/>
    </xf>
    <xf numFmtId="3" fontId="4" fillId="2" borderId="2" xfId="8" applyNumberFormat="1" applyFill="1" applyBorder="1" applyAlignment="1">
      <alignment horizontal="center" vertical="center" wrapText="1"/>
    </xf>
    <xf numFmtId="3" fontId="4" fillId="2" borderId="8" xfId="8" applyNumberFormat="1" applyFill="1" applyBorder="1" applyAlignment="1">
      <alignment horizontal="center" vertical="center" wrapText="1"/>
    </xf>
    <xf numFmtId="3" fontId="4" fillId="2" borderId="10" xfId="8" applyNumberFormat="1" applyFill="1" applyBorder="1" applyAlignment="1">
      <alignment horizontal="center" vertical="center" wrapText="1"/>
    </xf>
    <xf numFmtId="3" fontId="4" fillId="0" borderId="42" xfId="0" applyNumberFormat="1" applyFont="1" applyBorder="1" applyAlignment="1" applyProtection="1">
      <alignment horizontal="center" vertical="center"/>
      <protection locked="0"/>
    </xf>
    <xf numFmtId="3" fontId="4" fillId="0" borderId="46" xfId="0" applyNumberFormat="1" applyFont="1" applyBorder="1" applyAlignment="1" applyProtection="1">
      <alignment horizontal="center" vertical="center"/>
      <protection locked="0"/>
    </xf>
    <xf numFmtId="3" fontId="4" fillId="0" borderId="43" xfId="0" applyNumberFormat="1" applyFont="1" applyBorder="1" applyAlignment="1" applyProtection="1">
      <alignment horizontal="center" vertical="center"/>
      <protection locked="0"/>
    </xf>
    <xf numFmtId="3" fontId="4" fillId="0" borderId="47" xfId="0" applyNumberFormat="1" applyFont="1" applyBorder="1" applyAlignment="1" applyProtection="1">
      <alignment horizontal="center" vertical="center"/>
      <protection locked="0"/>
    </xf>
    <xf numFmtId="3" fontId="4" fillId="0" borderId="0" xfId="0" applyNumberFormat="1" applyFont="1" applyAlignment="1" applyProtection="1">
      <alignment horizontal="center" vertical="center"/>
      <protection locked="0"/>
    </xf>
    <xf numFmtId="3" fontId="4" fillId="0" borderId="48" xfId="0" applyNumberFormat="1" applyFont="1" applyBorder="1" applyAlignment="1" applyProtection="1">
      <alignment horizontal="center" vertical="center"/>
      <protection locked="0"/>
    </xf>
    <xf numFmtId="3" fontId="4" fillId="0" borderId="49" xfId="0" applyNumberFormat="1" applyFont="1" applyBorder="1" applyAlignment="1" applyProtection="1">
      <alignment horizontal="center" vertical="center"/>
      <protection locked="0"/>
    </xf>
    <xf numFmtId="3" fontId="4" fillId="0" borderId="50" xfId="0" applyNumberFormat="1" applyFont="1" applyBorder="1" applyAlignment="1" applyProtection="1">
      <alignment horizontal="center" vertical="center"/>
      <protection locked="0"/>
    </xf>
    <xf numFmtId="3" fontId="4" fillId="0" borderId="51" xfId="0" applyNumberFormat="1" applyFont="1" applyBorder="1" applyAlignment="1" applyProtection="1">
      <alignment horizontal="center" vertical="center"/>
      <protection locked="0"/>
    </xf>
    <xf numFmtId="0" fontId="0" fillId="0" borderId="17" xfId="0" applyBorder="1" applyAlignment="1" applyProtection="1">
      <alignment horizontal="center" vertical="center"/>
      <protection locked="0"/>
    </xf>
    <xf numFmtId="3" fontId="4" fillId="3" borderId="0" xfId="0" applyNumberFormat="1" applyFont="1" applyFill="1" applyAlignment="1">
      <alignment horizontal="center" vertical="center" wrapText="1"/>
    </xf>
    <xf numFmtId="0" fontId="24" fillId="2" borderId="2" xfId="0" applyFont="1" applyFill="1" applyBorder="1" applyAlignment="1">
      <alignment horizontal="left" vertical="center"/>
    </xf>
    <xf numFmtId="0" fontId="24" fillId="2" borderId="8" xfId="0" applyFont="1" applyFill="1" applyBorder="1" applyAlignment="1">
      <alignment horizontal="left" vertical="center"/>
    </xf>
    <xf numFmtId="0" fontId="24" fillId="2" borderId="10" xfId="0" applyFont="1" applyFill="1" applyBorder="1" applyAlignment="1">
      <alignment horizontal="left" vertical="center"/>
    </xf>
  </cellXfs>
  <cellStyles count="10">
    <cellStyle name="Hyperlink" xfId="1" builtinId="8"/>
    <cellStyle name="Normal" xfId="0" builtinId="0"/>
    <cellStyle name="Normal 2" xfId="3" xr:uid="{00000000-0005-0000-0000-000002000000}"/>
    <cellStyle name="Normal 2 2" xfId="7" xr:uid="{3BC43EFE-D6AD-438D-8071-A9164F501829}"/>
    <cellStyle name="Normal 2 3" xfId="8" xr:uid="{7B25A088-43CB-44B8-94C4-EA1BEC55ECF0}"/>
    <cellStyle name="Normal 2 3 2" xfId="9" xr:uid="{46603D03-49C4-43C3-B826-CEFE68741D85}"/>
    <cellStyle name="Normal 3" xfId="4" xr:uid="{00000000-0005-0000-0000-000003000000}"/>
    <cellStyle name="Normal 4" xfId="5" xr:uid="{00000000-0005-0000-0000-000004000000}"/>
    <cellStyle name="Normal 5" xfId="6" xr:uid="{00000000-0005-0000-0000-000005000000}"/>
    <cellStyle name="Normal_Prov Indicators Index" xfId="2" xr:uid="{00000000-0005-0000-0000-000006000000}"/>
  </cellStyles>
  <dxfs count="35">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b/>
        <i val="0"/>
        <color rgb="FFFF0000"/>
      </font>
      <fill>
        <patternFill>
          <bgColor rgb="FFFFC000"/>
        </patternFill>
      </fill>
    </dxf>
    <dxf>
      <font>
        <b/>
        <i val="0"/>
        <color rgb="FFFF0000"/>
      </font>
      <fill>
        <patternFill>
          <bgColor rgb="FFFFC000"/>
        </patternFill>
      </fill>
    </dxf>
    <dxf>
      <font>
        <color rgb="FF9C5700"/>
      </font>
      <fill>
        <patternFill>
          <bgColor rgb="FFFFEB9C"/>
        </patternFill>
      </fill>
    </dxf>
  </dxfs>
  <tableStyles count="0" defaultTableStyle="TableStyleMedium2" defaultPivotStyle="PivotStyleLight16"/>
  <colors>
    <mruColors>
      <color rgb="FFFFFF66"/>
      <color rgb="FFFFFF99"/>
      <color rgb="FFFFFFCC"/>
      <color rgb="FFCC99FF"/>
      <color rgb="FFFFCCFF"/>
      <color rgb="FF8F23B3"/>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ustomXml" Target="../customXml/item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28" Type="http://schemas.openxmlformats.org/officeDocument/2006/relationships/customXml" Target="../customXml/item4.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22411</xdr:colOff>
      <xdr:row>0</xdr:row>
      <xdr:rowOff>22413</xdr:rowOff>
    </xdr:from>
    <xdr:to>
      <xdr:col>1</xdr:col>
      <xdr:colOff>840441</xdr:colOff>
      <xdr:row>4</xdr:row>
      <xdr:rowOff>130250</xdr:rowOff>
    </xdr:to>
    <xdr:pic>
      <xdr:nvPicPr>
        <xdr:cNvPr id="3" name="Picture 2" descr="Home-Office_RGB_AW">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rcRect/>
        <a:stretch>
          <a:fillRect/>
        </a:stretch>
      </xdr:blipFill>
      <xdr:spPr bwMode="auto">
        <a:xfrm>
          <a:off x="22411" y="22413"/>
          <a:ext cx="2065618" cy="877793"/>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55335</xdr:rowOff>
    </xdr:to>
    <xdr:pic>
      <xdr:nvPicPr>
        <xdr:cNvPr id="2" name="Picture 1" descr="Home-Office_RGB_AW">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cstate="print"/>
        <a:srcRect/>
        <a:stretch>
          <a:fillRect/>
        </a:stretch>
      </xdr:blipFill>
      <xdr:spPr bwMode="auto">
        <a:xfrm>
          <a:off x="68036" y="54428"/>
          <a:ext cx="2558143" cy="1251857"/>
        </a:xfrm>
        <a:prstGeom prst="rect">
          <a:avLst/>
        </a:prstGeom>
        <a:noFill/>
        <a:ln w="9525">
          <a:noFill/>
          <a:miter lim="800000"/>
          <a:headEnd/>
          <a:tailEn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55335</xdr:rowOff>
    </xdr:to>
    <xdr:pic>
      <xdr:nvPicPr>
        <xdr:cNvPr id="2" name="Picture 1" descr="Home-Office_RGB_AW">
          <a:extLst>
            <a:ext uri="{FF2B5EF4-FFF2-40B4-BE49-F238E27FC236}">
              <a16:creationId xmlns:a16="http://schemas.microsoft.com/office/drawing/2014/main" id="{A6C35E3A-5827-44BB-B050-6F362F6DF1EF}"/>
            </a:ext>
          </a:extLst>
        </xdr:cNvPr>
        <xdr:cNvPicPr/>
      </xdr:nvPicPr>
      <xdr:blipFill>
        <a:blip xmlns:r="http://schemas.openxmlformats.org/officeDocument/2006/relationships" r:embed="rId1" cstate="print"/>
        <a:srcRect/>
        <a:stretch>
          <a:fillRect/>
        </a:stretch>
      </xdr:blipFill>
      <xdr:spPr bwMode="auto">
        <a:xfrm>
          <a:off x="64861" y="54428"/>
          <a:ext cx="2561318" cy="1229632"/>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3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316140</xdr:colOff>
      <xdr:row>3</xdr:row>
      <xdr:rowOff>63590</xdr:rowOff>
    </xdr:to>
    <xdr:pic>
      <xdr:nvPicPr>
        <xdr:cNvPr id="2" name="Picture 1" descr="Home-Office_RGB_AW">
          <a:extLst>
            <a:ext uri="{FF2B5EF4-FFF2-40B4-BE49-F238E27FC236}">
              <a16:creationId xmlns:a16="http://schemas.microsoft.com/office/drawing/2014/main" id="{471E2378-3402-4B8B-A9A5-035A704270A9}"/>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59145</xdr:rowOff>
    </xdr:to>
    <xdr:pic>
      <xdr:nvPicPr>
        <xdr:cNvPr id="2" name="Picture 1" descr="Home-Office_RGB_AW">
          <a:extLst>
            <a:ext uri="{FF2B5EF4-FFF2-40B4-BE49-F238E27FC236}">
              <a16:creationId xmlns:a16="http://schemas.microsoft.com/office/drawing/2014/main" id="{00000000-0008-0000-04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314779</xdr:colOff>
      <xdr:row>3</xdr:row>
      <xdr:rowOff>59145</xdr:rowOff>
    </xdr:to>
    <xdr:pic>
      <xdr:nvPicPr>
        <xdr:cNvPr id="2" name="Picture 1" descr="Home-Office_RGB_AW">
          <a:extLst>
            <a:ext uri="{FF2B5EF4-FFF2-40B4-BE49-F238E27FC236}">
              <a16:creationId xmlns:a16="http://schemas.microsoft.com/office/drawing/2014/main" id="{D8254954-FBEF-4D6E-A6DD-64B9B595FFC5}"/>
            </a:ext>
          </a:extLst>
        </xdr:cNvPr>
        <xdr:cNvPicPr/>
      </xdr:nvPicPr>
      <xdr:blipFill>
        <a:blip xmlns:r="http://schemas.openxmlformats.org/officeDocument/2006/relationships" r:embed="rId1" cstate="print"/>
        <a:srcRect/>
        <a:stretch>
          <a:fillRect/>
        </a:stretch>
      </xdr:blipFill>
      <xdr:spPr bwMode="auto">
        <a:xfrm>
          <a:off x="64861" y="54428"/>
          <a:ext cx="2561318" cy="1233442"/>
        </a:xfrm>
        <a:prstGeom prst="rect">
          <a:avLst/>
        </a:prstGeom>
        <a:noFill/>
        <a:ln w="9525">
          <a:noFill/>
          <a:miter lim="800000"/>
          <a:headEnd/>
          <a:tailEnd/>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0</xdr:col>
      <xdr:colOff>2626179</xdr:colOff>
      <xdr:row>3</xdr:row>
      <xdr:rowOff>60415</xdr:rowOff>
    </xdr:to>
    <xdr:pic>
      <xdr:nvPicPr>
        <xdr:cNvPr id="2" name="Picture 1" descr="Home-Office_RGB_AW">
          <a:extLst>
            <a:ext uri="{FF2B5EF4-FFF2-40B4-BE49-F238E27FC236}">
              <a16:creationId xmlns:a16="http://schemas.microsoft.com/office/drawing/2014/main" id="{00000000-0008-0000-0500-000002000000}"/>
            </a:ext>
          </a:extLst>
        </xdr:cNvPr>
        <xdr:cNvPicPr/>
      </xdr:nvPicPr>
      <xdr:blipFill>
        <a:blip xmlns:r="http://schemas.openxmlformats.org/officeDocument/2006/relationships" r:embed="rId1" cstate="print"/>
        <a:srcRect/>
        <a:stretch>
          <a:fillRect/>
        </a:stretch>
      </xdr:blipFill>
      <xdr:spPr bwMode="auto">
        <a:xfrm>
          <a:off x="68036" y="54428"/>
          <a:ext cx="2558143" cy="1242332"/>
        </a:xfrm>
        <a:prstGeom prst="rect">
          <a:avLst/>
        </a:prstGeom>
        <a:noFill/>
        <a:ln w="9525">
          <a:noFill/>
          <a:miter lim="800000"/>
          <a:headEnd/>
          <a:tailEnd/>
        </a:ln>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68036</xdr:colOff>
      <xdr:row>0</xdr:row>
      <xdr:rowOff>54428</xdr:rowOff>
    </xdr:from>
    <xdr:to>
      <xdr:col>3</xdr:col>
      <xdr:colOff>292554</xdr:colOff>
      <xdr:row>3</xdr:row>
      <xdr:rowOff>63590</xdr:rowOff>
    </xdr:to>
    <xdr:pic>
      <xdr:nvPicPr>
        <xdr:cNvPr id="2" name="Picture 1" descr="Home-Office_RGB_AW">
          <a:extLst>
            <a:ext uri="{FF2B5EF4-FFF2-40B4-BE49-F238E27FC236}">
              <a16:creationId xmlns:a16="http://schemas.microsoft.com/office/drawing/2014/main" id="{4332D600-1604-4CC4-862E-9069C0A4A702}"/>
            </a:ext>
          </a:extLst>
        </xdr:cNvPr>
        <xdr:cNvPicPr/>
      </xdr:nvPicPr>
      <xdr:blipFill>
        <a:blip xmlns:r="http://schemas.openxmlformats.org/officeDocument/2006/relationships" r:embed="rId1" cstate="print"/>
        <a:srcRect/>
        <a:stretch>
          <a:fillRect/>
        </a:stretch>
      </xdr:blipFill>
      <xdr:spPr bwMode="auto">
        <a:xfrm>
          <a:off x="64861" y="54428"/>
          <a:ext cx="2561318" cy="1237887"/>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khomeoffice.sharepoint.com/TMS/DomGroup/ASD-ETHOS30/Fire%20Stats/003%20Fire%20Operational%20Statistics/2021_22/Template%20creation/FS_Avon_2021_22_SL_DRAF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A check thresholds"/>
      <sheetName val="Cover"/>
      <sheetName val="FS1"/>
      <sheetName val="FS1 v2"/>
      <sheetName val="FS1 2020-21"/>
      <sheetName val="FS2"/>
      <sheetName val="FS2 2020-21"/>
      <sheetName val="FS6a"/>
      <sheetName val="FS6a 2020-21"/>
      <sheetName val="FS6b"/>
      <sheetName val="FS6b 2020-21"/>
      <sheetName val="FS7"/>
      <sheetName val="FS7 2020-21"/>
      <sheetName val="FS8a"/>
      <sheetName val="FS8a 2020-21"/>
      <sheetName val="FS8b"/>
      <sheetName val="FS8b 2020-21"/>
      <sheetName val="FS8c"/>
      <sheetName val="FS8c 2020-21"/>
      <sheetName val="FS8d"/>
      <sheetName val="FS8d 2020-21"/>
      <sheetName val="FS9"/>
      <sheetName val="FS9 2020-21"/>
      <sheetName val="FS10"/>
      <sheetName val="FS10 2020-21"/>
      <sheetName val="Guidance"/>
      <sheetName val="FS1819"/>
      <sheetName val="FS1920"/>
      <sheetName val="Checks"/>
      <sheetName val="TO DELETE Checks v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nalysisfunction.civilservice.gov.uk/policy-store/gender-identity-data-harmonisation-guidance/"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2:I402"/>
  <sheetViews>
    <sheetView showGridLines="0" tabSelected="1" zoomScale="85" zoomScaleNormal="85" workbookViewId="0">
      <selection activeCell="A34" sqref="A34:F34"/>
    </sheetView>
  </sheetViews>
  <sheetFormatPr defaultColWidth="9.28515625" defaultRowHeight="15" customHeight="1"/>
  <cols>
    <col min="1" max="1" width="17.7109375" style="28" customWidth="1"/>
    <col min="2" max="2" width="20.5703125" style="28" customWidth="1"/>
    <col min="3" max="3" width="34.28515625" style="28" customWidth="1"/>
    <col min="4" max="6" width="20.7109375" style="28" customWidth="1"/>
    <col min="7" max="7" width="3.5703125" style="28" hidden="1" customWidth="1"/>
    <col min="8" max="9" width="18.5703125" style="28" customWidth="1"/>
    <col min="10" max="16384" width="9.28515625" style="28"/>
  </cols>
  <sheetData>
    <row r="2" spans="1:9" ht="15" customHeight="1">
      <c r="C2" s="284"/>
      <c r="D2" s="284"/>
      <c r="E2" s="284"/>
      <c r="F2" s="284"/>
      <c r="G2" s="284"/>
    </row>
    <row r="3" spans="1:9" ht="15" customHeight="1">
      <c r="C3" s="285"/>
      <c r="D3" s="285"/>
      <c r="E3" s="285"/>
      <c r="F3" s="285"/>
      <c r="G3" s="285"/>
    </row>
    <row r="4" spans="1:9" ht="15" customHeight="1">
      <c r="C4" s="285"/>
      <c r="D4" s="285"/>
      <c r="E4" s="285"/>
      <c r="F4" s="285"/>
      <c r="G4" s="285"/>
    </row>
    <row r="5" spans="1:9" ht="15" customHeight="1" thickBot="1"/>
    <row r="6" spans="1:9" s="30" customFormat="1" ht="15" customHeight="1">
      <c r="A6" s="295" t="s">
        <v>123</v>
      </c>
      <c r="B6" s="296"/>
      <c r="C6" s="296"/>
      <c r="D6" s="296"/>
      <c r="E6" s="296"/>
      <c r="F6" s="297"/>
      <c r="G6" s="29"/>
      <c r="H6" s="29"/>
      <c r="I6" s="29"/>
    </row>
    <row r="7" spans="1:9" s="30" customFormat="1" ht="20.100000000000001" customHeight="1">
      <c r="A7" s="298" t="s">
        <v>1</v>
      </c>
      <c r="B7" s="299"/>
      <c r="C7" s="299"/>
      <c r="D7" s="299"/>
      <c r="E7" s="299"/>
      <c r="F7" s="300"/>
      <c r="G7" s="29"/>
      <c r="H7" s="29"/>
      <c r="I7" s="29"/>
    </row>
    <row r="8" spans="1:9" s="30" customFormat="1" ht="18" customHeight="1" thickBot="1">
      <c r="A8" s="286" t="s">
        <v>2</v>
      </c>
      <c r="B8" s="287"/>
      <c r="C8" s="287"/>
      <c r="D8" s="287"/>
      <c r="E8" s="287"/>
      <c r="F8" s="288"/>
      <c r="G8" s="29"/>
      <c r="H8" s="29"/>
      <c r="I8" s="29"/>
    </row>
    <row r="9" spans="1:9" ht="8.1" customHeight="1" thickBot="1"/>
    <row r="10" spans="1:9" ht="25.15" customHeight="1" thickBot="1">
      <c r="A10" s="289" t="str">
        <f>VLOOKUP(B250,B251:D316,2,FALSE)</f>
        <v>Shropshire</v>
      </c>
      <c r="B10" s="290"/>
      <c r="C10" s="290"/>
      <c r="D10" s="290"/>
      <c r="E10" s="290"/>
      <c r="F10" s="291"/>
    </row>
    <row r="11" spans="1:9" ht="18" customHeight="1" thickBot="1">
      <c r="A11" s="292" t="str">
        <f>VLOOKUP(B250,B251:D316,3,FALSE)</f>
        <v>E31000032</v>
      </c>
      <c r="B11" s="293"/>
      <c r="C11" s="293"/>
      <c r="D11" s="293"/>
      <c r="E11" s="293"/>
      <c r="F11" s="294"/>
    </row>
    <row r="12" spans="1:9" ht="8.1" customHeight="1"/>
    <row r="13" spans="1:9" ht="8.1" customHeight="1">
      <c r="A13" s="31"/>
      <c r="B13" s="31"/>
      <c r="C13" s="31"/>
      <c r="D13" s="31"/>
      <c r="E13" s="31"/>
      <c r="F13" s="31"/>
      <c r="G13" s="31"/>
      <c r="H13" s="31"/>
      <c r="I13" s="31"/>
    </row>
    <row r="14" spans="1:9" ht="15" customHeight="1">
      <c r="A14" s="32" t="s">
        <v>3</v>
      </c>
      <c r="B14" s="283" t="s">
        <v>4</v>
      </c>
      <c r="C14" s="283"/>
      <c r="D14" s="283"/>
      <c r="E14" s="283"/>
      <c r="F14" s="283"/>
      <c r="G14" s="57"/>
      <c r="H14" s="57"/>
      <c r="I14" s="57"/>
    </row>
    <row r="15" spans="1:9" s="34" customFormat="1" ht="15" customHeight="1">
      <c r="A15" s="78" t="s">
        <v>5</v>
      </c>
      <c r="B15" s="280" t="s">
        <v>6</v>
      </c>
      <c r="C15" s="280"/>
      <c r="D15" s="280"/>
      <c r="E15" s="280"/>
      <c r="F15" s="280"/>
      <c r="G15" s="33"/>
      <c r="H15" s="33"/>
      <c r="I15" s="33"/>
    </row>
    <row r="16" spans="1:9" s="34" customFormat="1" ht="15" customHeight="1">
      <c r="A16" s="78" t="s">
        <v>7</v>
      </c>
      <c r="B16" s="280" t="s">
        <v>8</v>
      </c>
      <c r="C16" s="280"/>
      <c r="D16" s="280"/>
      <c r="E16" s="280"/>
      <c r="F16" s="280"/>
      <c r="G16" s="33"/>
      <c r="H16" s="33"/>
      <c r="I16" s="33"/>
    </row>
    <row r="17" spans="1:9" s="34" customFormat="1" ht="15" customHeight="1">
      <c r="A17" s="78" t="s">
        <v>9</v>
      </c>
      <c r="B17" s="280" t="s">
        <v>10</v>
      </c>
      <c r="C17" s="280"/>
      <c r="D17" s="280"/>
      <c r="E17" s="280"/>
      <c r="F17" s="280"/>
      <c r="G17" s="33"/>
      <c r="H17" s="33"/>
      <c r="I17" s="33"/>
    </row>
    <row r="18" spans="1:9" s="34" customFormat="1" ht="15" customHeight="1">
      <c r="A18" s="78" t="s">
        <v>11</v>
      </c>
      <c r="B18" s="280" t="s">
        <v>12</v>
      </c>
      <c r="C18" s="280"/>
      <c r="D18" s="280"/>
      <c r="E18" s="280"/>
      <c r="F18" s="280"/>
      <c r="G18" s="33"/>
      <c r="H18" s="33"/>
      <c r="I18" s="33"/>
    </row>
    <row r="19" spans="1:9" s="34" customFormat="1" ht="15" customHeight="1">
      <c r="A19" s="78" t="s">
        <v>13</v>
      </c>
      <c r="B19" s="280" t="s">
        <v>14</v>
      </c>
      <c r="C19" s="280"/>
      <c r="D19" s="280"/>
      <c r="E19" s="280"/>
      <c r="F19" s="280"/>
      <c r="G19" s="33"/>
      <c r="H19" s="33"/>
      <c r="I19" s="33"/>
    </row>
    <row r="20" spans="1:9" s="34" customFormat="1" ht="15" customHeight="1">
      <c r="A20" s="78" t="s">
        <v>15</v>
      </c>
      <c r="B20" s="280" t="s">
        <v>16</v>
      </c>
      <c r="C20" s="280"/>
      <c r="D20" s="280"/>
      <c r="E20" s="280"/>
      <c r="F20" s="280"/>
      <c r="G20" s="33"/>
      <c r="H20" s="33"/>
      <c r="I20" s="33"/>
    </row>
    <row r="21" spans="1:9" s="34" customFormat="1" ht="15" customHeight="1">
      <c r="A21" s="78" t="s">
        <v>17</v>
      </c>
      <c r="B21" s="280" t="s">
        <v>18</v>
      </c>
      <c r="C21" s="280"/>
      <c r="D21" s="280"/>
      <c r="E21" s="280"/>
      <c r="F21" s="280"/>
      <c r="G21" s="33"/>
      <c r="H21" s="33"/>
      <c r="I21" s="33"/>
    </row>
    <row r="22" spans="1:9" s="34" customFormat="1" ht="15" customHeight="1">
      <c r="A22" s="78" t="s">
        <v>19</v>
      </c>
      <c r="B22" s="280" t="s">
        <v>20</v>
      </c>
      <c r="C22" s="280"/>
      <c r="D22" s="280"/>
      <c r="E22" s="280"/>
      <c r="F22" s="280"/>
      <c r="G22" s="33"/>
      <c r="H22" s="33"/>
      <c r="I22" s="33"/>
    </row>
    <row r="23" spans="1:9" ht="15" customHeight="1">
      <c r="A23" s="79" t="s">
        <v>21</v>
      </c>
      <c r="B23" s="302" t="s">
        <v>22</v>
      </c>
      <c r="C23" s="302"/>
      <c r="D23" s="302"/>
      <c r="E23" s="302"/>
      <c r="F23" s="302"/>
    </row>
    <row r="24" spans="1:9" ht="14.25"/>
    <row r="25" spans="1:9">
      <c r="A25" s="80" t="s">
        <v>23</v>
      </c>
      <c r="B25" s="81"/>
      <c r="C25" s="81"/>
      <c r="D25" s="81"/>
      <c r="E25" s="81"/>
      <c r="F25" s="81"/>
    </row>
    <row r="26" spans="1:9" ht="30.4" customHeight="1">
      <c r="A26" s="251">
        <v>999999999</v>
      </c>
      <c r="B26" s="281" t="s">
        <v>24</v>
      </c>
      <c r="C26" s="281"/>
      <c r="D26" s="281"/>
      <c r="E26" s="281"/>
      <c r="F26" s="281"/>
    </row>
    <row r="27" spans="1:9" ht="10.9" customHeight="1">
      <c r="A27"/>
      <c r="B27" s="82"/>
      <c r="C27" s="82"/>
      <c r="D27" s="82"/>
      <c r="E27" s="82"/>
      <c r="F27" s="82"/>
    </row>
    <row r="28" spans="1:9" ht="15" customHeight="1">
      <c r="A28" s="282" t="s">
        <v>446</v>
      </c>
      <c r="B28" s="282"/>
      <c r="C28" s="282"/>
      <c r="D28" s="282"/>
      <c r="E28" s="282"/>
      <c r="F28" s="282"/>
      <c r="G28" s="35"/>
      <c r="H28" s="35"/>
      <c r="I28" s="35"/>
    </row>
    <row r="29" spans="1:9" ht="8.1" customHeight="1">
      <c r="A29" s="25"/>
      <c r="B29" s="25"/>
    </row>
    <row r="30" spans="1:9" ht="14.65" customHeight="1" thickBot="1">
      <c r="A30" s="25"/>
      <c r="B30" s="25"/>
    </row>
    <row r="31" spans="1:9" s="34" customFormat="1" ht="15" customHeight="1" thickBot="1">
      <c r="A31" s="36" t="s">
        <v>25</v>
      </c>
      <c r="B31" s="307"/>
      <c r="C31" s="307"/>
      <c r="D31" s="307"/>
      <c r="E31" s="307"/>
      <c r="F31" s="307"/>
    </row>
    <row r="32" spans="1:9" ht="15" customHeight="1" thickBot="1">
      <c r="A32" s="36" t="s">
        <v>26</v>
      </c>
      <c r="B32" s="306"/>
      <c r="C32" s="307"/>
      <c r="D32" s="307"/>
      <c r="E32" s="307"/>
      <c r="F32" s="307"/>
    </row>
    <row r="34" spans="1:7" ht="15" customHeight="1" thickBot="1">
      <c r="A34" s="308" t="s">
        <v>27</v>
      </c>
      <c r="B34" s="308"/>
      <c r="C34" s="308"/>
      <c r="D34" s="308"/>
      <c r="E34" s="308"/>
      <c r="F34" s="308"/>
    </row>
    <row r="35" spans="1:7" s="37" customFormat="1" ht="60" customHeight="1" thickBot="1">
      <c r="A35" s="303"/>
      <c r="B35" s="304"/>
      <c r="C35" s="304"/>
      <c r="D35" s="304"/>
      <c r="E35" s="304"/>
      <c r="F35" s="305"/>
    </row>
    <row r="36" spans="1:7" ht="15" customHeight="1">
      <c r="A36" s="25"/>
      <c r="B36" s="25"/>
    </row>
    <row r="37" spans="1:7" ht="18">
      <c r="A37" s="301"/>
      <c r="B37" s="301"/>
      <c r="C37" s="301"/>
      <c r="D37" s="301"/>
      <c r="E37" s="301"/>
      <c r="F37" s="301"/>
    </row>
    <row r="38" spans="1:7" ht="14.25">
      <c r="A38" s="38"/>
      <c r="B38" s="279"/>
      <c r="C38" s="279"/>
      <c r="D38" s="279"/>
      <c r="E38" s="279"/>
      <c r="F38" s="279"/>
      <c r="G38" s="28">
        <v>1</v>
      </c>
    </row>
    <row r="39" spans="1:7" ht="13.9" customHeight="1">
      <c r="A39" s="38"/>
      <c r="B39" s="279"/>
      <c r="C39" s="279"/>
      <c r="D39" s="279"/>
      <c r="E39" s="279"/>
      <c r="F39" s="279"/>
      <c r="G39" s="28">
        <v>2</v>
      </c>
    </row>
    <row r="40" spans="1:7" ht="13.9" customHeight="1">
      <c r="A40" s="38"/>
      <c r="B40" s="279"/>
      <c r="C40" s="279"/>
      <c r="D40" s="279"/>
      <c r="E40" s="279"/>
      <c r="F40" s="279"/>
      <c r="G40" s="28">
        <v>3</v>
      </c>
    </row>
    <row r="41" spans="1:7" ht="13.9" customHeight="1">
      <c r="A41" s="38"/>
      <c r="B41" s="279"/>
      <c r="C41" s="279"/>
      <c r="D41" s="279"/>
      <c r="E41" s="279"/>
      <c r="F41" s="279"/>
      <c r="G41" s="28">
        <v>4</v>
      </c>
    </row>
    <row r="42" spans="1:7" ht="15" customHeight="1">
      <c r="A42" s="38"/>
      <c r="B42" s="279"/>
      <c r="C42" s="279"/>
      <c r="D42" s="279"/>
      <c r="E42" s="279"/>
      <c r="F42" s="279"/>
    </row>
    <row r="43" spans="1:7" ht="15" customHeight="1">
      <c r="A43" s="38"/>
      <c r="B43" s="279"/>
      <c r="C43" s="279"/>
      <c r="D43" s="279"/>
      <c r="E43" s="279"/>
      <c r="F43" s="279"/>
    </row>
    <row r="44" spans="1:7" ht="15" customHeight="1">
      <c r="A44" s="38"/>
      <c r="B44" s="279"/>
      <c r="C44" s="279"/>
      <c r="D44" s="279"/>
      <c r="E44" s="279"/>
      <c r="F44" s="279"/>
    </row>
    <row r="45" spans="1:7" ht="15" customHeight="1">
      <c r="A45" s="38"/>
      <c r="B45" s="279"/>
      <c r="C45" s="279"/>
      <c r="D45" s="279"/>
      <c r="E45" s="279"/>
      <c r="F45" s="279"/>
    </row>
    <row r="46" spans="1:7" ht="15" customHeight="1">
      <c r="A46" s="38"/>
      <c r="B46" s="279"/>
      <c r="C46" s="279"/>
      <c r="D46" s="279"/>
      <c r="E46" s="279"/>
      <c r="F46" s="279"/>
    </row>
    <row r="47" spans="1:7" ht="15" customHeight="1">
      <c r="A47" s="38"/>
      <c r="B47" s="279"/>
      <c r="C47" s="279"/>
      <c r="D47" s="279"/>
      <c r="E47" s="279"/>
      <c r="F47" s="279"/>
    </row>
    <row r="48" spans="1:7" ht="15" customHeight="1">
      <c r="A48" s="38"/>
      <c r="B48" s="279"/>
      <c r="C48" s="279"/>
      <c r="D48" s="279"/>
      <c r="E48" s="279"/>
      <c r="F48" s="279"/>
    </row>
    <row r="49" spans="1:6" ht="15" customHeight="1">
      <c r="A49" s="38"/>
      <c r="B49" s="279"/>
      <c r="C49" s="279"/>
      <c r="D49" s="279"/>
      <c r="E49" s="279"/>
      <c r="F49" s="279"/>
    </row>
    <row r="50" spans="1:6" ht="15" customHeight="1">
      <c r="A50" s="38"/>
      <c r="B50" s="279"/>
      <c r="C50" s="279"/>
      <c r="D50" s="279"/>
      <c r="E50" s="279"/>
      <c r="F50" s="279"/>
    </row>
    <row r="51" spans="1:6" ht="15" customHeight="1">
      <c r="A51" s="38"/>
      <c r="B51" s="279"/>
      <c r="C51" s="279"/>
      <c r="D51" s="279"/>
      <c r="E51" s="279"/>
      <c r="F51" s="279"/>
    </row>
    <row r="52" spans="1:6" ht="15" customHeight="1">
      <c r="A52" s="38"/>
      <c r="B52" s="279"/>
      <c r="C52" s="279"/>
      <c r="D52" s="279"/>
      <c r="E52" s="279"/>
      <c r="F52" s="279"/>
    </row>
    <row r="53" spans="1:6" ht="15" customHeight="1">
      <c r="A53" s="38"/>
      <c r="B53" s="279"/>
      <c r="C53" s="279"/>
      <c r="D53" s="279"/>
      <c r="E53" s="279"/>
      <c r="F53" s="279"/>
    </row>
    <row r="54" spans="1:6" ht="15" customHeight="1">
      <c r="A54" s="38"/>
      <c r="B54" s="279"/>
      <c r="C54" s="279"/>
      <c r="D54" s="279"/>
      <c r="E54" s="279"/>
      <c r="F54" s="279"/>
    </row>
    <row r="55" spans="1:6" ht="15" customHeight="1">
      <c r="A55" s="38"/>
      <c r="B55" s="279"/>
      <c r="C55" s="279"/>
      <c r="D55" s="279"/>
      <c r="E55" s="279"/>
      <c r="F55" s="279"/>
    </row>
    <row r="56" spans="1:6" ht="15" customHeight="1">
      <c r="A56" s="38"/>
      <c r="B56" s="279"/>
      <c r="C56" s="279"/>
      <c r="D56" s="279"/>
      <c r="E56" s="279"/>
      <c r="F56" s="279"/>
    </row>
    <row r="57" spans="1:6" ht="15" customHeight="1">
      <c r="A57" s="38"/>
      <c r="B57" s="279"/>
      <c r="C57" s="279"/>
      <c r="D57" s="279"/>
      <c r="E57" s="279"/>
      <c r="F57" s="279"/>
    </row>
    <row r="58" spans="1:6" ht="15" customHeight="1">
      <c r="A58" s="38"/>
      <c r="B58" s="279"/>
      <c r="C58" s="279"/>
      <c r="D58" s="279"/>
      <c r="E58" s="279"/>
      <c r="F58" s="279"/>
    </row>
    <row r="59" spans="1:6" ht="15" customHeight="1">
      <c r="A59" s="38"/>
      <c r="B59" s="279"/>
      <c r="C59" s="279"/>
      <c r="D59" s="279"/>
      <c r="E59" s="279"/>
      <c r="F59" s="279"/>
    </row>
    <row r="60" spans="1:6" ht="15" customHeight="1">
      <c r="A60" s="38"/>
      <c r="B60" s="279"/>
      <c r="C60" s="279"/>
      <c r="D60" s="279"/>
      <c r="E60" s="279"/>
      <c r="F60" s="279"/>
    </row>
    <row r="61" spans="1:6" ht="15" customHeight="1">
      <c r="A61" s="38"/>
      <c r="B61" s="279"/>
      <c r="C61" s="279"/>
      <c r="D61" s="279"/>
      <c r="E61" s="279"/>
      <c r="F61" s="279"/>
    </row>
    <row r="62" spans="1:6" ht="15" customHeight="1">
      <c r="A62" s="38"/>
      <c r="B62" s="279"/>
      <c r="C62" s="279"/>
      <c r="D62" s="279"/>
      <c r="E62" s="279"/>
      <c r="F62" s="279"/>
    </row>
    <row r="63" spans="1:6" ht="15" customHeight="1">
      <c r="A63" s="38"/>
      <c r="B63" s="279"/>
      <c r="C63" s="279"/>
      <c r="D63" s="279"/>
      <c r="E63" s="279"/>
      <c r="F63" s="279"/>
    </row>
    <row r="64" spans="1:6" ht="15" customHeight="1">
      <c r="A64" s="38"/>
      <c r="B64" s="279"/>
      <c r="C64" s="279"/>
      <c r="D64" s="279"/>
      <c r="E64" s="279"/>
      <c r="F64" s="279"/>
    </row>
    <row r="65" spans="1:6" ht="15" customHeight="1">
      <c r="A65" s="38"/>
      <c r="B65" s="279"/>
      <c r="C65" s="279"/>
      <c r="D65" s="279"/>
      <c r="E65" s="279"/>
      <c r="F65" s="279"/>
    </row>
    <row r="66" spans="1:6" ht="15" customHeight="1">
      <c r="A66" s="38"/>
      <c r="B66" s="279"/>
      <c r="C66" s="279"/>
      <c r="D66" s="279"/>
      <c r="E66" s="279"/>
      <c r="F66" s="279"/>
    </row>
    <row r="67" spans="1:6" ht="15" customHeight="1">
      <c r="A67" s="38"/>
      <c r="B67" s="279"/>
      <c r="C67" s="279"/>
      <c r="D67" s="279"/>
      <c r="E67" s="279"/>
      <c r="F67" s="279"/>
    </row>
    <row r="68" spans="1:6" ht="15" customHeight="1">
      <c r="A68" s="38"/>
      <c r="B68" s="279"/>
      <c r="C68" s="279"/>
      <c r="D68" s="279"/>
      <c r="E68" s="279"/>
      <c r="F68" s="279"/>
    </row>
    <row r="69" spans="1:6" ht="15" customHeight="1">
      <c r="A69" s="38"/>
      <c r="B69" s="279"/>
      <c r="C69" s="279"/>
      <c r="D69" s="279"/>
      <c r="E69" s="279"/>
      <c r="F69" s="279"/>
    </row>
    <row r="70" spans="1:6" ht="15" customHeight="1">
      <c r="A70" s="38"/>
      <c r="B70" s="279"/>
      <c r="C70" s="279"/>
      <c r="D70" s="279"/>
      <c r="E70" s="279"/>
      <c r="F70" s="279"/>
    </row>
    <row r="71" spans="1:6" ht="15" customHeight="1">
      <c r="A71" s="38"/>
      <c r="B71" s="279"/>
      <c r="C71" s="279"/>
      <c r="D71" s="279"/>
      <c r="E71" s="279"/>
      <c r="F71" s="279"/>
    </row>
    <row r="72" spans="1:6" ht="15" customHeight="1">
      <c r="A72" s="38"/>
      <c r="B72" s="279"/>
      <c r="C72" s="279"/>
      <c r="D72" s="279"/>
      <c r="E72" s="279"/>
      <c r="F72" s="279"/>
    </row>
    <row r="73" spans="1:6" ht="15" customHeight="1">
      <c r="A73" s="38"/>
      <c r="B73" s="279"/>
      <c r="C73" s="279"/>
      <c r="D73" s="279"/>
      <c r="E73" s="279"/>
      <c r="F73" s="279"/>
    </row>
    <row r="74" spans="1:6" ht="15" customHeight="1">
      <c r="A74" s="38"/>
      <c r="B74" s="279"/>
      <c r="C74" s="279"/>
      <c r="D74" s="279"/>
      <c r="E74" s="279"/>
      <c r="F74" s="279"/>
    </row>
    <row r="75" spans="1:6" ht="15" customHeight="1">
      <c r="A75" s="38"/>
      <c r="B75" s="279"/>
      <c r="C75" s="279"/>
      <c r="D75" s="279"/>
      <c r="E75" s="279"/>
      <c r="F75" s="279"/>
    </row>
    <row r="76" spans="1:6" ht="15" customHeight="1">
      <c r="A76" s="38"/>
      <c r="B76" s="279"/>
      <c r="C76" s="279"/>
      <c r="D76" s="279"/>
      <c r="E76" s="279"/>
      <c r="F76" s="279"/>
    </row>
    <row r="77" spans="1:6" ht="15" customHeight="1">
      <c r="A77" s="38"/>
      <c r="B77" s="279"/>
      <c r="C77" s="279"/>
      <c r="D77" s="279"/>
      <c r="E77" s="279"/>
      <c r="F77" s="279"/>
    </row>
    <row r="78" spans="1:6" ht="15" customHeight="1">
      <c r="A78" s="38"/>
      <c r="B78" s="279"/>
      <c r="C78" s="279"/>
      <c r="D78" s="279"/>
      <c r="E78" s="279"/>
      <c r="F78" s="279"/>
    </row>
    <row r="79" spans="1:6" ht="15" customHeight="1">
      <c r="A79" s="38"/>
      <c r="B79" s="279"/>
      <c r="C79" s="279"/>
      <c r="D79" s="279"/>
      <c r="E79" s="279"/>
      <c r="F79" s="279"/>
    </row>
    <row r="80" spans="1:6" ht="15" customHeight="1">
      <c r="A80" s="38"/>
      <c r="B80" s="279"/>
      <c r="C80" s="279"/>
      <c r="D80" s="279"/>
      <c r="E80" s="279"/>
      <c r="F80" s="279"/>
    </row>
    <row r="81" spans="1:6" ht="15" customHeight="1">
      <c r="A81" s="38"/>
      <c r="B81" s="279"/>
      <c r="C81" s="279"/>
      <c r="D81" s="279"/>
      <c r="E81" s="279"/>
      <c r="F81" s="279"/>
    </row>
    <row r="82" spans="1:6" ht="15" customHeight="1">
      <c r="A82" s="38"/>
      <c r="B82" s="279"/>
      <c r="C82" s="279"/>
      <c r="D82" s="279"/>
      <c r="E82" s="279"/>
      <c r="F82" s="279"/>
    </row>
    <row r="83" spans="1:6" ht="15" customHeight="1">
      <c r="A83" s="38"/>
      <c r="B83" s="279"/>
      <c r="C83" s="279"/>
      <c r="D83" s="279"/>
      <c r="E83" s="279"/>
      <c r="F83" s="279"/>
    </row>
    <row r="84" spans="1:6" ht="15" customHeight="1">
      <c r="A84" s="38"/>
      <c r="B84" s="279"/>
      <c r="C84" s="279"/>
      <c r="D84" s="279"/>
      <c r="E84" s="279"/>
      <c r="F84" s="279"/>
    </row>
    <row r="85" spans="1:6" ht="15" customHeight="1">
      <c r="A85" s="38"/>
      <c r="B85" s="279"/>
      <c r="C85" s="279"/>
      <c r="D85" s="279"/>
      <c r="E85" s="279"/>
      <c r="F85" s="279"/>
    </row>
    <row r="86" spans="1:6" ht="15" customHeight="1">
      <c r="A86" s="38"/>
      <c r="B86" s="279"/>
      <c r="C86" s="279"/>
      <c r="D86" s="279"/>
      <c r="E86" s="279"/>
      <c r="F86" s="279"/>
    </row>
    <row r="87" spans="1:6" ht="15" customHeight="1">
      <c r="A87" s="38"/>
      <c r="B87" s="279"/>
      <c r="C87" s="279"/>
      <c r="D87" s="279"/>
      <c r="E87" s="279"/>
      <c r="F87" s="279"/>
    </row>
    <row r="88" spans="1:6" ht="15" customHeight="1">
      <c r="A88" s="38"/>
      <c r="B88" s="279"/>
      <c r="C88" s="279"/>
      <c r="D88" s="279"/>
      <c r="E88" s="279"/>
      <c r="F88" s="279"/>
    </row>
    <row r="89" spans="1:6" ht="15" customHeight="1">
      <c r="A89" s="38"/>
      <c r="B89" s="279"/>
      <c r="C89" s="279"/>
      <c r="D89" s="279"/>
      <c r="E89" s="279"/>
      <c r="F89" s="279"/>
    </row>
    <row r="90" spans="1:6" ht="15" customHeight="1">
      <c r="A90" s="38"/>
      <c r="B90" s="279"/>
      <c r="C90" s="279"/>
      <c r="D90" s="279"/>
      <c r="E90" s="279"/>
      <c r="F90" s="279"/>
    </row>
    <row r="91" spans="1:6" ht="15" customHeight="1">
      <c r="A91" s="38"/>
      <c r="B91" s="279"/>
      <c r="C91" s="279"/>
      <c r="D91" s="279"/>
      <c r="E91" s="279"/>
      <c r="F91" s="279"/>
    </row>
    <row r="92" spans="1:6" ht="15" customHeight="1">
      <c r="A92" s="38"/>
      <c r="B92" s="279"/>
      <c r="C92" s="279"/>
      <c r="D92" s="279"/>
      <c r="E92" s="279"/>
      <c r="F92" s="279"/>
    </row>
    <row r="93" spans="1:6" ht="15" customHeight="1">
      <c r="A93" s="38"/>
      <c r="B93" s="279"/>
      <c r="C93" s="279"/>
      <c r="D93" s="279"/>
      <c r="E93" s="279"/>
      <c r="F93" s="279"/>
    </row>
    <row r="94" spans="1:6" ht="15" customHeight="1">
      <c r="A94" s="38"/>
      <c r="B94" s="279"/>
      <c r="C94" s="279"/>
      <c r="D94" s="279"/>
      <c r="E94" s="279"/>
      <c r="F94" s="279"/>
    </row>
    <row r="95" spans="1:6" ht="15" customHeight="1">
      <c r="A95" s="38"/>
      <c r="B95" s="279"/>
      <c r="C95" s="279"/>
      <c r="D95" s="279"/>
      <c r="E95" s="279"/>
      <c r="F95" s="279"/>
    </row>
    <row r="96" spans="1:6" ht="15" customHeight="1">
      <c r="A96" s="38"/>
      <c r="B96" s="279"/>
      <c r="C96" s="279"/>
      <c r="D96" s="279"/>
      <c r="E96" s="279"/>
      <c r="F96" s="279"/>
    </row>
    <row r="97" spans="1:6" ht="15" customHeight="1">
      <c r="A97" s="38"/>
      <c r="B97" s="279"/>
      <c r="C97" s="279"/>
      <c r="D97" s="279"/>
      <c r="E97" s="279"/>
      <c r="F97" s="279"/>
    </row>
    <row r="98" spans="1:6" ht="15" customHeight="1">
      <c r="A98" s="38"/>
      <c r="B98" s="279"/>
      <c r="C98" s="279"/>
      <c r="D98" s="279"/>
      <c r="E98" s="279"/>
      <c r="F98" s="279"/>
    </row>
    <row r="99" spans="1:6" ht="15" customHeight="1">
      <c r="A99" s="38"/>
      <c r="B99" s="279"/>
      <c r="C99" s="279"/>
      <c r="D99" s="279"/>
      <c r="E99" s="279"/>
      <c r="F99" s="279"/>
    </row>
    <row r="100" spans="1:6" ht="15" customHeight="1">
      <c r="A100" s="38"/>
      <c r="B100" s="279"/>
      <c r="C100" s="279"/>
      <c r="D100" s="279"/>
      <c r="E100" s="279"/>
      <c r="F100" s="279"/>
    </row>
    <row r="101" spans="1:6" ht="15" customHeight="1">
      <c r="A101" s="38"/>
      <c r="B101" s="279"/>
      <c r="C101" s="279"/>
      <c r="D101" s="279"/>
      <c r="E101" s="279"/>
      <c r="F101" s="279"/>
    </row>
    <row r="102" spans="1:6" ht="15" customHeight="1">
      <c r="A102" s="38"/>
      <c r="B102" s="279"/>
      <c r="C102" s="279"/>
      <c r="D102" s="279"/>
      <c r="E102" s="279"/>
      <c r="F102" s="279"/>
    </row>
    <row r="103" spans="1:6" ht="15" customHeight="1">
      <c r="A103" s="38"/>
      <c r="B103" s="279"/>
      <c r="C103" s="279"/>
      <c r="D103" s="279"/>
      <c r="E103" s="279"/>
      <c r="F103" s="279"/>
    </row>
    <row r="104" spans="1:6" ht="15" customHeight="1">
      <c r="A104" s="38"/>
      <c r="B104" s="279"/>
      <c r="C104" s="279"/>
      <c r="D104" s="279"/>
      <c r="E104" s="279"/>
      <c r="F104" s="279"/>
    </row>
    <row r="105" spans="1:6" ht="15" customHeight="1">
      <c r="A105" s="38"/>
      <c r="B105" s="279"/>
      <c r="C105" s="279"/>
      <c r="D105" s="279"/>
      <c r="E105" s="279"/>
      <c r="F105" s="279"/>
    </row>
    <row r="106" spans="1:6" ht="15" customHeight="1">
      <c r="A106" s="38"/>
      <c r="B106" s="279"/>
      <c r="C106" s="279"/>
      <c r="D106" s="279"/>
      <c r="E106" s="279"/>
      <c r="F106" s="279"/>
    </row>
    <row r="107" spans="1:6" ht="15" customHeight="1">
      <c r="A107" s="38"/>
      <c r="B107" s="279"/>
      <c r="C107" s="279"/>
      <c r="D107" s="279"/>
      <c r="E107" s="279"/>
      <c r="F107" s="279"/>
    </row>
    <row r="108" spans="1:6" ht="15" customHeight="1">
      <c r="A108" s="38"/>
      <c r="B108" s="279"/>
      <c r="C108" s="279"/>
      <c r="D108" s="279"/>
      <c r="E108" s="279"/>
      <c r="F108" s="279"/>
    </row>
    <row r="109" spans="1:6" ht="15" customHeight="1">
      <c r="A109" s="38"/>
      <c r="B109" s="279"/>
      <c r="C109" s="279"/>
      <c r="D109" s="279"/>
      <c r="E109" s="279"/>
      <c r="F109" s="279"/>
    </row>
    <row r="110" spans="1:6" ht="15" customHeight="1">
      <c r="A110" s="38"/>
      <c r="B110" s="279"/>
      <c r="C110" s="279"/>
      <c r="D110" s="279"/>
      <c r="E110" s="279"/>
      <c r="F110" s="279"/>
    </row>
    <row r="111" spans="1:6" ht="15" customHeight="1">
      <c r="A111" s="38"/>
      <c r="B111" s="279"/>
      <c r="C111" s="279"/>
      <c r="D111" s="279"/>
      <c r="E111" s="279"/>
      <c r="F111" s="279"/>
    </row>
    <row r="112" spans="1:6" ht="15" customHeight="1">
      <c r="A112" s="38"/>
      <c r="B112" s="279"/>
      <c r="C112" s="279"/>
      <c r="D112" s="279"/>
      <c r="E112" s="279"/>
      <c r="F112" s="279"/>
    </row>
    <row r="113" spans="1:6" ht="15" customHeight="1">
      <c r="A113" s="38"/>
      <c r="B113" s="279"/>
      <c r="C113" s="279"/>
      <c r="D113" s="279"/>
      <c r="E113" s="279"/>
      <c r="F113" s="279"/>
    </row>
    <row r="114" spans="1:6" ht="15" customHeight="1">
      <c r="A114" s="38"/>
      <c r="B114" s="279"/>
      <c r="C114" s="279"/>
      <c r="D114" s="279"/>
      <c r="E114" s="279"/>
      <c r="F114" s="279"/>
    </row>
    <row r="115" spans="1:6" ht="15" customHeight="1">
      <c r="A115" s="38"/>
      <c r="B115" s="279"/>
      <c r="C115" s="279"/>
      <c r="D115" s="279"/>
      <c r="E115" s="279"/>
      <c r="F115" s="279"/>
    </row>
    <row r="116" spans="1:6" ht="15" customHeight="1">
      <c r="A116" s="38"/>
      <c r="B116" s="279"/>
      <c r="C116" s="279"/>
      <c r="D116" s="279"/>
      <c r="E116" s="279"/>
      <c r="F116" s="279"/>
    </row>
    <row r="117" spans="1:6" ht="15" customHeight="1">
      <c r="A117" s="38"/>
      <c r="B117" s="279"/>
      <c r="C117" s="279"/>
      <c r="D117" s="279"/>
      <c r="E117" s="279"/>
      <c r="F117" s="279"/>
    </row>
    <row r="118" spans="1:6" ht="15" customHeight="1">
      <c r="A118" s="38"/>
      <c r="B118" s="279"/>
      <c r="C118" s="279"/>
      <c r="D118" s="279"/>
      <c r="E118" s="279"/>
      <c r="F118" s="279"/>
    </row>
    <row r="119" spans="1:6" ht="15" customHeight="1">
      <c r="A119" s="38"/>
      <c r="B119" s="279"/>
      <c r="C119" s="279"/>
      <c r="D119" s="279"/>
      <c r="E119" s="279"/>
      <c r="F119" s="279"/>
    </row>
    <row r="120" spans="1:6" ht="15" customHeight="1">
      <c r="A120" s="38"/>
      <c r="B120" s="279"/>
      <c r="C120" s="279"/>
      <c r="D120" s="279"/>
      <c r="E120" s="279"/>
      <c r="F120" s="279"/>
    </row>
    <row r="121" spans="1:6" ht="15" customHeight="1">
      <c r="A121" s="38"/>
      <c r="B121" s="279"/>
      <c r="C121" s="279"/>
      <c r="D121" s="279"/>
      <c r="E121" s="279"/>
      <c r="F121" s="279"/>
    </row>
    <row r="122" spans="1:6" ht="15" customHeight="1">
      <c r="A122" s="38"/>
      <c r="B122" s="279"/>
      <c r="C122" s="279"/>
      <c r="D122" s="279"/>
      <c r="E122" s="279"/>
      <c r="F122" s="279"/>
    </row>
    <row r="123" spans="1:6" ht="15" customHeight="1">
      <c r="A123" s="38"/>
      <c r="B123" s="279"/>
      <c r="C123" s="279"/>
      <c r="D123" s="279"/>
      <c r="E123" s="279"/>
      <c r="F123" s="279"/>
    </row>
    <row r="124" spans="1:6" ht="15" customHeight="1">
      <c r="A124" s="38"/>
      <c r="B124" s="279"/>
      <c r="C124" s="279"/>
      <c r="D124" s="279"/>
      <c r="E124" s="279"/>
      <c r="F124" s="279"/>
    </row>
    <row r="125" spans="1:6" ht="15" customHeight="1">
      <c r="A125" s="38"/>
      <c r="B125" s="279"/>
      <c r="C125" s="279"/>
      <c r="D125" s="279"/>
      <c r="E125" s="279"/>
      <c r="F125" s="279"/>
    </row>
    <row r="126" spans="1:6" ht="15" customHeight="1">
      <c r="A126" s="38"/>
      <c r="B126" s="279"/>
      <c r="C126" s="279"/>
      <c r="D126" s="279"/>
      <c r="E126" s="279"/>
      <c r="F126" s="279"/>
    </row>
    <row r="127" spans="1:6" ht="15" customHeight="1">
      <c r="A127" s="38"/>
      <c r="B127" s="279"/>
      <c r="C127" s="279"/>
      <c r="D127" s="279"/>
      <c r="E127" s="279"/>
      <c r="F127" s="279"/>
    </row>
    <row r="128" spans="1:6" ht="15" customHeight="1">
      <c r="A128" s="38"/>
      <c r="B128" s="279"/>
      <c r="C128" s="279"/>
      <c r="D128" s="279"/>
      <c r="E128" s="279"/>
      <c r="F128" s="279"/>
    </row>
    <row r="129" spans="1:6" ht="15" customHeight="1">
      <c r="A129" s="38"/>
      <c r="B129" s="279"/>
      <c r="C129" s="279"/>
      <c r="D129" s="279"/>
      <c r="E129" s="279"/>
      <c r="F129" s="279"/>
    </row>
    <row r="130" spans="1:6" ht="15" customHeight="1">
      <c r="A130" s="38"/>
      <c r="B130" s="279"/>
      <c r="C130" s="279"/>
      <c r="D130" s="279"/>
      <c r="E130" s="279"/>
      <c r="F130" s="279"/>
    </row>
    <row r="131" spans="1:6" ht="15" customHeight="1">
      <c r="A131" s="38"/>
      <c r="B131" s="279"/>
      <c r="C131" s="279"/>
      <c r="D131" s="279"/>
      <c r="E131" s="279"/>
      <c r="F131" s="279"/>
    </row>
    <row r="132" spans="1:6" ht="15" customHeight="1">
      <c r="A132" s="38"/>
      <c r="B132" s="279"/>
      <c r="C132" s="279"/>
      <c r="D132" s="279"/>
      <c r="E132" s="279"/>
      <c r="F132" s="279"/>
    </row>
    <row r="133" spans="1:6" ht="15" customHeight="1">
      <c r="A133" s="38"/>
      <c r="B133" s="279"/>
      <c r="C133" s="279"/>
      <c r="D133" s="279"/>
      <c r="E133" s="279"/>
      <c r="F133" s="279"/>
    </row>
    <row r="134" spans="1:6" ht="15" customHeight="1">
      <c r="A134" s="38"/>
      <c r="B134" s="279"/>
      <c r="C134" s="279"/>
      <c r="D134" s="279"/>
      <c r="E134" s="279"/>
      <c r="F134" s="279"/>
    </row>
    <row r="135" spans="1:6" ht="15" customHeight="1">
      <c r="A135" s="38"/>
      <c r="B135" s="279"/>
      <c r="C135" s="279"/>
      <c r="D135" s="279"/>
      <c r="E135" s="279"/>
      <c r="F135" s="279"/>
    </row>
    <row r="136" spans="1:6" ht="15" customHeight="1">
      <c r="A136" s="38"/>
      <c r="B136" s="279"/>
      <c r="C136" s="279"/>
      <c r="D136" s="279"/>
      <c r="E136" s="279"/>
      <c r="F136" s="279"/>
    </row>
    <row r="137" spans="1:6" ht="15" customHeight="1">
      <c r="A137" s="38"/>
      <c r="B137" s="279"/>
      <c r="C137" s="279"/>
      <c r="D137" s="279"/>
      <c r="E137" s="279"/>
      <c r="F137" s="279"/>
    </row>
    <row r="138" spans="1:6" ht="15" customHeight="1">
      <c r="A138" s="38"/>
      <c r="B138" s="279"/>
      <c r="C138" s="279"/>
      <c r="D138" s="279"/>
      <c r="E138" s="279"/>
      <c r="F138" s="279"/>
    </row>
    <row r="139" spans="1:6" ht="15" customHeight="1">
      <c r="A139" s="38"/>
      <c r="B139" s="279"/>
      <c r="C139" s="279"/>
      <c r="D139" s="279"/>
      <c r="E139" s="279"/>
      <c r="F139" s="279"/>
    </row>
    <row r="140" spans="1:6" ht="15" customHeight="1">
      <c r="A140" s="38"/>
      <c r="B140" s="279"/>
      <c r="C140" s="279"/>
      <c r="D140" s="279"/>
      <c r="E140" s="279"/>
      <c r="F140" s="279"/>
    </row>
    <row r="141" spans="1:6" ht="15" customHeight="1">
      <c r="A141" s="38"/>
      <c r="B141" s="279"/>
      <c r="C141" s="279"/>
      <c r="D141" s="279"/>
      <c r="E141" s="279"/>
      <c r="F141" s="279"/>
    </row>
    <row r="142" spans="1:6" ht="15" customHeight="1">
      <c r="A142" s="38"/>
      <c r="B142" s="279"/>
      <c r="C142" s="279"/>
      <c r="D142" s="279"/>
      <c r="E142" s="279"/>
      <c r="F142" s="279"/>
    </row>
    <row r="143" spans="1:6" ht="15" customHeight="1">
      <c r="A143" s="38"/>
      <c r="B143" s="279"/>
      <c r="C143" s="279"/>
      <c r="D143" s="279"/>
      <c r="E143" s="279"/>
      <c r="F143" s="279"/>
    </row>
    <row r="144" spans="1:6" ht="15" customHeight="1">
      <c r="A144" s="38"/>
      <c r="B144" s="279"/>
      <c r="C144" s="279"/>
      <c r="D144" s="279"/>
      <c r="E144" s="279"/>
      <c r="F144" s="279"/>
    </row>
    <row r="145" spans="1:6" ht="15" customHeight="1">
      <c r="A145" s="38"/>
      <c r="B145" s="279"/>
      <c r="C145" s="279"/>
      <c r="D145" s="279"/>
      <c r="E145" s="279"/>
      <c r="F145" s="279"/>
    </row>
    <row r="146" spans="1:6" ht="15" customHeight="1">
      <c r="A146" s="38"/>
      <c r="B146" s="279"/>
      <c r="C146" s="279"/>
      <c r="D146" s="279"/>
      <c r="E146" s="279"/>
      <c r="F146" s="279"/>
    </row>
    <row r="147" spans="1:6" ht="15" customHeight="1">
      <c r="A147" s="38"/>
      <c r="B147" s="279"/>
      <c r="C147" s="279"/>
      <c r="D147" s="279"/>
      <c r="E147" s="279"/>
      <c r="F147" s="279"/>
    </row>
    <row r="148" spans="1:6" ht="15" customHeight="1">
      <c r="A148" s="38"/>
      <c r="B148" s="279"/>
      <c r="C148" s="279"/>
      <c r="D148" s="279"/>
      <c r="E148" s="279"/>
      <c r="F148" s="279"/>
    </row>
    <row r="149" spans="1:6" ht="15" customHeight="1">
      <c r="A149" s="38"/>
      <c r="B149" s="279"/>
      <c r="C149" s="279"/>
      <c r="D149" s="279"/>
      <c r="E149" s="279"/>
      <c r="F149" s="279"/>
    </row>
    <row r="150" spans="1:6" ht="15" customHeight="1">
      <c r="A150" s="38"/>
      <c r="B150" s="279"/>
      <c r="C150" s="279"/>
      <c r="D150" s="279"/>
      <c r="E150" s="279"/>
      <c r="F150" s="279"/>
    </row>
    <row r="151" spans="1:6" ht="15" customHeight="1">
      <c r="A151" s="38"/>
      <c r="B151" s="279"/>
      <c r="C151" s="279"/>
      <c r="D151" s="279"/>
      <c r="E151" s="279"/>
      <c r="F151" s="279"/>
    </row>
    <row r="152" spans="1:6" ht="15" customHeight="1">
      <c r="A152" s="38"/>
      <c r="B152" s="279"/>
      <c r="C152" s="279"/>
      <c r="D152" s="279"/>
      <c r="E152" s="279"/>
      <c r="F152" s="279"/>
    </row>
    <row r="153" spans="1:6" ht="15" customHeight="1">
      <c r="A153" s="38"/>
      <c r="B153" s="279"/>
      <c r="C153" s="279"/>
      <c r="D153" s="279"/>
      <c r="E153" s="279"/>
      <c r="F153" s="279"/>
    </row>
    <row r="154" spans="1:6" ht="15" customHeight="1">
      <c r="A154" s="38"/>
      <c r="B154" s="279"/>
      <c r="C154" s="279"/>
      <c r="D154" s="279"/>
      <c r="E154" s="279"/>
      <c r="F154" s="279"/>
    </row>
    <row r="155" spans="1:6" ht="15" customHeight="1">
      <c r="A155" s="38"/>
      <c r="B155" s="279"/>
      <c r="C155" s="279"/>
      <c r="D155" s="279"/>
      <c r="E155" s="279"/>
      <c r="F155" s="279"/>
    </row>
    <row r="156" spans="1:6" ht="15" customHeight="1">
      <c r="A156" s="38"/>
      <c r="B156" s="279"/>
      <c r="C156" s="279"/>
      <c r="D156" s="279"/>
      <c r="E156" s="279"/>
      <c r="F156" s="279"/>
    </row>
    <row r="157" spans="1:6" ht="15" customHeight="1">
      <c r="A157" s="38"/>
      <c r="B157" s="279"/>
      <c r="C157" s="279"/>
      <c r="D157" s="279"/>
      <c r="E157" s="279"/>
      <c r="F157" s="279"/>
    </row>
    <row r="158" spans="1:6" ht="15" customHeight="1">
      <c r="A158" s="38"/>
      <c r="B158" s="279"/>
      <c r="C158" s="279"/>
      <c r="D158" s="279"/>
      <c r="E158" s="279"/>
      <c r="F158" s="279"/>
    </row>
    <row r="159" spans="1:6" ht="15" customHeight="1">
      <c r="A159" s="38"/>
      <c r="B159" s="279"/>
      <c r="C159" s="279"/>
      <c r="D159" s="279"/>
      <c r="E159" s="279"/>
      <c r="F159" s="279"/>
    </row>
    <row r="160" spans="1:6" ht="15" customHeight="1">
      <c r="A160" s="38"/>
      <c r="B160" s="279"/>
      <c r="C160" s="279"/>
      <c r="D160" s="279"/>
      <c r="E160" s="279"/>
      <c r="F160" s="279"/>
    </row>
    <row r="161" spans="1:6" ht="15" customHeight="1">
      <c r="A161" s="38"/>
      <c r="B161" s="279"/>
      <c r="C161" s="279"/>
      <c r="D161" s="279"/>
      <c r="E161" s="279"/>
      <c r="F161" s="279"/>
    </row>
    <row r="162" spans="1:6" ht="15" customHeight="1">
      <c r="A162" s="38"/>
      <c r="B162" s="279"/>
      <c r="C162" s="279"/>
      <c r="D162" s="279"/>
      <c r="E162" s="279"/>
      <c r="F162" s="279"/>
    </row>
    <row r="163" spans="1:6" ht="15" customHeight="1">
      <c r="A163" s="38"/>
      <c r="B163" s="279"/>
      <c r="C163" s="279"/>
      <c r="D163" s="279"/>
      <c r="E163" s="279"/>
      <c r="F163" s="279"/>
    </row>
    <row r="164" spans="1:6" ht="15" customHeight="1">
      <c r="A164" s="38"/>
      <c r="B164" s="279"/>
      <c r="C164" s="279"/>
      <c r="D164" s="279"/>
      <c r="E164" s="279"/>
      <c r="F164" s="279"/>
    </row>
    <row r="165" spans="1:6" ht="15" customHeight="1">
      <c r="A165" s="38"/>
      <c r="B165" s="279"/>
      <c r="C165" s="279"/>
      <c r="D165" s="279"/>
      <c r="E165" s="279"/>
      <c r="F165" s="279"/>
    </row>
    <row r="166" spans="1:6" ht="15" customHeight="1">
      <c r="A166" s="38"/>
      <c r="B166" s="279"/>
      <c r="C166" s="279"/>
      <c r="D166" s="279"/>
      <c r="E166" s="279"/>
      <c r="F166" s="279"/>
    </row>
    <row r="167" spans="1:6" ht="15" customHeight="1">
      <c r="A167" s="38"/>
      <c r="B167" s="279"/>
      <c r="C167" s="279"/>
      <c r="D167" s="279"/>
      <c r="E167" s="279"/>
      <c r="F167" s="279"/>
    </row>
    <row r="168" spans="1:6" ht="15" customHeight="1">
      <c r="A168" s="38"/>
      <c r="B168" s="279"/>
      <c r="C168" s="279"/>
      <c r="D168" s="279"/>
      <c r="E168" s="279"/>
      <c r="F168" s="279"/>
    </row>
    <row r="169" spans="1:6" ht="15" customHeight="1">
      <c r="A169" s="38"/>
      <c r="B169" s="279"/>
      <c r="C169" s="279"/>
      <c r="D169" s="279"/>
      <c r="E169" s="279"/>
      <c r="F169" s="279"/>
    </row>
    <row r="170" spans="1:6" ht="15" customHeight="1">
      <c r="A170" s="38"/>
      <c r="B170" s="279"/>
      <c r="C170" s="279"/>
      <c r="D170" s="279"/>
      <c r="E170" s="279"/>
      <c r="F170" s="279"/>
    </row>
    <row r="171" spans="1:6" ht="15" customHeight="1">
      <c r="A171" s="38"/>
      <c r="B171" s="279"/>
      <c r="C171" s="279"/>
      <c r="D171" s="279"/>
      <c r="E171" s="279"/>
      <c r="F171" s="279"/>
    </row>
    <row r="172" spans="1:6" ht="15" customHeight="1">
      <c r="A172" s="38"/>
      <c r="B172" s="279"/>
      <c r="C172" s="279"/>
      <c r="D172" s="279"/>
      <c r="E172" s="279"/>
      <c r="F172" s="279"/>
    </row>
    <row r="173" spans="1:6" ht="15" customHeight="1">
      <c r="A173" s="38"/>
      <c r="B173" s="279"/>
      <c r="C173" s="279"/>
      <c r="D173" s="279"/>
      <c r="E173" s="279"/>
      <c r="F173" s="279"/>
    </row>
    <row r="174" spans="1:6" ht="15" customHeight="1">
      <c r="A174" s="38"/>
      <c r="B174" s="279"/>
      <c r="C174" s="279"/>
      <c r="D174" s="279"/>
      <c r="E174" s="279"/>
      <c r="F174" s="279"/>
    </row>
    <row r="175" spans="1:6" ht="15" customHeight="1">
      <c r="A175" s="38"/>
      <c r="B175" s="279"/>
      <c r="C175" s="279"/>
      <c r="D175" s="279"/>
      <c r="E175" s="279"/>
      <c r="F175" s="279"/>
    </row>
    <row r="176" spans="1:6" ht="15" customHeight="1">
      <c r="A176" s="38"/>
      <c r="B176" s="279"/>
      <c r="C176" s="279"/>
      <c r="D176" s="279"/>
      <c r="E176" s="279"/>
      <c r="F176" s="279"/>
    </row>
    <row r="177" spans="1:6" ht="15" customHeight="1">
      <c r="A177" s="38"/>
      <c r="B177" s="279"/>
      <c r="C177" s="279"/>
      <c r="D177" s="279"/>
      <c r="E177" s="279"/>
      <c r="F177" s="279"/>
    </row>
    <row r="178" spans="1:6" ht="15" customHeight="1">
      <c r="A178" s="38"/>
      <c r="B178" s="279"/>
      <c r="C178" s="279"/>
      <c r="D178" s="279"/>
      <c r="E178" s="279"/>
      <c r="F178" s="279"/>
    </row>
    <row r="179" spans="1:6" ht="15" customHeight="1">
      <c r="A179" s="38"/>
      <c r="B179" s="279"/>
      <c r="C179" s="279"/>
      <c r="D179" s="279"/>
      <c r="E179" s="279"/>
      <c r="F179" s="279"/>
    </row>
    <row r="180" spans="1:6" ht="15" customHeight="1">
      <c r="A180" s="38"/>
      <c r="B180" s="279"/>
      <c r="C180" s="279"/>
      <c r="D180" s="279"/>
      <c r="E180" s="279"/>
      <c r="F180" s="279"/>
    </row>
    <row r="181" spans="1:6" ht="15" customHeight="1">
      <c r="A181" s="38"/>
      <c r="B181" s="279"/>
      <c r="C181" s="279"/>
      <c r="D181" s="279"/>
      <c r="E181" s="279"/>
      <c r="F181" s="279"/>
    </row>
    <row r="182" spans="1:6" ht="15" customHeight="1">
      <c r="A182" s="38"/>
      <c r="B182" s="42"/>
      <c r="C182" s="42"/>
      <c r="D182" s="42"/>
      <c r="E182" s="42"/>
      <c r="F182" s="42"/>
    </row>
    <row r="183" spans="1:6" ht="15" customHeight="1">
      <c r="A183" s="38"/>
      <c r="B183" s="42"/>
      <c r="C183" s="42"/>
      <c r="D183" s="42"/>
      <c r="E183" s="42"/>
      <c r="F183" s="42"/>
    </row>
    <row r="184" spans="1:6" ht="15" customHeight="1">
      <c r="A184" s="38"/>
      <c r="B184" s="42"/>
      <c r="C184" s="42"/>
      <c r="D184" s="42"/>
      <c r="E184" s="42"/>
      <c r="F184" s="42"/>
    </row>
    <row r="185" spans="1:6" ht="15" customHeight="1">
      <c r="A185" s="38"/>
      <c r="B185" s="42"/>
      <c r="C185" s="42"/>
      <c r="D185" s="42"/>
      <c r="E185" s="42"/>
      <c r="F185" s="42"/>
    </row>
    <row r="186" spans="1:6" ht="15" customHeight="1">
      <c r="A186" s="38"/>
      <c r="B186" s="42"/>
      <c r="C186" s="42"/>
      <c r="D186" s="42"/>
      <c r="E186" s="42"/>
      <c r="F186" s="42"/>
    </row>
    <row r="187" spans="1:6" ht="15" customHeight="1">
      <c r="A187" s="38"/>
      <c r="B187" s="42"/>
      <c r="C187" s="42"/>
      <c r="D187" s="42"/>
      <c r="E187" s="42"/>
      <c r="F187" s="42"/>
    </row>
    <row r="188" spans="1:6" ht="15" customHeight="1">
      <c r="A188" s="38"/>
      <c r="B188" s="42"/>
      <c r="C188" s="42"/>
      <c r="D188" s="42"/>
      <c r="E188" s="42"/>
      <c r="F188" s="42"/>
    </row>
    <row r="189" spans="1:6" ht="15" customHeight="1">
      <c r="A189" s="38"/>
      <c r="B189" s="42"/>
      <c r="C189" s="42"/>
      <c r="D189" s="42"/>
      <c r="E189" s="42"/>
      <c r="F189" s="42"/>
    </row>
    <row r="190" spans="1:6" ht="15" customHeight="1">
      <c r="A190" s="38"/>
      <c r="B190" s="42"/>
      <c r="C190" s="42"/>
      <c r="D190" s="42"/>
      <c r="E190" s="42"/>
      <c r="F190" s="42"/>
    </row>
    <row r="191" spans="1:6" ht="15" customHeight="1">
      <c r="A191" s="38"/>
      <c r="B191" s="42"/>
      <c r="C191" s="42"/>
      <c r="D191" s="42"/>
      <c r="E191" s="42"/>
      <c r="F191" s="42"/>
    </row>
    <row r="192" spans="1:6" ht="15" customHeight="1">
      <c r="A192" s="38"/>
      <c r="B192" s="42"/>
      <c r="C192" s="42"/>
      <c r="D192" s="42"/>
      <c r="E192" s="42"/>
      <c r="F192" s="42"/>
    </row>
    <row r="193" spans="1:6" ht="15" customHeight="1">
      <c r="A193" s="38"/>
      <c r="B193" s="42"/>
      <c r="C193" s="42"/>
      <c r="D193" s="42"/>
      <c r="E193" s="42"/>
      <c r="F193" s="42"/>
    </row>
    <row r="194" spans="1:6" ht="15" customHeight="1">
      <c r="A194" s="38"/>
      <c r="B194" s="42"/>
      <c r="C194" s="42"/>
      <c r="D194" s="42"/>
      <c r="E194" s="42"/>
      <c r="F194" s="42"/>
    </row>
    <row r="195" spans="1:6" ht="15" customHeight="1">
      <c r="A195" s="38"/>
      <c r="B195" s="42"/>
      <c r="C195" s="42"/>
      <c r="D195" s="42"/>
      <c r="E195" s="42"/>
      <c r="F195" s="42"/>
    </row>
    <row r="196" spans="1:6" ht="15" customHeight="1">
      <c r="A196" s="38"/>
      <c r="B196" s="42"/>
      <c r="C196" s="42"/>
      <c r="D196" s="42"/>
      <c r="E196" s="42"/>
      <c r="F196" s="42"/>
    </row>
    <row r="197" spans="1:6" ht="15" customHeight="1">
      <c r="A197" s="38"/>
      <c r="B197" s="42"/>
      <c r="C197" s="42"/>
      <c r="D197" s="42"/>
      <c r="E197" s="42"/>
      <c r="F197" s="42"/>
    </row>
    <row r="198" spans="1:6" ht="15" customHeight="1">
      <c r="A198" s="38"/>
      <c r="B198" s="42"/>
      <c r="C198" s="42"/>
      <c r="D198" s="42"/>
      <c r="E198" s="42"/>
      <c r="F198" s="42"/>
    </row>
    <row r="199" spans="1:6" ht="15" customHeight="1">
      <c r="A199" s="38"/>
      <c r="B199" s="42"/>
      <c r="C199" s="42"/>
      <c r="D199" s="42"/>
      <c r="E199" s="42"/>
      <c r="F199" s="42"/>
    </row>
    <row r="200" spans="1:6" ht="15" customHeight="1">
      <c r="A200" s="38"/>
      <c r="B200" s="42"/>
      <c r="C200" s="42"/>
      <c r="D200" s="42"/>
      <c r="E200" s="42"/>
      <c r="F200" s="42"/>
    </row>
    <row r="201" spans="1:6" ht="15" customHeight="1">
      <c r="A201" s="38"/>
      <c r="B201" s="42"/>
      <c r="C201" s="42"/>
      <c r="D201" s="42"/>
      <c r="E201" s="42"/>
      <c r="F201" s="42"/>
    </row>
    <row r="202" spans="1:6" ht="15" customHeight="1">
      <c r="A202" s="38"/>
      <c r="B202" s="42"/>
      <c r="C202" s="42"/>
      <c r="D202" s="42"/>
      <c r="E202" s="42"/>
      <c r="F202" s="42"/>
    </row>
    <row r="203" spans="1:6" ht="15" customHeight="1">
      <c r="A203" s="38"/>
      <c r="B203" s="279"/>
      <c r="C203" s="279"/>
      <c r="D203" s="279"/>
      <c r="E203" s="279"/>
      <c r="F203" s="279"/>
    </row>
    <row r="204" spans="1:6" ht="15" customHeight="1">
      <c r="A204" s="38"/>
      <c r="B204" s="279"/>
      <c r="C204" s="279"/>
      <c r="D204" s="279"/>
      <c r="E204" s="279"/>
      <c r="F204" s="279"/>
    </row>
    <row r="205" spans="1:6" ht="15" customHeight="1">
      <c r="A205" s="38"/>
      <c r="B205" s="279"/>
      <c r="C205" s="279"/>
      <c r="D205" s="279"/>
      <c r="E205" s="279"/>
      <c r="F205" s="279"/>
    </row>
    <row r="206" spans="1:6" ht="15" customHeight="1">
      <c r="A206" s="38"/>
      <c r="B206" s="279"/>
      <c r="C206" s="279"/>
      <c r="D206" s="279"/>
      <c r="E206" s="279"/>
      <c r="F206" s="279"/>
    </row>
    <row r="207" spans="1:6" ht="15" customHeight="1">
      <c r="A207" s="38"/>
      <c r="B207" s="279"/>
      <c r="C207" s="279"/>
      <c r="D207" s="279"/>
      <c r="E207" s="279"/>
      <c r="F207" s="279"/>
    </row>
    <row r="208" spans="1:6" ht="15" customHeight="1">
      <c r="A208" s="38"/>
      <c r="B208" s="279"/>
      <c r="C208" s="279"/>
      <c r="D208" s="279"/>
      <c r="E208" s="279"/>
      <c r="F208" s="279"/>
    </row>
    <row r="209" spans="1:6" ht="15" customHeight="1">
      <c r="A209" s="38"/>
      <c r="B209" s="279"/>
      <c r="C209" s="279"/>
      <c r="D209" s="279"/>
      <c r="E209" s="279"/>
      <c r="F209" s="279"/>
    </row>
    <row r="210" spans="1:6" ht="15" customHeight="1">
      <c r="A210" s="38"/>
      <c r="B210" s="279"/>
      <c r="C210" s="279"/>
      <c r="D210" s="279"/>
      <c r="E210" s="279"/>
      <c r="F210" s="279"/>
    </row>
    <row r="211" spans="1:6" ht="15" customHeight="1">
      <c r="A211" s="38"/>
      <c r="B211" s="42"/>
      <c r="C211" s="42"/>
      <c r="D211" s="42"/>
      <c r="E211" s="42"/>
      <c r="F211" s="42"/>
    </row>
    <row r="212" spans="1:6" ht="15" customHeight="1">
      <c r="A212" s="38"/>
      <c r="B212" s="42"/>
      <c r="C212" s="42"/>
      <c r="D212" s="42"/>
      <c r="E212" s="42"/>
      <c r="F212" s="42"/>
    </row>
    <row r="213" spans="1:6" ht="15" customHeight="1">
      <c r="A213" s="38"/>
      <c r="B213" s="42"/>
      <c r="C213" s="42"/>
      <c r="D213" s="42"/>
      <c r="E213" s="42"/>
      <c r="F213" s="42"/>
    </row>
    <row r="214" spans="1:6" ht="15" customHeight="1">
      <c r="A214" s="38"/>
      <c r="B214" s="42"/>
      <c r="C214" s="42"/>
      <c r="D214" s="42"/>
      <c r="E214" s="42"/>
      <c r="F214" s="42"/>
    </row>
    <row r="215" spans="1:6" ht="15" customHeight="1">
      <c r="A215" s="38"/>
      <c r="B215" s="42"/>
      <c r="C215" s="42"/>
      <c r="D215" s="42"/>
      <c r="E215" s="42"/>
      <c r="F215" s="42"/>
    </row>
    <row r="216" spans="1:6" ht="15" customHeight="1">
      <c r="A216" s="38"/>
      <c r="B216" s="42"/>
      <c r="C216" s="42"/>
      <c r="D216" s="42"/>
      <c r="E216" s="42"/>
      <c r="F216" s="42"/>
    </row>
    <row r="217" spans="1:6" ht="15" customHeight="1">
      <c r="A217" s="38"/>
      <c r="B217" s="42"/>
      <c r="C217" s="42"/>
      <c r="D217" s="42"/>
      <c r="E217" s="42"/>
      <c r="F217" s="42"/>
    </row>
    <row r="218" spans="1:6" ht="15" customHeight="1">
      <c r="A218" s="38"/>
      <c r="B218" s="42"/>
      <c r="C218" s="42"/>
      <c r="D218" s="42"/>
      <c r="E218" s="42"/>
      <c r="F218" s="42"/>
    </row>
    <row r="219" spans="1:6" ht="15" customHeight="1">
      <c r="A219" s="38"/>
      <c r="B219" s="42"/>
      <c r="C219" s="42"/>
      <c r="D219" s="42"/>
      <c r="E219" s="42"/>
      <c r="F219" s="42"/>
    </row>
    <row r="220" spans="1:6" ht="15" customHeight="1">
      <c r="A220" s="38"/>
      <c r="B220" s="42"/>
      <c r="C220" s="42"/>
      <c r="D220" s="42"/>
      <c r="E220" s="42"/>
      <c r="F220" s="42"/>
    </row>
    <row r="221" spans="1:6" ht="15" customHeight="1">
      <c r="A221" s="38"/>
      <c r="B221" s="42"/>
      <c r="C221" s="42"/>
      <c r="D221" s="42"/>
      <c r="E221" s="42"/>
      <c r="F221" s="42"/>
    </row>
    <row r="222" spans="1:6" ht="15" customHeight="1">
      <c r="A222" s="38"/>
      <c r="B222" s="42"/>
      <c r="C222" s="42"/>
      <c r="D222" s="42"/>
      <c r="E222" s="42"/>
      <c r="F222" s="42"/>
    </row>
    <row r="223" spans="1:6" ht="15" customHeight="1">
      <c r="A223" s="38"/>
      <c r="B223" s="42"/>
      <c r="C223" s="42"/>
      <c r="D223" s="42"/>
      <c r="E223" s="42"/>
      <c r="F223" s="42"/>
    </row>
    <row r="224" spans="1:6" ht="15" customHeight="1">
      <c r="A224" s="38"/>
      <c r="B224" s="42"/>
      <c r="C224" s="42"/>
      <c r="D224" s="42"/>
      <c r="E224" s="42"/>
      <c r="F224" s="42"/>
    </row>
    <row r="225" spans="1:6" ht="15" customHeight="1">
      <c r="A225" s="38"/>
      <c r="B225" s="42"/>
      <c r="C225" s="42"/>
      <c r="D225" s="42"/>
      <c r="E225" s="42"/>
      <c r="F225" s="42"/>
    </row>
    <row r="226" spans="1:6" ht="15" customHeight="1">
      <c r="A226" s="38"/>
      <c r="B226" s="42"/>
      <c r="C226" s="42"/>
      <c r="D226" s="42"/>
      <c r="E226" s="42"/>
      <c r="F226" s="42"/>
    </row>
    <row r="227" spans="1:6" ht="15" customHeight="1">
      <c r="A227" s="38"/>
      <c r="B227" s="42"/>
      <c r="C227" s="42"/>
      <c r="D227" s="42"/>
      <c r="E227" s="42"/>
      <c r="F227" s="42"/>
    </row>
    <row r="228" spans="1:6" ht="15" customHeight="1">
      <c r="A228" s="38"/>
      <c r="B228" s="42"/>
      <c r="C228" s="42"/>
      <c r="D228" s="42"/>
      <c r="E228" s="42"/>
      <c r="F228" s="42"/>
    </row>
    <row r="229" spans="1:6" ht="15" customHeight="1">
      <c r="A229" s="38"/>
      <c r="B229" s="42"/>
      <c r="C229" s="42"/>
      <c r="D229" s="42"/>
      <c r="E229" s="42"/>
      <c r="F229" s="42"/>
    </row>
    <row r="230" spans="1:6" ht="15" customHeight="1">
      <c r="A230" s="38"/>
      <c r="B230" s="42"/>
      <c r="C230" s="42"/>
      <c r="D230" s="42"/>
      <c r="E230" s="42"/>
      <c r="F230" s="42"/>
    </row>
    <row r="231" spans="1:6" ht="15" customHeight="1">
      <c r="A231" s="38"/>
      <c r="B231" s="279"/>
      <c r="C231" s="279"/>
      <c r="D231" s="279"/>
      <c r="E231" s="279"/>
      <c r="F231" s="279"/>
    </row>
    <row r="232" spans="1:6" ht="15" customHeight="1">
      <c r="A232" s="38"/>
      <c r="B232" s="279"/>
      <c r="C232" s="279"/>
      <c r="D232" s="279"/>
      <c r="E232" s="279"/>
      <c r="F232" s="279"/>
    </row>
    <row r="233" spans="1:6" ht="15" customHeight="1">
      <c r="A233" s="38"/>
      <c r="B233" s="279"/>
      <c r="C233" s="279"/>
      <c r="D233" s="279"/>
      <c r="E233" s="279"/>
      <c r="F233" s="279"/>
    </row>
    <row r="234" spans="1:6" ht="15" customHeight="1">
      <c r="A234" s="38"/>
      <c r="B234" s="279"/>
      <c r="C234" s="279"/>
      <c r="D234" s="279"/>
      <c r="E234" s="279"/>
      <c r="F234" s="279"/>
    </row>
    <row r="235" spans="1:6" ht="15" customHeight="1">
      <c r="A235" s="38"/>
      <c r="B235" s="279"/>
      <c r="C235" s="279"/>
      <c r="D235" s="279"/>
      <c r="E235" s="279"/>
      <c r="F235" s="279"/>
    </row>
    <row r="236" spans="1:6" ht="15" customHeight="1">
      <c r="A236" s="38"/>
      <c r="B236" s="279"/>
      <c r="C236" s="279"/>
      <c r="D236" s="279"/>
      <c r="E236" s="279"/>
      <c r="F236" s="279"/>
    </row>
    <row r="237" spans="1:6" ht="15" customHeight="1">
      <c r="A237" s="38"/>
      <c r="B237" s="279"/>
      <c r="C237" s="279"/>
      <c r="D237" s="279"/>
      <c r="E237" s="279"/>
      <c r="F237" s="279"/>
    </row>
    <row r="238" spans="1:6" ht="15" customHeight="1">
      <c r="A238" s="38"/>
      <c r="B238" s="279"/>
      <c r="C238" s="279"/>
      <c r="D238" s="279"/>
      <c r="E238" s="279"/>
      <c r="F238" s="279"/>
    </row>
    <row r="239" spans="1:6" ht="15" customHeight="1">
      <c r="A239" s="38"/>
      <c r="B239" s="279"/>
      <c r="C239" s="279"/>
      <c r="D239" s="279"/>
      <c r="E239" s="279"/>
      <c r="F239" s="279"/>
    </row>
    <row r="240" spans="1:6" ht="15" customHeight="1">
      <c r="A240" s="38"/>
      <c r="B240" s="42"/>
      <c r="C240" s="42"/>
      <c r="D240" s="42"/>
      <c r="E240" s="42"/>
      <c r="F240" s="42"/>
    </row>
    <row r="241" spans="1:6" ht="15" customHeight="1">
      <c r="A241" s="38"/>
      <c r="B241" s="42"/>
      <c r="C241" s="42"/>
      <c r="D241" s="42"/>
      <c r="E241" s="42"/>
      <c r="F241" s="42"/>
    </row>
    <row r="242" spans="1:6" ht="15" customHeight="1">
      <c r="A242" s="38"/>
      <c r="B242" s="42"/>
      <c r="C242" s="42"/>
      <c r="D242" s="42"/>
      <c r="E242" s="42"/>
      <c r="F242" s="42"/>
    </row>
    <row r="243" spans="1:6" ht="15" customHeight="1">
      <c r="A243" s="38"/>
      <c r="B243" s="42"/>
      <c r="C243" s="42"/>
      <c r="D243" s="42"/>
      <c r="E243" s="42"/>
      <c r="F243" s="42"/>
    </row>
    <row r="244" spans="1:6" ht="15" customHeight="1">
      <c r="A244" s="38"/>
      <c r="B244" s="42"/>
      <c r="C244" s="42"/>
      <c r="D244" s="42"/>
      <c r="E244" s="42"/>
      <c r="F244" s="42"/>
    </row>
    <row r="245" spans="1:6" ht="15" customHeight="1">
      <c r="A245" s="38"/>
      <c r="B245" s="279"/>
      <c r="C245" s="279"/>
      <c r="D245" s="279"/>
      <c r="E245" s="279"/>
      <c r="F245" s="279"/>
    </row>
    <row r="246" spans="1:6" ht="15" customHeight="1">
      <c r="A246" s="38"/>
      <c r="B246" s="279"/>
      <c r="C246" s="279"/>
      <c r="D246" s="279"/>
      <c r="E246" s="279"/>
      <c r="F246" s="279"/>
    </row>
    <row r="247" spans="1:6" ht="15" customHeight="1">
      <c r="A247" s="38"/>
      <c r="B247" s="279"/>
      <c r="C247" s="279"/>
      <c r="D247" s="279"/>
      <c r="E247" s="279"/>
      <c r="F247" s="279"/>
    </row>
    <row r="248" spans="1:6" ht="15" customHeight="1">
      <c r="A248" s="38"/>
      <c r="B248" s="279"/>
      <c r="C248" s="279"/>
      <c r="D248" s="279"/>
      <c r="E248" s="279"/>
      <c r="F248" s="279"/>
    </row>
    <row r="250" spans="1:6" s="39" customFormat="1" ht="15" customHeight="1">
      <c r="A250" s="46" t="s">
        <v>28</v>
      </c>
      <c r="B250" s="46">
        <v>35</v>
      </c>
      <c r="C250" s="46">
        <f>MAX(B251:B316)</f>
        <v>45</v>
      </c>
      <c r="D250" s="47"/>
    </row>
    <row r="251" spans="1:6" s="39" customFormat="1" ht="15" customHeight="1">
      <c r="A251" s="255"/>
      <c r="B251" s="48">
        <v>1</v>
      </c>
      <c r="C251" s="48" t="s">
        <v>29</v>
      </c>
      <c r="D251" s="48" t="s">
        <v>30</v>
      </c>
    </row>
    <row r="252" spans="1:6" s="39" customFormat="1" ht="15" customHeight="1">
      <c r="A252" s="255"/>
      <c r="B252" s="48">
        <v>2</v>
      </c>
      <c r="C252" s="48" t="s">
        <v>31</v>
      </c>
      <c r="D252" s="48" t="s">
        <v>32</v>
      </c>
    </row>
    <row r="253" spans="1:6" s="39" customFormat="1" ht="15" customHeight="1">
      <c r="A253" s="255"/>
      <c r="B253" s="48">
        <v>3</v>
      </c>
      <c r="C253" s="48" t="s">
        <v>33</v>
      </c>
      <c r="D253" s="48" t="s">
        <v>34</v>
      </c>
    </row>
    <row r="254" spans="1:6" s="39" customFormat="1" ht="15" customHeight="1">
      <c r="A254" s="255"/>
      <c r="B254" s="48">
        <v>4</v>
      </c>
      <c r="C254" s="48" t="s">
        <v>35</v>
      </c>
      <c r="D254" s="48" t="s">
        <v>36</v>
      </c>
    </row>
    <row r="255" spans="1:6" s="39" customFormat="1" ht="15" customHeight="1">
      <c r="A255" s="255"/>
      <c r="B255" s="48">
        <v>5</v>
      </c>
      <c r="C255" s="48" t="s">
        <v>37</v>
      </c>
      <c r="D255" s="48" t="s">
        <v>38</v>
      </c>
    </row>
    <row r="256" spans="1:6" s="39" customFormat="1" ht="15" customHeight="1">
      <c r="A256" s="255"/>
      <c r="B256" s="48">
        <v>6</v>
      </c>
      <c r="C256" s="48" t="s">
        <v>39</v>
      </c>
      <c r="D256" s="48" t="s">
        <v>40</v>
      </c>
    </row>
    <row r="257" spans="1:4" s="39" customFormat="1" ht="15" customHeight="1">
      <c r="A257" s="255"/>
      <c r="B257" s="48">
        <v>7</v>
      </c>
      <c r="C257" s="48" t="s">
        <v>41</v>
      </c>
      <c r="D257" s="48" t="s">
        <v>42</v>
      </c>
    </row>
    <row r="258" spans="1:4" s="39" customFormat="1" ht="15" customHeight="1">
      <c r="A258" s="255"/>
      <c r="B258" s="48">
        <v>8</v>
      </c>
      <c r="C258" s="48" t="s">
        <v>43</v>
      </c>
      <c r="D258" s="48" t="s">
        <v>44</v>
      </c>
    </row>
    <row r="259" spans="1:4" s="39" customFormat="1" ht="15" customHeight="1">
      <c r="A259" s="255"/>
      <c r="B259" s="48">
        <v>9</v>
      </c>
      <c r="C259" s="48" t="s">
        <v>45</v>
      </c>
      <c r="D259" s="48" t="s">
        <v>46</v>
      </c>
    </row>
    <row r="260" spans="1:4" s="39" customFormat="1" ht="15" customHeight="1">
      <c r="A260" s="255"/>
      <c r="B260" s="48">
        <v>10</v>
      </c>
      <c r="C260" s="48" t="s">
        <v>47</v>
      </c>
      <c r="D260" s="48" t="s">
        <v>48</v>
      </c>
    </row>
    <row r="261" spans="1:4" s="39" customFormat="1" ht="15" customHeight="1">
      <c r="A261" s="255"/>
      <c r="B261" s="48">
        <v>11</v>
      </c>
      <c r="C261" s="48" t="s">
        <v>49</v>
      </c>
      <c r="D261" s="48" t="s">
        <v>50</v>
      </c>
    </row>
    <row r="262" spans="1:4" s="39" customFormat="1" ht="15" customHeight="1">
      <c r="A262" s="255"/>
      <c r="B262" s="48">
        <v>12</v>
      </c>
      <c r="C262" s="48" t="s">
        <v>51</v>
      </c>
      <c r="D262" s="48" t="s">
        <v>52</v>
      </c>
    </row>
    <row r="263" spans="1:4" s="39" customFormat="1" ht="15" customHeight="1">
      <c r="A263" s="255"/>
      <c r="B263" s="48">
        <v>13</v>
      </c>
      <c r="C263" s="48" t="s">
        <v>53</v>
      </c>
      <c r="D263" s="48" t="s">
        <v>54</v>
      </c>
    </row>
    <row r="264" spans="1:4" s="39" customFormat="1" ht="15" customHeight="1">
      <c r="A264" s="255"/>
      <c r="B264" s="48">
        <v>14</v>
      </c>
      <c r="C264" s="48" t="s">
        <v>55</v>
      </c>
      <c r="D264" s="48" t="s">
        <v>56</v>
      </c>
    </row>
    <row r="265" spans="1:4" s="39" customFormat="1" ht="15" customHeight="1">
      <c r="A265" s="255"/>
      <c r="B265" s="48">
        <v>15</v>
      </c>
      <c r="C265" s="48" t="s">
        <v>57</v>
      </c>
      <c r="D265" s="48" t="s">
        <v>58</v>
      </c>
    </row>
    <row r="266" spans="1:4" s="39" customFormat="1" ht="15" customHeight="1">
      <c r="A266" s="255"/>
      <c r="B266" s="48">
        <v>16</v>
      </c>
      <c r="C266" s="48" t="s">
        <v>59</v>
      </c>
      <c r="D266" s="48" t="s">
        <v>60</v>
      </c>
    </row>
    <row r="267" spans="1:4" s="39" customFormat="1" ht="15" customHeight="1">
      <c r="A267" s="255"/>
      <c r="B267" s="48">
        <v>17</v>
      </c>
      <c r="C267" s="48" t="s">
        <v>61</v>
      </c>
      <c r="D267" s="48" t="s">
        <v>62</v>
      </c>
    </row>
    <row r="268" spans="1:4" s="39" customFormat="1" ht="15" customHeight="1">
      <c r="A268" s="255"/>
      <c r="B268" s="48">
        <v>18</v>
      </c>
      <c r="C268" s="48" t="s">
        <v>63</v>
      </c>
      <c r="D268" s="48" t="s">
        <v>64</v>
      </c>
    </row>
    <row r="269" spans="1:4" s="39" customFormat="1" ht="15" customHeight="1">
      <c r="A269" s="255"/>
      <c r="B269" s="48">
        <v>19</v>
      </c>
      <c r="C269" s="48" t="s">
        <v>65</v>
      </c>
      <c r="D269" s="48" t="s">
        <v>66</v>
      </c>
    </row>
    <row r="270" spans="1:4" s="39" customFormat="1" ht="15" customHeight="1">
      <c r="A270" s="255"/>
      <c r="B270" s="48">
        <v>20</v>
      </c>
      <c r="C270" s="48" t="s">
        <v>67</v>
      </c>
      <c r="D270" s="48" t="s">
        <v>68</v>
      </c>
    </row>
    <row r="271" spans="1:4" s="39" customFormat="1" ht="15" customHeight="1">
      <c r="A271" s="255"/>
      <c r="B271" s="48">
        <v>21</v>
      </c>
      <c r="C271" s="48" t="s">
        <v>69</v>
      </c>
      <c r="D271" s="48" t="s">
        <v>70</v>
      </c>
    </row>
    <row r="272" spans="1:4" s="39" customFormat="1" ht="15" customHeight="1">
      <c r="A272" s="255"/>
      <c r="B272" s="48">
        <v>22</v>
      </c>
      <c r="C272" s="48" t="s">
        <v>71</v>
      </c>
      <c r="D272" s="48" t="s">
        <v>72</v>
      </c>
    </row>
    <row r="273" spans="1:4" s="39" customFormat="1" ht="15" customHeight="1">
      <c r="A273" s="255"/>
      <c r="B273" s="48">
        <v>23</v>
      </c>
      <c r="C273" s="48" t="s">
        <v>73</v>
      </c>
      <c r="D273" s="48" t="s">
        <v>74</v>
      </c>
    </row>
    <row r="274" spans="1:4" s="39" customFormat="1" ht="15" customHeight="1">
      <c r="A274" s="255"/>
      <c r="B274" s="48">
        <v>24</v>
      </c>
      <c r="C274" s="48" t="s">
        <v>75</v>
      </c>
      <c r="D274" s="48" t="s">
        <v>76</v>
      </c>
    </row>
    <row r="275" spans="1:4" s="39" customFormat="1" ht="15" customHeight="1">
      <c r="A275" s="255"/>
      <c r="B275" s="48">
        <v>25</v>
      </c>
      <c r="C275" s="48" t="s">
        <v>77</v>
      </c>
      <c r="D275" s="48" t="s">
        <v>78</v>
      </c>
    </row>
    <row r="276" spans="1:4" s="39" customFormat="1" ht="15" customHeight="1">
      <c r="A276" s="255"/>
      <c r="B276" s="48">
        <v>26</v>
      </c>
      <c r="C276" s="48" t="s">
        <v>79</v>
      </c>
      <c r="D276" s="48" t="s">
        <v>80</v>
      </c>
    </row>
    <row r="277" spans="1:4" s="39" customFormat="1" ht="15" customHeight="1">
      <c r="A277" s="255"/>
      <c r="B277" s="48">
        <v>27</v>
      </c>
      <c r="C277" s="48" t="s">
        <v>81</v>
      </c>
      <c r="D277" s="48" t="s">
        <v>82</v>
      </c>
    </row>
    <row r="278" spans="1:4" s="39" customFormat="1" ht="15" customHeight="1">
      <c r="A278" s="255"/>
      <c r="B278" s="48">
        <v>28</v>
      </c>
      <c r="C278" s="48" t="s">
        <v>83</v>
      </c>
      <c r="D278" s="48" t="s">
        <v>84</v>
      </c>
    </row>
    <row r="279" spans="1:4" s="39" customFormat="1" ht="15" customHeight="1">
      <c r="A279" s="255"/>
      <c r="B279" s="48">
        <v>29</v>
      </c>
      <c r="C279" s="48" t="s">
        <v>85</v>
      </c>
      <c r="D279" s="48" t="s">
        <v>86</v>
      </c>
    </row>
    <row r="280" spans="1:4" s="39" customFormat="1" ht="15" customHeight="1">
      <c r="A280" s="255"/>
      <c r="B280" s="48">
        <v>30</v>
      </c>
      <c r="C280" s="48" t="s">
        <v>87</v>
      </c>
      <c r="D280" s="48" t="s">
        <v>88</v>
      </c>
    </row>
    <row r="281" spans="1:4" s="39" customFormat="1" ht="15" customHeight="1">
      <c r="A281" s="255"/>
      <c r="B281" s="48">
        <v>31</v>
      </c>
      <c r="C281" s="48" t="s">
        <v>89</v>
      </c>
      <c r="D281" s="48" t="s">
        <v>90</v>
      </c>
    </row>
    <row r="282" spans="1:4" s="39" customFormat="1" ht="15" customHeight="1">
      <c r="A282" s="255"/>
      <c r="B282" s="48">
        <v>32</v>
      </c>
      <c r="C282" s="48" t="s">
        <v>91</v>
      </c>
      <c r="D282" s="48" t="s">
        <v>92</v>
      </c>
    </row>
    <row r="283" spans="1:4" s="39" customFormat="1" ht="15" customHeight="1">
      <c r="A283" s="255"/>
      <c r="B283" s="48">
        <v>33</v>
      </c>
      <c r="C283" s="48" t="s">
        <v>93</v>
      </c>
      <c r="D283" s="48" t="s">
        <v>94</v>
      </c>
    </row>
    <row r="284" spans="1:4" s="39" customFormat="1" ht="15" customHeight="1">
      <c r="A284" s="255"/>
      <c r="B284" s="48">
        <v>34</v>
      </c>
      <c r="C284" s="48" t="s">
        <v>95</v>
      </c>
      <c r="D284" s="48" t="s">
        <v>96</v>
      </c>
    </row>
    <row r="285" spans="1:4" s="39" customFormat="1" ht="15" customHeight="1">
      <c r="A285" s="255"/>
      <c r="B285" s="48">
        <v>35</v>
      </c>
      <c r="C285" s="48" t="s">
        <v>97</v>
      </c>
      <c r="D285" s="48" t="s">
        <v>98</v>
      </c>
    </row>
    <row r="286" spans="1:4" s="39" customFormat="1" ht="15" customHeight="1">
      <c r="A286" s="255"/>
      <c r="B286" s="48">
        <v>36</v>
      </c>
      <c r="C286" s="48" t="s">
        <v>99</v>
      </c>
      <c r="D286" s="48" t="s">
        <v>100</v>
      </c>
    </row>
    <row r="287" spans="1:4" s="39" customFormat="1" ht="15" customHeight="1">
      <c r="A287" s="255"/>
      <c r="B287" s="48">
        <v>37</v>
      </c>
      <c r="C287" s="48" t="s">
        <v>101</v>
      </c>
      <c r="D287" s="48" t="s">
        <v>102</v>
      </c>
    </row>
    <row r="288" spans="1:4" s="39" customFormat="1" ht="15" customHeight="1">
      <c r="A288" s="255"/>
      <c r="B288" s="48">
        <v>38</v>
      </c>
      <c r="C288" s="48" t="s">
        <v>103</v>
      </c>
      <c r="D288" s="48" t="s">
        <v>104</v>
      </c>
    </row>
    <row r="289" spans="1:4" s="39" customFormat="1" ht="15" customHeight="1">
      <c r="A289" s="255"/>
      <c r="B289" s="48">
        <v>39</v>
      </c>
      <c r="C289" s="48" t="s">
        <v>105</v>
      </c>
      <c r="D289" s="48" t="s">
        <v>106</v>
      </c>
    </row>
    <row r="290" spans="1:4" s="39" customFormat="1" ht="15" customHeight="1">
      <c r="A290" s="255"/>
      <c r="B290" s="48">
        <v>40</v>
      </c>
      <c r="C290" s="48" t="s">
        <v>107</v>
      </c>
      <c r="D290" s="48" t="s">
        <v>108</v>
      </c>
    </row>
    <row r="291" spans="1:4" s="39" customFormat="1" ht="15" customHeight="1">
      <c r="A291" s="255"/>
      <c r="B291" s="48">
        <v>41</v>
      </c>
      <c r="C291" s="48" t="s">
        <v>109</v>
      </c>
      <c r="D291" s="48" t="s">
        <v>110</v>
      </c>
    </row>
    <row r="292" spans="1:4" s="39" customFormat="1" ht="15" customHeight="1">
      <c r="A292" s="255"/>
      <c r="B292" s="48">
        <v>42</v>
      </c>
      <c r="C292" s="48" t="s">
        <v>111</v>
      </c>
      <c r="D292" s="48" t="s">
        <v>112</v>
      </c>
    </row>
    <row r="293" spans="1:4" s="39" customFormat="1" ht="15" customHeight="1">
      <c r="A293" s="255"/>
      <c r="B293" s="48">
        <v>43</v>
      </c>
      <c r="C293" s="48" t="s">
        <v>113</v>
      </c>
      <c r="D293" s="48" t="s">
        <v>114</v>
      </c>
    </row>
    <row r="294" spans="1:4" s="39" customFormat="1" ht="15" customHeight="1">
      <c r="A294" s="255"/>
      <c r="B294" s="48">
        <v>44</v>
      </c>
      <c r="C294" s="48" t="s">
        <v>115</v>
      </c>
      <c r="D294" s="48" t="s">
        <v>116</v>
      </c>
    </row>
    <row r="295" spans="1:4" s="39" customFormat="1" ht="15" customHeight="1">
      <c r="A295" s="255"/>
      <c r="B295" s="48">
        <v>45</v>
      </c>
      <c r="C295" s="48" t="s">
        <v>117</v>
      </c>
      <c r="D295" s="48" t="s">
        <v>118</v>
      </c>
    </row>
    <row r="296" spans="1:4" s="39" customFormat="1" ht="15" customHeight="1">
      <c r="A296" s="255"/>
      <c r="B296" s="48"/>
      <c r="C296" s="48"/>
      <c r="D296" s="48"/>
    </row>
    <row r="297" spans="1:4" s="39" customFormat="1" ht="15" customHeight="1">
      <c r="A297" s="255"/>
      <c r="B297" s="48"/>
      <c r="C297" s="48"/>
      <c r="D297" s="48"/>
    </row>
    <row r="298" spans="1:4" s="39" customFormat="1" ht="15" customHeight="1">
      <c r="A298" s="255"/>
      <c r="B298" s="48"/>
      <c r="C298" s="48"/>
      <c r="D298" s="48"/>
    </row>
    <row r="299" spans="1:4" s="39" customFormat="1" ht="15" customHeight="1">
      <c r="A299" s="255"/>
      <c r="B299" s="48"/>
      <c r="C299" s="48"/>
      <c r="D299" s="48"/>
    </row>
    <row r="300" spans="1:4" s="39" customFormat="1" ht="15" customHeight="1">
      <c r="A300" s="255"/>
      <c r="B300" s="48"/>
      <c r="C300" s="48"/>
      <c r="D300" s="48"/>
    </row>
    <row r="301" spans="1:4" s="39" customFormat="1" ht="15" customHeight="1">
      <c r="A301" s="255"/>
      <c r="B301" s="48"/>
      <c r="C301" s="48"/>
      <c r="D301" s="48"/>
    </row>
    <row r="302" spans="1:4" s="39" customFormat="1" ht="15" customHeight="1">
      <c r="A302" s="255"/>
      <c r="B302" s="48"/>
      <c r="C302" s="48"/>
      <c r="D302" s="48"/>
    </row>
    <row r="303" spans="1:4" s="39" customFormat="1" ht="15" customHeight="1">
      <c r="A303" s="255"/>
      <c r="B303" s="48"/>
      <c r="C303" s="48"/>
      <c r="D303" s="48"/>
    </row>
    <row r="304" spans="1:4" s="39" customFormat="1" ht="15" customHeight="1">
      <c r="A304" s="255"/>
      <c r="B304" s="48"/>
      <c r="C304" s="48"/>
      <c r="D304" s="48"/>
    </row>
    <row r="305" spans="1:4" s="39" customFormat="1" ht="15" customHeight="1">
      <c r="A305" s="255"/>
      <c r="B305" s="48"/>
      <c r="C305" s="48"/>
      <c r="D305" s="48"/>
    </row>
    <row r="306" spans="1:4" s="39" customFormat="1" ht="15" customHeight="1">
      <c r="A306" s="255"/>
      <c r="B306" s="48"/>
      <c r="C306" s="48"/>
      <c r="D306" s="48"/>
    </row>
    <row r="307" spans="1:4" s="39" customFormat="1" ht="15" customHeight="1">
      <c r="A307" s="255"/>
      <c r="B307" s="48"/>
      <c r="C307" s="48"/>
      <c r="D307" s="48"/>
    </row>
    <row r="308" spans="1:4" s="39" customFormat="1" ht="15" customHeight="1">
      <c r="A308" s="255"/>
      <c r="B308" s="48"/>
      <c r="C308" s="48"/>
      <c r="D308" s="48"/>
    </row>
    <row r="309" spans="1:4" s="39" customFormat="1" ht="15" customHeight="1">
      <c r="A309" s="255"/>
      <c r="B309" s="48"/>
      <c r="C309" s="48"/>
      <c r="D309" s="48"/>
    </row>
    <row r="310" spans="1:4" s="39" customFormat="1" ht="15" customHeight="1">
      <c r="A310" s="255"/>
      <c r="B310" s="48"/>
      <c r="C310" s="48"/>
      <c r="D310" s="48"/>
    </row>
    <row r="311" spans="1:4" s="39" customFormat="1" ht="15" customHeight="1">
      <c r="A311" s="255"/>
      <c r="B311" s="48"/>
      <c r="C311" s="48"/>
      <c r="D311" s="48"/>
    </row>
    <row r="312" spans="1:4" s="39" customFormat="1" ht="15" customHeight="1">
      <c r="A312" s="255"/>
      <c r="B312" s="48"/>
      <c r="C312" s="48"/>
      <c r="D312" s="48"/>
    </row>
    <row r="313" spans="1:4" s="39" customFormat="1" ht="15" customHeight="1">
      <c r="A313" s="255"/>
      <c r="B313" s="48"/>
      <c r="C313" s="48"/>
      <c r="D313" s="48"/>
    </row>
    <row r="314" spans="1:4" s="39" customFormat="1" ht="15" customHeight="1">
      <c r="A314" s="255"/>
      <c r="B314" s="48"/>
      <c r="C314" s="48"/>
      <c r="D314" s="48"/>
    </row>
    <row r="315" spans="1:4" s="39" customFormat="1" ht="15" customHeight="1">
      <c r="A315" s="255"/>
      <c r="B315" s="48"/>
      <c r="C315" s="48"/>
      <c r="D315" s="48"/>
    </row>
    <row r="316" spans="1:4" s="39" customFormat="1" ht="15" customHeight="1">
      <c r="A316" s="255"/>
      <c r="B316" s="48">
        <v>0</v>
      </c>
      <c r="C316" s="48" t="s">
        <v>119</v>
      </c>
      <c r="D316" s="49">
        <v>0</v>
      </c>
    </row>
    <row r="317" spans="1:4" s="39" customFormat="1" ht="15" customHeight="1"/>
    <row r="318" spans="1:4" s="39" customFormat="1" ht="15" customHeight="1"/>
    <row r="319" spans="1:4" s="39" customFormat="1" ht="15" customHeight="1">
      <c r="B319" s="256" t="s">
        <v>120</v>
      </c>
      <c r="C319" s="256" t="s">
        <v>121</v>
      </c>
    </row>
    <row r="320" spans="1:4" s="39" customFormat="1" ht="15" customHeight="1">
      <c r="B320" s="256" t="s">
        <v>0</v>
      </c>
      <c r="C320" s="256" t="s">
        <v>122</v>
      </c>
    </row>
    <row r="321" spans="2:3" s="39" customFormat="1" ht="15" customHeight="1">
      <c r="B321" s="256" t="s">
        <v>123</v>
      </c>
      <c r="C321" s="256" t="s">
        <v>124</v>
      </c>
    </row>
    <row r="322" spans="2:3" s="39" customFormat="1" ht="15" customHeight="1">
      <c r="B322" s="256" t="s">
        <v>125</v>
      </c>
      <c r="C322" s="256" t="s">
        <v>126</v>
      </c>
    </row>
    <row r="323" spans="2:3" s="39" customFormat="1" ht="15" customHeight="1">
      <c r="B323" s="256" t="s">
        <v>127</v>
      </c>
      <c r="C323" s="256" t="s">
        <v>128</v>
      </c>
    </row>
    <row r="324" spans="2:3" s="39" customFormat="1" ht="15" customHeight="1">
      <c r="B324" s="256" t="s">
        <v>129</v>
      </c>
      <c r="C324" s="256" t="s">
        <v>130</v>
      </c>
    </row>
    <row r="325" spans="2:3" s="39" customFormat="1" ht="15" customHeight="1"/>
    <row r="326" spans="2:3" s="39" customFormat="1" ht="15" customHeight="1"/>
    <row r="327" spans="2:3" s="39" customFormat="1" ht="15" customHeight="1"/>
    <row r="328" spans="2:3" s="39" customFormat="1" ht="15" customHeight="1"/>
    <row r="329" spans="2:3" s="39" customFormat="1" ht="15" customHeight="1"/>
    <row r="330" spans="2:3" s="39" customFormat="1" ht="15" customHeight="1"/>
    <row r="331" spans="2:3" s="39" customFormat="1" ht="15" customHeight="1"/>
    <row r="332" spans="2:3" s="39" customFormat="1" ht="15" customHeight="1"/>
    <row r="333" spans="2:3" s="39" customFormat="1" ht="15" customHeight="1"/>
    <row r="334" spans="2:3" s="39" customFormat="1" ht="15" customHeight="1"/>
    <row r="335" spans="2:3" s="39" customFormat="1" ht="15" customHeight="1"/>
    <row r="336" spans="2:3" s="39" customFormat="1" ht="15" customHeight="1"/>
    <row r="337" s="39" customFormat="1" ht="15" customHeight="1"/>
    <row r="338" s="39" customFormat="1" ht="15" customHeight="1"/>
    <row r="339" s="39" customFormat="1" ht="15" customHeight="1"/>
    <row r="340" s="39" customFormat="1" ht="15" customHeight="1"/>
    <row r="341" s="39" customFormat="1" ht="15" customHeight="1"/>
    <row r="342" s="39" customFormat="1" ht="15" customHeight="1"/>
    <row r="343" s="39" customFormat="1" ht="15" customHeight="1"/>
    <row r="344" s="39" customFormat="1" ht="15" customHeight="1"/>
    <row r="345" s="39" customFormat="1" ht="15" customHeight="1"/>
    <row r="346" s="39" customFormat="1" ht="15" customHeight="1"/>
    <row r="347" s="39" customFormat="1" ht="15" customHeight="1"/>
    <row r="348" s="39" customFormat="1" ht="15" customHeight="1"/>
    <row r="349" s="39" customFormat="1" ht="15" customHeight="1"/>
    <row r="350" s="39" customFormat="1" ht="15" customHeight="1"/>
    <row r="351" s="39" customFormat="1" ht="15" customHeight="1"/>
    <row r="352" s="39" customFormat="1" ht="15" customHeight="1"/>
    <row r="353" s="39" customFormat="1" ht="15" customHeight="1"/>
    <row r="354" s="39" customFormat="1" ht="15" customHeight="1"/>
    <row r="355" s="39" customFormat="1" ht="15" customHeight="1"/>
    <row r="356" s="39" customFormat="1" ht="15" customHeight="1"/>
    <row r="357" s="39" customFormat="1" ht="15" customHeight="1"/>
    <row r="358" s="39" customFormat="1" ht="15" customHeight="1"/>
    <row r="359" s="39" customFormat="1" ht="15" customHeight="1"/>
    <row r="360" s="39" customFormat="1" ht="15" customHeight="1"/>
    <row r="361" s="39" customFormat="1" ht="15" customHeight="1"/>
    <row r="362" s="39" customFormat="1" ht="15" customHeight="1"/>
    <row r="363" s="39" customFormat="1" ht="15" customHeight="1"/>
    <row r="364" s="39" customFormat="1" ht="15" customHeight="1"/>
    <row r="365" s="39" customFormat="1" ht="15" customHeight="1"/>
    <row r="366" s="39" customFormat="1" ht="15" customHeight="1"/>
    <row r="367" s="39" customFormat="1" ht="15" customHeight="1"/>
    <row r="368" s="39" customFormat="1" ht="15" customHeight="1"/>
    <row r="369" s="39" customFormat="1" ht="15" customHeight="1"/>
    <row r="370" s="39" customFormat="1" ht="15" customHeight="1"/>
    <row r="371" s="39" customFormat="1" ht="15" customHeight="1"/>
    <row r="372" s="39" customFormat="1" ht="15" customHeight="1"/>
    <row r="373" s="39" customFormat="1" ht="15" customHeight="1"/>
    <row r="374" s="39" customFormat="1" ht="15" customHeight="1"/>
    <row r="375" s="39" customFormat="1" ht="15" customHeight="1"/>
    <row r="376" s="39" customFormat="1" ht="15" customHeight="1"/>
    <row r="377" s="39" customFormat="1" ht="15" customHeight="1"/>
    <row r="378" s="39" customFormat="1" ht="15" customHeight="1"/>
    <row r="379" s="39" customFormat="1" ht="15" customHeight="1"/>
    <row r="380" s="39" customFormat="1" ht="15" customHeight="1"/>
    <row r="381" s="39" customFormat="1" ht="15" customHeight="1"/>
    <row r="382" s="40" customFormat="1" ht="15" customHeight="1"/>
    <row r="383" s="40" customFormat="1" ht="15" customHeight="1"/>
    <row r="384" s="40" customFormat="1" ht="15" customHeight="1"/>
    <row r="385" s="40" customFormat="1" ht="15" customHeight="1"/>
    <row r="386" s="40" customFormat="1" ht="15" customHeight="1"/>
    <row r="387" s="40" customFormat="1" ht="15" customHeight="1"/>
    <row r="388" s="40" customFormat="1" ht="15" customHeight="1"/>
    <row r="389" s="40" customFormat="1" ht="15" customHeight="1"/>
    <row r="390" s="40" customFormat="1" ht="15" customHeight="1"/>
    <row r="391" s="40" customFormat="1" ht="15" customHeight="1"/>
    <row r="392" s="40" customFormat="1" ht="15" customHeight="1"/>
    <row r="393" s="40" customFormat="1" ht="15" customHeight="1"/>
    <row r="394" s="40" customFormat="1" ht="15" customHeight="1"/>
    <row r="395" s="40" customFormat="1" ht="15" customHeight="1"/>
    <row r="396" s="40" customFormat="1" ht="15" customHeight="1"/>
    <row r="397" s="40" customFormat="1" ht="15" customHeight="1"/>
    <row r="398" s="40" customFormat="1" ht="15" customHeight="1"/>
    <row r="399" s="40" customFormat="1" ht="15" customHeight="1"/>
    <row r="400" s="40" customFormat="1" ht="15" customHeight="1"/>
    <row r="401" s="40" customFormat="1" ht="15" customHeight="1"/>
    <row r="402" s="40" customFormat="1" ht="15" customHeight="1"/>
  </sheetData>
  <sheetProtection selectLockedCells="1"/>
  <mergeCells count="189">
    <mergeCell ref="B14:F14"/>
    <mergeCell ref="B58:F58"/>
    <mergeCell ref="B59:F59"/>
    <mergeCell ref="B60:F60"/>
    <mergeCell ref="B61:F61"/>
    <mergeCell ref="B62:F62"/>
    <mergeCell ref="B48:F48"/>
    <mergeCell ref="C2:G2"/>
    <mergeCell ref="C3:G4"/>
    <mergeCell ref="A8:F8"/>
    <mergeCell ref="A10:F10"/>
    <mergeCell ref="A11:F11"/>
    <mergeCell ref="A6:F6"/>
    <mergeCell ref="A7:F7"/>
    <mergeCell ref="A37:F37"/>
    <mergeCell ref="B38:F38"/>
    <mergeCell ref="B23:F23"/>
    <mergeCell ref="A35:F35"/>
    <mergeCell ref="B32:F32"/>
    <mergeCell ref="B31:F31"/>
    <mergeCell ref="A34:F34"/>
    <mergeCell ref="B16:F16"/>
    <mergeCell ref="B18:F18"/>
    <mergeCell ref="B20:F20"/>
    <mergeCell ref="B22:F22"/>
    <mergeCell ref="B68:F68"/>
    <mergeCell ref="B69:F69"/>
    <mergeCell ref="B70:F70"/>
    <mergeCell ref="B71:F71"/>
    <mergeCell ref="B72:F72"/>
    <mergeCell ref="B63:F63"/>
    <mergeCell ref="B64:F64"/>
    <mergeCell ref="B65:F65"/>
    <mergeCell ref="B66:F66"/>
    <mergeCell ref="B67:F67"/>
    <mergeCell ref="B15:F15"/>
    <mergeCell ref="B39:F39"/>
    <mergeCell ref="B55:F55"/>
    <mergeCell ref="B56:F56"/>
    <mergeCell ref="B57:F57"/>
    <mergeCell ref="B50:F50"/>
    <mergeCell ref="B51:F51"/>
    <mergeCell ref="B52:F52"/>
    <mergeCell ref="B53:F53"/>
    <mergeCell ref="B54:F54"/>
    <mergeCell ref="B40:F40"/>
    <mergeCell ref="B41:F41"/>
    <mergeCell ref="B42:F42"/>
    <mergeCell ref="B43:F43"/>
    <mergeCell ref="B44:F44"/>
    <mergeCell ref="B45:F45"/>
    <mergeCell ref="B46:F46"/>
    <mergeCell ref="B47:F47"/>
    <mergeCell ref="B49:F49"/>
    <mergeCell ref="B26:F26"/>
    <mergeCell ref="B17:F17"/>
    <mergeCell ref="B19:F19"/>
    <mergeCell ref="B21:F21"/>
    <mergeCell ref="A28:F28"/>
    <mergeCell ref="B78:F78"/>
    <mergeCell ref="B79:F79"/>
    <mergeCell ref="B80:F80"/>
    <mergeCell ref="B81:F81"/>
    <mergeCell ref="B82:F82"/>
    <mergeCell ref="B73:F73"/>
    <mergeCell ref="B74:F74"/>
    <mergeCell ref="B75:F75"/>
    <mergeCell ref="B76:F76"/>
    <mergeCell ref="B77:F77"/>
    <mergeCell ref="B88:F88"/>
    <mergeCell ref="B89:F89"/>
    <mergeCell ref="B90:F90"/>
    <mergeCell ref="B91:F91"/>
    <mergeCell ref="B92:F92"/>
    <mergeCell ref="B83:F83"/>
    <mergeCell ref="B84:F84"/>
    <mergeCell ref="B85:F85"/>
    <mergeCell ref="B86:F86"/>
    <mergeCell ref="B87:F87"/>
    <mergeCell ref="B98:F98"/>
    <mergeCell ref="B99:F99"/>
    <mergeCell ref="B100:F100"/>
    <mergeCell ref="B101:F101"/>
    <mergeCell ref="B102:F102"/>
    <mergeCell ref="B93:F93"/>
    <mergeCell ref="B94:F94"/>
    <mergeCell ref="B95:F95"/>
    <mergeCell ref="B96:F96"/>
    <mergeCell ref="B97:F97"/>
    <mergeCell ref="B108:F108"/>
    <mergeCell ref="B109:F109"/>
    <mergeCell ref="B110:F110"/>
    <mergeCell ref="B111:F111"/>
    <mergeCell ref="B112:F112"/>
    <mergeCell ref="B103:F103"/>
    <mergeCell ref="B104:F104"/>
    <mergeCell ref="B105:F105"/>
    <mergeCell ref="B106:F106"/>
    <mergeCell ref="B107:F107"/>
    <mergeCell ref="B118:F118"/>
    <mergeCell ref="B119:F119"/>
    <mergeCell ref="B120:F120"/>
    <mergeCell ref="B121:F121"/>
    <mergeCell ref="B122:F122"/>
    <mergeCell ref="B113:F113"/>
    <mergeCell ref="B114:F114"/>
    <mergeCell ref="B115:F115"/>
    <mergeCell ref="B116:F116"/>
    <mergeCell ref="B117:F117"/>
    <mergeCell ref="B128:F128"/>
    <mergeCell ref="B129:F129"/>
    <mergeCell ref="B130:F130"/>
    <mergeCell ref="B131:F131"/>
    <mergeCell ref="B132:F132"/>
    <mergeCell ref="B123:F123"/>
    <mergeCell ref="B124:F124"/>
    <mergeCell ref="B125:F125"/>
    <mergeCell ref="B126:F126"/>
    <mergeCell ref="B127:F127"/>
    <mergeCell ref="B138:F138"/>
    <mergeCell ref="B139:F139"/>
    <mergeCell ref="B140:F140"/>
    <mergeCell ref="B141:F141"/>
    <mergeCell ref="B142:F142"/>
    <mergeCell ref="B133:F133"/>
    <mergeCell ref="B134:F134"/>
    <mergeCell ref="B135:F135"/>
    <mergeCell ref="B136:F136"/>
    <mergeCell ref="B137:F137"/>
    <mergeCell ref="B148:F148"/>
    <mergeCell ref="B149:F149"/>
    <mergeCell ref="B150:F150"/>
    <mergeCell ref="B151:F151"/>
    <mergeCell ref="B152:F152"/>
    <mergeCell ref="B143:F143"/>
    <mergeCell ref="B144:F144"/>
    <mergeCell ref="B145:F145"/>
    <mergeCell ref="B146:F146"/>
    <mergeCell ref="B147:F147"/>
    <mergeCell ref="B158:F158"/>
    <mergeCell ref="B159:F159"/>
    <mergeCell ref="B160:F160"/>
    <mergeCell ref="B161:F161"/>
    <mergeCell ref="B162:F162"/>
    <mergeCell ref="B153:F153"/>
    <mergeCell ref="B154:F154"/>
    <mergeCell ref="B155:F155"/>
    <mergeCell ref="B156:F156"/>
    <mergeCell ref="B157:F157"/>
    <mergeCell ref="B168:F168"/>
    <mergeCell ref="B169:F169"/>
    <mergeCell ref="B170:F170"/>
    <mergeCell ref="B171:F171"/>
    <mergeCell ref="B172:F172"/>
    <mergeCell ref="B163:F163"/>
    <mergeCell ref="B164:F164"/>
    <mergeCell ref="B165:F165"/>
    <mergeCell ref="B166:F166"/>
    <mergeCell ref="B167:F167"/>
    <mergeCell ref="B248:F248"/>
    <mergeCell ref="B239:F239"/>
    <mergeCell ref="B245:F245"/>
    <mergeCell ref="B246:F246"/>
    <mergeCell ref="B247:F247"/>
    <mergeCell ref="B205:F205"/>
    <mergeCell ref="B206:F206"/>
    <mergeCell ref="B207:F207"/>
    <mergeCell ref="B234:F234"/>
    <mergeCell ref="B235:F235"/>
    <mergeCell ref="B236:F236"/>
    <mergeCell ref="B237:F237"/>
    <mergeCell ref="B238:F238"/>
    <mergeCell ref="B209:F209"/>
    <mergeCell ref="B210:F210"/>
    <mergeCell ref="B231:F231"/>
    <mergeCell ref="B232:F232"/>
    <mergeCell ref="B233:F233"/>
    <mergeCell ref="B208:F208"/>
    <mergeCell ref="B204:F204"/>
    <mergeCell ref="B178:F178"/>
    <mergeCell ref="B179:F179"/>
    <mergeCell ref="B180:F180"/>
    <mergeCell ref="B181:F181"/>
    <mergeCell ref="B203:F203"/>
    <mergeCell ref="B173:F173"/>
    <mergeCell ref="B174:F174"/>
    <mergeCell ref="B175:F175"/>
    <mergeCell ref="B176:F176"/>
    <mergeCell ref="B177:F177"/>
  </mergeCells>
  <phoneticPr fontId="8" type="noConversion"/>
  <conditionalFormatting sqref="A26">
    <cfRule type="containsBlanks" dxfId="34" priority="1">
      <formula>LEN(TRIM(A26))=0</formula>
    </cfRule>
  </conditionalFormatting>
  <hyperlinks>
    <hyperlink ref="A23" location="Guidance!A1" display="Guidance" xr:uid="{00000000-0004-0000-0000-000000000000}"/>
    <hyperlink ref="A15" location="LE1a!A1" display="LE1a" xr:uid="{00000000-0004-0000-0000-000002000000}"/>
    <hyperlink ref="A17:A21" location="'LE1'!A1" display="LE1" xr:uid="{00000000-0004-0000-0000-000003000000}"/>
    <hyperlink ref="A17" location="LE2a!A1" display="LE2a" xr:uid="{00000000-0004-0000-0000-000004000000}"/>
    <hyperlink ref="A19" location="LE3a!A1" display="LE3a" xr:uid="{00000000-0004-0000-0000-000005000000}"/>
    <hyperlink ref="A21" location="LE4a!A1" display="LE4a" xr:uid="{00000000-0004-0000-0000-000006000000}"/>
    <hyperlink ref="A16" location="LE1b!A1" display="LE1b" xr:uid="{4D8B94F0-EADD-4087-A236-F87EDDA3CDB8}"/>
    <hyperlink ref="A18" location="LE2b!A1" display="LE2b" xr:uid="{AFD39369-6BB9-49AC-B2FE-A69EC72B4764}"/>
    <hyperlink ref="A20" location="LE3b!A1" display="LE3b" xr:uid="{4D4DF758-80E2-4E67-A75F-CCF7851D3392}"/>
    <hyperlink ref="A22" location="LE4b!A1" display="LE4b" xr:uid="{681FF86F-7E3C-4702-A8DA-6AE006F5D89C}"/>
  </hyperlinks>
  <pageMargins left="0.75" right="0.75" top="1" bottom="1" header="0.5" footer="0.5"/>
  <pageSetup paperSize="9" scale="74" orientation="landscape" r:id="rId1"/>
  <headerFooter alignWithMargins="0">
    <oddHeader>&amp;C&amp;"Aptos"&amp;10&amp;K000000 OFFICIAL&amp;1#_x000D_</oddHeader>
    <oddFooter>&amp;C_x000D_&amp;1#&amp;"Aptos"&amp;10&amp;K000000 OFFICIAL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dimension ref="A1:M101"/>
  <sheetViews>
    <sheetView showGridLines="0" zoomScale="85" zoomScaleNormal="85" workbookViewId="0">
      <selection sqref="A1:C2"/>
    </sheetView>
  </sheetViews>
  <sheetFormatPr defaultColWidth="9.28515625" defaultRowHeight="12.75"/>
  <cols>
    <col min="1" max="1" width="48.42578125" style="5" customWidth="1"/>
    <col min="2" max="2" width="5.7109375" style="5" customWidth="1"/>
    <col min="3" max="3" width="85.7109375" style="5" customWidth="1"/>
    <col min="4" max="4" width="9.28515625" style="5"/>
    <col min="5" max="5" width="8.5703125" style="5" bestFit="1" customWidth="1"/>
    <col min="6" max="6" width="7.5703125" style="5" bestFit="1" customWidth="1"/>
    <col min="7" max="16384" width="9.28515625" style="5"/>
  </cols>
  <sheetData>
    <row r="1" spans="1:4" ht="10.15" customHeight="1">
      <c r="A1" s="311" t="s">
        <v>131</v>
      </c>
      <c r="B1" s="311"/>
      <c r="C1" s="311"/>
    </row>
    <row r="2" spans="1:4" ht="10.15" customHeight="1">
      <c r="A2" s="311"/>
      <c r="B2" s="311"/>
      <c r="C2" s="311"/>
    </row>
    <row r="3" spans="1:4" ht="34.15" customHeight="1">
      <c r="A3" s="244" t="s">
        <v>132</v>
      </c>
      <c r="B3" s="76"/>
    </row>
    <row r="4" spans="1:4" ht="30.4" customHeight="1">
      <c r="A4" s="312" t="s">
        <v>133</v>
      </c>
      <c r="B4" s="312"/>
      <c r="C4" s="312"/>
    </row>
    <row r="5" spans="1:4" ht="30" customHeight="1">
      <c r="A5" s="313" t="s">
        <v>134</v>
      </c>
      <c r="B5" s="313"/>
      <c r="C5" s="313"/>
    </row>
    <row r="6" spans="1:4" ht="22.15" customHeight="1">
      <c r="A6" s="314" t="s">
        <v>135</v>
      </c>
      <c r="B6" s="314"/>
      <c r="C6" s="314"/>
    </row>
    <row r="7" spans="1:4" ht="18" customHeight="1">
      <c r="A7" s="6" t="s">
        <v>136</v>
      </c>
      <c r="B7" s="6"/>
      <c r="C7" s="6"/>
      <c r="D7" s="6"/>
    </row>
    <row r="8" spans="1:4" ht="16.5" customHeight="1">
      <c r="A8" s="6" t="s">
        <v>137</v>
      </c>
      <c r="B8" s="6"/>
      <c r="C8" s="6"/>
      <c r="D8" s="6"/>
    </row>
    <row r="9" spans="1:4" ht="16.5" customHeight="1">
      <c r="A9" s="6" t="s">
        <v>138</v>
      </c>
      <c r="B9" s="6"/>
      <c r="C9" s="6"/>
      <c r="D9" s="6"/>
    </row>
    <row r="10" spans="1:4" ht="16.5" customHeight="1">
      <c r="A10" s="6" t="s">
        <v>139</v>
      </c>
      <c r="B10" s="6"/>
      <c r="C10" s="6"/>
      <c r="D10" s="6"/>
    </row>
    <row r="11" spans="1:4" ht="16.5" customHeight="1">
      <c r="A11" s="6" t="s">
        <v>140</v>
      </c>
      <c r="B11" s="6"/>
      <c r="C11" s="6"/>
      <c r="D11" s="6"/>
    </row>
    <row r="12" spans="1:4" ht="16.5" customHeight="1">
      <c r="A12" s="6" t="s">
        <v>141</v>
      </c>
      <c r="B12" s="6"/>
      <c r="C12" s="6"/>
      <c r="D12" s="6"/>
    </row>
    <row r="13" spans="1:4" ht="16.5" customHeight="1">
      <c r="A13" s="6" t="s">
        <v>142</v>
      </c>
      <c r="B13" s="6"/>
      <c r="C13" s="6"/>
      <c r="D13" s="6"/>
    </row>
    <row r="14" spans="1:4" ht="16.5" customHeight="1">
      <c r="A14" s="6" t="s">
        <v>143</v>
      </c>
      <c r="B14" s="6"/>
      <c r="C14" s="6"/>
      <c r="D14" s="6"/>
    </row>
    <row r="15" spans="1:4" ht="16.5" customHeight="1">
      <c r="A15" s="6" t="s">
        <v>144</v>
      </c>
      <c r="B15" s="6"/>
      <c r="C15" s="6"/>
      <c r="D15" s="6"/>
    </row>
    <row r="16" spans="1:4" ht="16.5" customHeight="1">
      <c r="A16" s="6" t="s">
        <v>145</v>
      </c>
      <c r="B16" s="6"/>
      <c r="C16" s="6"/>
      <c r="D16" s="6"/>
    </row>
    <row r="17" spans="1:4" ht="16.5" customHeight="1">
      <c r="A17" s="6" t="s">
        <v>146</v>
      </c>
      <c r="B17" s="6"/>
      <c r="C17" s="6"/>
      <c r="D17" s="6"/>
    </row>
    <row r="18" spans="1:4" ht="16.5" customHeight="1">
      <c r="A18" s="6" t="s">
        <v>147</v>
      </c>
      <c r="B18" s="6"/>
      <c r="C18" s="6"/>
      <c r="D18" s="6"/>
    </row>
    <row r="19" spans="1:4" ht="16.5" customHeight="1">
      <c r="A19" s="6" t="s">
        <v>148</v>
      </c>
      <c r="B19" s="6"/>
      <c r="C19" s="6"/>
      <c r="D19" s="6"/>
    </row>
    <row r="20" spans="1:4" ht="16.5" customHeight="1">
      <c r="A20" s="6" t="s">
        <v>149</v>
      </c>
      <c r="B20" s="6"/>
      <c r="C20" s="6"/>
      <c r="D20" s="6"/>
    </row>
    <row r="21" spans="1:4" ht="16.5" customHeight="1">
      <c r="A21" s="6" t="s">
        <v>150</v>
      </c>
      <c r="B21" s="6"/>
      <c r="C21" s="6"/>
      <c r="D21" s="6"/>
    </row>
    <row r="22" spans="1:4" ht="16.5" customHeight="1">
      <c r="A22" s="6" t="s">
        <v>151</v>
      </c>
      <c r="B22" s="6"/>
      <c r="C22" s="6"/>
      <c r="D22" s="6"/>
    </row>
    <row r="23" spans="1:4" ht="16.5" customHeight="1">
      <c r="A23" s="6" t="s">
        <v>152</v>
      </c>
      <c r="B23" s="6"/>
      <c r="C23" s="6"/>
      <c r="D23" s="6"/>
    </row>
    <row r="24" spans="1:4" ht="16.5" customHeight="1">
      <c r="A24" s="6" t="s">
        <v>153</v>
      </c>
      <c r="B24" s="6"/>
      <c r="C24" s="6"/>
      <c r="D24" s="6"/>
    </row>
    <row r="25" spans="1:4" ht="10.5" customHeight="1">
      <c r="A25" s="50"/>
      <c r="B25" s="50"/>
    </row>
    <row r="26" spans="1:4" ht="32.25" customHeight="1">
      <c r="A26" s="312" t="s">
        <v>154</v>
      </c>
      <c r="B26" s="312"/>
      <c r="C26" s="312"/>
    </row>
    <row r="27" spans="1:4" ht="21" customHeight="1">
      <c r="A27" s="245" t="s">
        <v>155</v>
      </c>
      <c r="B27" s="232"/>
    </row>
    <row r="28" spans="1:4" ht="79.150000000000006" customHeight="1">
      <c r="A28" s="226" t="s">
        <v>156</v>
      </c>
      <c r="B28" s="226"/>
      <c r="C28" s="227" t="s">
        <v>157</v>
      </c>
    </row>
    <row r="29" spans="1:4" ht="33.75" customHeight="1">
      <c r="A29" s="226"/>
      <c r="B29" s="226"/>
      <c r="C29" s="230" t="s">
        <v>158</v>
      </c>
    </row>
    <row r="30" spans="1:4" ht="33" customHeight="1">
      <c r="A30" s="229"/>
      <c r="B30" s="229"/>
      <c r="C30" s="230" t="s">
        <v>159</v>
      </c>
    </row>
    <row r="31" spans="1:4" ht="62.45" customHeight="1">
      <c r="A31" s="229"/>
      <c r="B31" s="229"/>
      <c r="C31" s="227" t="s">
        <v>160</v>
      </c>
    </row>
    <row r="32" spans="1:4" ht="87" customHeight="1">
      <c r="A32" s="229"/>
      <c r="B32" s="229"/>
      <c r="C32" s="227" t="s">
        <v>161</v>
      </c>
    </row>
    <row r="33" spans="1:13" ht="39.6" customHeight="1">
      <c r="A33" s="226" t="s">
        <v>162</v>
      </c>
      <c r="B33" s="226"/>
      <c r="C33" s="227" t="s">
        <v>163</v>
      </c>
      <c r="D33" s="43"/>
    </row>
    <row r="34" spans="1:13" ht="54.6" customHeight="1">
      <c r="A34" s="226" t="s">
        <v>164</v>
      </c>
      <c r="B34" s="226"/>
      <c r="C34" s="227" t="s">
        <v>165</v>
      </c>
      <c r="D34" s="43"/>
    </row>
    <row r="35" spans="1:13" ht="38.450000000000003" customHeight="1">
      <c r="A35" s="226" t="s">
        <v>166</v>
      </c>
      <c r="B35" s="226"/>
      <c r="C35" s="228" t="s">
        <v>167</v>
      </c>
    </row>
    <row r="36" spans="1:13" ht="33" customHeight="1">
      <c r="A36" s="231" t="s">
        <v>168</v>
      </c>
      <c r="B36" s="231"/>
      <c r="C36" s="227" t="s">
        <v>169</v>
      </c>
    </row>
    <row r="37" spans="1:13" ht="39.6" customHeight="1">
      <c r="A37" s="231" t="s">
        <v>170</v>
      </c>
      <c r="B37" s="231"/>
      <c r="C37" s="227" t="s">
        <v>171</v>
      </c>
    </row>
    <row r="38" spans="1:13" ht="22.15" customHeight="1">
      <c r="A38" s="231" t="s">
        <v>172</v>
      </c>
      <c r="B38" s="231"/>
      <c r="C38" s="227" t="s">
        <v>173</v>
      </c>
    </row>
    <row r="39" spans="1:13" ht="22.15" customHeight="1">
      <c r="A39" s="231" t="s">
        <v>174</v>
      </c>
      <c r="B39" s="231"/>
      <c r="C39" s="227" t="s">
        <v>175</v>
      </c>
    </row>
    <row r="40" spans="1:13" ht="22.15" customHeight="1">
      <c r="A40" s="231" t="s">
        <v>176</v>
      </c>
      <c r="B40" s="231"/>
      <c r="C40" s="227" t="s">
        <v>177</v>
      </c>
    </row>
    <row r="41" spans="1:13" ht="39.6" customHeight="1">
      <c r="A41" s="231" t="s">
        <v>178</v>
      </c>
      <c r="B41" s="231"/>
      <c r="C41" s="227" t="s">
        <v>179</v>
      </c>
    </row>
    <row r="42" spans="1:13" ht="40.9" customHeight="1">
      <c r="A42" s="231" t="s">
        <v>180</v>
      </c>
      <c r="B42" s="231"/>
      <c r="C42" s="228" t="s">
        <v>181</v>
      </c>
      <c r="E42" s="44"/>
    </row>
    <row r="43" spans="1:13" ht="33" customHeight="1">
      <c r="A43" s="231" t="s">
        <v>182</v>
      </c>
      <c r="B43" s="231"/>
      <c r="C43" s="228" t="s">
        <v>183</v>
      </c>
    </row>
    <row r="44" spans="1:13" ht="43.9" customHeight="1">
      <c r="A44" s="231" t="s">
        <v>184</v>
      </c>
      <c r="B44" s="231"/>
      <c r="C44" s="228" t="s">
        <v>447</v>
      </c>
    </row>
    <row r="45" spans="1:13" ht="45.6" customHeight="1">
      <c r="A45" s="310" t="s">
        <v>185</v>
      </c>
      <c r="B45" s="310"/>
      <c r="C45" s="310"/>
    </row>
    <row r="46" spans="1:13" ht="15.75">
      <c r="A46" s="236" t="s">
        <v>186</v>
      </c>
      <c r="B46" s="6"/>
      <c r="C46" s="6" t="s">
        <v>187</v>
      </c>
      <c r="D46" s="6"/>
      <c r="E46" s="6"/>
      <c r="F46" s="6"/>
      <c r="G46" s="6"/>
      <c r="H46" s="6"/>
      <c r="I46" s="6"/>
      <c r="J46" s="6"/>
      <c r="K46" s="6"/>
      <c r="L46" s="6"/>
      <c r="M46" s="6"/>
    </row>
    <row r="47" spans="1:13" ht="15">
      <c r="A47" s="6"/>
      <c r="B47" s="6"/>
      <c r="C47" s="6" t="s">
        <v>188</v>
      </c>
      <c r="D47" s="6"/>
      <c r="E47" s="6"/>
      <c r="F47" s="6"/>
      <c r="G47" s="6"/>
      <c r="H47" s="6"/>
      <c r="I47" s="6"/>
      <c r="J47" s="6"/>
      <c r="K47" s="6"/>
      <c r="L47" s="6"/>
      <c r="M47" s="6"/>
    </row>
    <row r="48" spans="1:13" ht="15">
      <c r="A48" s="234"/>
      <c r="B48" s="6"/>
      <c r="C48" s="276" t="s">
        <v>189</v>
      </c>
      <c r="D48" s="6"/>
      <c r="E48" s="6"/>
      <c r="F48" s="6"/>
      <c r="G48" s="6"/>
      <c r="H48" s="6"/>
      <c r="I48" s="6"/>
      <c r="J48" s="6"/>
      <c r="K48" s="6"/>
      <c r="L48" s="6"/>
      <c r="M48" s="6"/>
    </row>
    <row r="49" spans="1:13" ht="88.5" customHeight="1">
      <c r="B49" s="234"/>
      <c r="C49" s="234" t="s">
        <v>190</v>
      </c>
      <c r="D49" s="234"/>
      <c r="E49" s="234"/>
      <c r="F49" s="234"/>
      <c r="G49" s="234"/>
      <c r="H49" s="234"/>
      <c r="I49" s="234"/>
      <c r="J49" s="234"/>
      <c r="K49" s="234"/>
      <c r="L49" s="234"/>
      <c r="M49" s="234"/>
    </row>
    <row r="50" spans="1:13" ht="20.25" customHeight="1">
      <c r="A50" s="237" t="s">
        <v>191</v>
      </c>
      <c r="B50" s="246"/>
      <c r="C50" s="246" t="s">
        <v>192</v>
      </c>
      <c r="D50" s="246"/>
      <c r="E50" s="246"/>
      <c r="F50" s="246"/>
      <c r="G50" s="246"/>
      <c r="H50" s="246"/>
      <c r="I50" s="246"/>
      <c r="J50" s="246"/>
      <c r="K50" s="246"/>
      <c r="L50" s="246"/>
      <c r="M50" s="246"/>
    </row>
    <row r="51" spans="1:13" ht="30">
      <c r="A51" s="6"/>
      <c r="B51" s="247"/>
      <c r="C51" s="247" t="s">
        <v>193</v>
      </c>
      <c r="D51" s="247"/>
      <c r="E51" s="247"/>
      <c r="F51" s="247"/>
      <c r="G51" s="247"/>
      <c r="H51" s="247"/>
      <c r="I51" s="247"/>
      <c r="J51" s="247"/>
      <c r="K51" s="247"/>
      <c r="L51" s="247"/>
      <c r="M51" s="247"/>
    </row>
    <row r="52" spans="1:13" ht="43.9" customHeight="1">
      <c r="A52" s="237" t="s">
        <v>194</v>
      </c>
      <c r="B52" s="247"/>
      <c r="C52" s="247" t="s">
        <v>448</v>
      </c>
      <c r="D52" s="247"/>
      <c r="E52" s="247"/>
      <c r="F52" s="247"/>
      <c r="G52" s="247"/>
      <c r="H52" s="247"/>
      <c r="I52" s="247"/>
      <c r="J52" s="247"/>
      <c r="K52" s="247"/>
      <c r="L52" s="247"/>
      <c r="M52" s="247"/>
    </row>
    <row r="53" spans="1:13" ht="18" customHeight="1">
      <c r="A53" s="237"/>
      <c r="B53" s="246"/>
      <c r="C53" s="246" t="s">
        <v>195</v>
      </c>
      <c r="D53" s="246"/>
      <c r="E53" s="246"/>
      <c r="F53" s="246"/>
      <c r="G53" s="246"/>
      <c r="H53" s="246"/>
      <c r="I53" s="246"/>
      <c r="J53" s="246"/>
      <c r="K53" s="246"/>
      <c r="L53" s="246"/>
      <c r="M53" s="6"/>
    </row>
    <row r="54" spans="1:13" ht="15.6" customHeight="1">
      <c r="A54" s="50"/>
      <c r="B54" s="248"/>
      <c r="C54" s="248" t="s">
        <v>196</v>
      </c>
      <c r="D54" s="248"/>
      <c r="E54" s="248"/>
      <c r="F54" s="248"/>
      <c r="G54" s="248"/>
      <c r="H54" s="248"/>
      <c r="I54" s="248"/>
      <c r="J54" s="248"/>
      <c r="K54" s="248"/>
      <c r="L54" s="248"/>
      <c r="M54" s="6"/>
    </row>
    <row r="55" spans="1:13" ht="15.75">
      <c r="A55" s="50"/>
      <c r="B55" s="249"/>
      <c r="C55" s="246" t="s">
        <v>197</v>
      </c>
      <c r="D55" s="246"/>
      <c r="E55" s="246"/>
      <c r="F55" s="246"/>
      <c r="G55" s="246"/>
      <c r="H55" s="246"/>
      <c r="I55" s="246"/>
      <c r="J55" s="246"/>
      <c r="K55" s="246"/>
      <c r="L55" s="246"/>
      <c r="M55" s="6"/>
    </row>
    <row r="56" spans="1:13" ht="15.75">
      <c r="A56" s="50"/>
      <c r="B56" s="235"/>
      <c r="C56" s="50" t="s">
        <v>198</v>
      </c>
      <c r="D56" s="50"/>
      <c r="E56" s="50"/>
      <c r="F56" s="50"/>
      <c r="G56" s="50"/>
      <c r="H56" s="50"/>
      <c r="I56" s="50"/>
      <c r="J56" s="50"/>
      <c r="K56" s="50"/>
      <c r="L56" s="50"/>
      <c r="M56" s="6"/>
    </row>
    <row r="57" spans="1:13" ht="15.75">
      <c r="A57" s="50"/>
      <c r="B57" s="235"/>
      <c r="C57" s="50" t="s">
        <v>199</v>
      </c>
      <c r="D57" s="50"/>
      <c r="E57" s="50"/>
      <c r="F57" s="50"/>
      <c r="G57" s="50"/>
      <c r="H57" s="50"/>
      <c r="I57" s="50"/>
      <c r="J57" s="50"/>
      <c r="K57" s="50"/>
      <c r="L57" s="50"/>
      <c r="M57" s="6"/>
    </row>
    <row r="58" spans="1:13" ht="15.75">
      <c r="A58" s="50"/>
      <c r="B58" s="235"/>
      <c r="C58" s="50" t="s">
        <v>200</v>
      </c>
      <c r="D58" s="50"/>
      <c r="E58" s="50"/>
      <c r="F58" s="50"/>
      <c r="G58" s="50"/>
      <c r="H58" s="50"/>
      <c r="I58" s="50"/>
      <c r="J58" s="50"/>
      <c r="K58" s="50"/>
      <c r="L58" s="50"/>
      <c r="M58" s="6"/>
    </row>
    <row r="59" spans="1:13" ht="15.75">
      <c r="A59" s="50"/>
      <c r="B59" s="235"/>
      <c r="C59" s="50" t="s">
        <v>201</v>
      </c>
      <c r="D59" s="50"/>
      <c r="E59" s="50"/>
      <c r="F59" s="50"/>
      <c r="G59" s="50"/>
      <c r="H59" s="50"/>
      <c r="I59" s="50"/>
      <c r="J59" s="50"/>
      <c r="K59" s="50"/>
      <c r="L59" s="50"/>
      <c r="M59" s="6"/>
    </row>
    <row r="60" spans="1:13" ht="15.6" customHeight="1">
      <c r="A60" s="6"/>
      <c r="B60" s="248"/>
      <c r="C60" s="248" t="s">
        <v>202</v>
      </c>
      <c r="D60" s="248"/>
      <c r="E60" s="248"/>
      <c r="F60" s="248"/>
      <c r="G60" s="248"/>
      <c r="H60" s="248"/>
      <c r="I60" s="248"/>
      <c r="J60" s="248"/>
      <c r="K60" s="248"/>
      <c r="L60" s="248"/>
      <c r="M60" s="6"/>
    </row>
    <row r="61" spans="1:13" ht="15.75">
      <c r="A61" s="50"/>
      <c r="B61" s="249"/>
      <c r="C61" s="246" t="s">
        <v>203</v>
      </c>
      <c r="D61" s="246"/>
      <c r="E61" s="246"/>
      <c r="F61" s="246"/>
      <c r="G61" s="246"/>
      <c r="H61" s="246"/>
      <c r="I61" s="246"/>
      <c r="J61" s="246"/>
      <c r="K61" s="246"/>
      <c r="L61" s="246"/>
      <c r="M61" s="6"/>
    </row>
    <row r="62" spans="1:13" ht="15.75">
      <c r="A62" s="50"/>
      <c r="B62" s="235"/>
      <c r="C62" s="50" t="s">
        <v>204</v>
      </c>
      <c r="D62" s="50"/>
      <c r="E62" s="50"/>
      <c r="F62" s="50"/>
      <c r="G62" s="50"/>
      <c r="H62" s="50"/>
      <c r="I62" s="50"/>
      <c r="J62" s="50"/>
      <c r="K62" s="50"/>
      <c r="L62" s="50"/>
      <c r="M62" s="6"/>
    </row>
    <row r="63" spans="1:13" ht="15.75">
      <c r="A63" s="50"/>
      <c r="B63" s="235"/>
      <c r="C63" s="50" t="s">
        <v>205</v>
      </c>
      <c r="D63" s="50"/>
      <c r="E63" s="50"/>
      <c r="F63" s="50"/>
      <c r="G63" s="50"/>
      <c r="H63" s="50"/>
      <c r="I63" s="50"/>
      <c r="J63" s="50"/>
      <c r="K63" s="50"/>
      <c r="L63" s="50"/>
      <c r="M63" s="6"/>
    </row>
    <row r="64" spans="1:13" ht="15.75">
      <c r="A64" s="50"/>
      <c r="B64" s="235"/>
      <c r="C64" s="50" t="s">
        <v>206</v>
      </c>
      <c r="D64" s="50"/>
      <c r="E64" s="50"/>
      <c r="F64" s="50"/>
      <c r="G64" s="50"/>
      <c r="H64" s="50"/>
      <c r="I64" s="50"/>
      <c r="J64" s="50"/>
      <c r="K64" s="50"/>
      <c r="L64" s="50"/>
      <c r="M64" s="6"/>
    </row>
    <row r="65" spans="1:13" ht="15.6" customHeight="1">
      <c r="A65" s="6"/>
      <c r="B65" s="248"/>
      <c r="C65" s="248" t="s">
        <v>207</v>
      </c>
      <c r="D65" s="248"/>
      <c r="E65" s="248"/>
      <c r="F65" s="248"/>
      <c r="G65" s="248"/>
      <c r="H65" s="248"/>
      <c r="I65" s="248"/>
      <c r="J65" s="248"/>
      <c r="K65" s="248"/>
      <c r="L65" s="248"/>
      <c r="M65" s="6"/>
    </row>
    <row r="66" spans="1:13" ht="15.75">
      <c r="A66" s="50"/>
      <c r="B66" s="249"/>
      <c r="C66" s="246" t="s">
        <v>208</v>
      </c>
      <c r="D66" s="246"/>
      <c r="E66" s="246"/>
      <c r="F66" s="246"/>
      <c r="G66" s="246"/>
      <c r="H66" s="246"/>
      <c r="I66" s="246"/>
      <c r="J66" s="246"/>
      <c r="K66" s="246"/>
      <c r="L66" s="246"/>
      <c r="M66" s="6"/>
    </row>
    <row r="67" spans="1:13" ht="15.75">
      <c r="A67" s="50"/>
      <c r="B67" s="235"/>
      <c r="C67" s="50" t="s">
        <v>209</v>
      </c>
      <c r="D67" s="50"/>
      <c r="E67" s="50"/>
      <c r="F67" s="50"/>
      <c r="G67" s="50"/>
      <c r="H67" s="50"/>
      <c r="I67" s="50"/>
      <c r="J67" s="50"/>
      <c r="K67" s="50"/>
      <c r="L67" s="50"/>
      <c r="M67" s="6"/>
    </row>
    <row r="68" spans="1:13" ht="15.75">
      <c r="A68" s="50"/>
      <c r="B68" s="235"/>
      <c r="C68" s="50" t="s">
        <v>210</v>
      </c>
      <c r="D68" s="50"/>
      <c r="E68" s="50"/>
      <c r="F68" s="50"/>
      <c r="G68" s="50"/>
      <c r="H68" s="50"/>
      <c r="I68" s="50"/>
      <c r="J68" s="50"/>
      <c r="K68" s="50"/>
      <c r="L68" s="50"/>
      <c r="M68" s="6"/>
    </row>
    <row r="69" spans="1:13" ht="15.75">
      <c r="A69" s="50"/>
      <c r="B69" s="235"/>
      <c r="C69" s="50" t="s">
        <v>211</v>
      </c>
      <c r="D69" s="50"/>
      <c r="E69" s="50"/>
      <c r="F69" s="50"/>
      <c r="G69" s="50"/>
      <c r="H69" s="50"/>
      <c r="I69" s="50"/>
      <c r="J69" s="50"/>
      <c r="K69" s="50"/>
      <c r="L69" s="50"/>
      <c r="M69" s="6"/>
    </row>
    <row r="70" spans="1:13" ht="15.75">
      <c r="A70" s="50"/>
      <c r="B70" s="235"/>
      <c r="C70" s="50" t="s">
        <v>212</v>
      </c>
      <c r="D70" s="50"/>
      <c r="E70" s="50"/>
      <c r="F70" s="50"/>
      <c r="G70" s="50"/>
      <c r="H70" s="50"/>
      <c r="I70" s="50"/>
      <c r="J70" s="50"/>
      <c r="K70" s="50"/>
      <c r="L70" s="50"/>
      <c r="M70" s="6"/>
    </row>
    <row r="71" spans="1:13" ht="15.6" customHeight="1">
      <c r="A71" s="6"/>
      <c r="B71" s="248"/>
      <c r="C71" s="248" t="s">
        <v>213</v>
      </c>
      <c r="D71" s="248"/>
      <c r="E71" s="248"/>
      <c r="F71" s="248"/>
      <c r="G71" s="248"/>
      <c r="H71" s="248"/>
      <c r="I71" s="248"/>
      <c r="J71" s="248"/>
      <c r="K71" s="248"/>
      <c r="L71" s="248"/>
      <c r="M71" s="6"/>
    </row>
    <row r="72" spans="1:13" ht="15.75">
      <c r="A72" s="50"/>
      <c r="B72" s="249"/>
      <c r="C72" s="246" t="s">
        <v>214</v>
      </c>
      <c r="D72" s="246"/>
      <c r="E72" s="246"/>
      <c r="F72" s="246"/>
      <c r="G72" s="246"/>
      <c r="H72" s="246"/>
      <c r="I72" s="246"/>
      <c r="J72" s="246"/>
      <c r="K72" s="246"/>
      <c r="L72" s="246"/>
      <c r="M72" s="6"/>
    </row>
    <row r="73" spans="1:13" ht="15.75">
      <c r="A73" s="50"/>
      <c r="B73" s="235"/>
      <c r="C73" s="50" t="s">
        <v>215</v>
      </c>
      <c r="D73" s="50"/>
      <c r="E73" s="50"/>
      <c r="F73" s="50"/>
      <c r="G73" s="50"/>
      <c r="H73" s="50"/>
      <c r="I73" s="50"/>
      <c r="J73" s="50"/>
      <c r="K73" s="50"/>
      <c r="L73" s="50"/>
      <c r="M73" s="6"/>
    </row>
    <row r="74" spans="1:13" ht="15.75">
      <c r="A74" s="50"/>
      <c r="B74" s="235"/>
      <c r="C74" s="50" t="s">
        <v>216</v>
      </c>
      <c r="D74" s="50"/>
      <c r="E74" s="50"/>
      <c r="F74" s="50"/>
      <c r="G74" s="50"/>
      <c r="H74" s="50"/>
      <c r="I74" s="50"/>
      <c r="J74" s="50"/>
      <c r="K74" s="50"/>
      <c r="L74" s="50"/>
      <c r="M74" s="6"/>
    </row>
    <row r="75" spans="1:13" ht="15.6" customHeight="1">
      <c r="A75" s="6"/>
      <c r="B75" s="248"/>
      <c r="C75" s="248" t="s">
        <v>217</v>
      </c>
      <c r="D75" s="248"/>
      <c r="E75" s="248"/>
      <c r="F75" s="248"/>
      <c r="G75" s="248"/>
      <c r="H75" s="248"/>
      <c r="I75" s="248"/>
      <c r="J75" s="248"/>
      <c r="K75" s="248"/>
      <c r="L75" s="248"/>
      <c r="M75" s="6"/>
    </row>
    <row r="76" spans="1:13" ht="15.75">
      <c r="A76" s="50"/>
      <c r="B76" s="249"/>
      <c r="C76" s="246" t="s">
        <v>218</v>
      </c>
      <c r="D76" s="246"/>
      <c r="E76" s="246"/>
      <c r="F76" s="246"/>
      <c r="G76" s="246"/>
      <c r="H76" s="246"/>
      <c r="I76" s="246"/>
      <c r="J76" s="246"/>
      <c r="K76" s="246"/>
      <c r="L76" s="246"/>
      <c r="M76" s="6"/>
    </row>
    <row r="77" spans="1:13" ht="15.75">
      <c r="A77" s="50"/>
      <c r="B77" s="235"/>
      <c r="C77" s="50" t="s">
        <v>219</v>
      </c>
      <c r="D77" s="50"/>
      <c r="E77" s="50"/>
      <c r="F77" s="50"/>
      <c r="G77" s="50"/>
      <c r="H77" s="50"/>
      <c r="I77" s="50"/>
      <c r="J77" s="50"/>
      <c r="K77" s="50"/>
      <c r="L77" s="50"/>
      <c r="M77" s="6"/>
    </row>
    <row r="78" spans="1:13" ht="28.15" customHeight="1">
      <c r="A78" s="6"/>
      <c r="B78" s="250"/>
      <c r="C78" s="250" t="s">
        <v>220</v>
      </c>
      <c r="D78" s="250"/>
      <c r="E78" s="250"/>
      <c r="F78" s="250"/>
      <c r="G78" s="250"/>
      <c r="H78" s="250"/>
      <c r="I78" s="250"/>
      <c r="J78" s="250"/>
      <c r="K78" s="250"/>
      <c r="L78" s="250"/>
      <c r="M78" s="6"/>
    </row>
    <row r="79" spans="1:13" s="6" customFormat="1" ht="31.5" customHeight="1">
      <c r="C79" s="309" t="s">
        <v>221</v>
      </c>
      <c r="D79" s="309"/>
      <c r="E79" s="309"/>
      <c r="F79" s="309"/>
      <c r="G79" s="309"/>
      <c r="H79" s="309"/>
      <c r="I79" s="309"/>
      <c r="J79" s="309"/>
      <c r="K79" s="309"/>
      <c r="L79" s="309"/>
      <c r="M79" s="309"/>
    </row>
    <row r="80" spans="1:13" ht="15.6" customHeight="1">
      <c r="A80" s="237" t="s">
        <v>222</v>
      </c>
      <c r="B80" s="247"/>
      <c r="C80" s="247" t="s">
        <v>223</v>
      </c>
      <c r="D80" s="247"/>
      <c r="E80" s="247"/>
      <c r="F80" s="247"/>
      <c r="G80" s="247"/>
      <c r="H80" s="247"/>
      <c r="I80" s="247"/>
      <c r="J80" s="247"/>
      <c r="K80" s="247"/>
      <c r="L80" s="247"/>
      <c r="M80" s="6"/>
    </row>
    <row r="81" spans="1:13" ht="15.75">
      <c r="A81" s="237"/>
      <c r="B81" s="6"/>
      <c r="C81" s="6" t="s">
        <v>224</v>
      </c>
      <c r="D81" s="6"/>
      <c r="E81" s="6"/>
      <c r="F81" s="6"/>
      <c r="G81" s="6"/>
      <c r="H81" s="6"/>
      <c r="I81" s="6"/>
      <c r="J81" s="6"/>
      <c r="K81" s="6"/>
      <c r="L81" s="6"/>
      <c r="M81" s="6"/>
    </row>
    <row r="82" spans="1:13" ht="32.25" customHeight="1">
      <c r="A82" s="233"/>
      <c r="B82" s="234"/>
      <c r="C82" s="234" t="s">
        <v>225</v>
      </c>
      <c r="D82" s="234"/>
      <c r="E82" s="234"/>
      <c r="F82" s="234"/>
      <c r="G82" s="234"/>
      <c r="H82" s="234"/>
      <c r="I82" s="234"/>
      <c r="J82" s="234"/>
      <c r="K82" s="234"/>
      <c r="L82" s="234"/>
      <c r="M82" s="234"/>
    </row>
    <row r="83" spans="1:13" s="6" customFormat="1" ht="31.5" customHeight="1">
      <c r="C83" s="309" t="s">
        <v>226</v>
      </c>
      <c r="D83" s="309"/>
      <c r="E83" s="309"/>
      <c r="F83" s="309"/>
      <c r="G83" s="309"/>
      <c r="H83" s="309"/>
      <c r="I83" s="309"/>
      <c r="J83" s="309"/>
      <c r="K83" s="309"/>
      <c r="L83" s="309"/>
      <c r="M83" s="309"/>
    </row>
    <row r="84" spans="1:13" ht="15.6" customHeight="1">
      <c r="A84" s="237" t="s">
        <v>227</v>
      </c>
      <c r="B84" s="246"/>
      <c r="C84" s="246" t="s">
        <v>228</v>
      </c>
      <c r="D84" s="246"/>
      <c r="E84" s="246"/>
      <c r="F84" s="246"/>
      <c r="G84" s="246"/>
      <c r="H84" s="246"/>
      <c r="I84" s="246"/>
      <c r="J84" s="246"/>
      <c r="K84" s="246"/>
      <c r="L84" s="246"/>
      <c r="M84" s="6"/>
    </row>
    <row r="85" spans="1:13" ht="15" customHeight="1">
      <c r="A85" s="6"/>
      <c r="B85" s="246"/>
      <c r="C85" s="246" t="s">
        <v>229</v>
      </c>
      <c r="D85" s="246"/>
      <c r="E85" s="246"/>
      <c r="F85" s="246"/>
      <c r="G85" s="246"/>
      <c r="H85" s="246"/>
      <c r="I85" s="246"/>
      <c r="J85" s="246"/>
      <c r="K85" s="246"/>
      <c r="L85" s="6"/>
      <c r="M85" s="6"/>
    </row>
    <row r="86" spans="1:13" ht="15" customHeight="1">
      <c r="A86" s="6"/>
      <c r="B86" s="246"/>
      <c r="C86" s="246" t="s">
        <v>230</v>
      </c>
      <c r="D86" s="246"/>
      <c r="E86" s="246"/>
      <c r="F86" s="246"/>
      <c r="G86" s="246"/>
      <c r="H86" s="246"/>
      <c r="I86" s="246"/>
      <c r="J86" s="246"/>
      <c r="K86" s="246"/>
      <c r="L86" s="246"/>
      <c r="M86" s="6"/>
    </row>
    <row r="87" spans="1:13" ht="15" customHeight="1">
      <c r="A87" s="6"/>
      <c r="B87" s="246"/>
      <c r="C87" s="246" t="s">
        <v>231</v>
      </c>
      <c r="D87" s="246"/>
      <c r="E87" s="246"/>
      <c r="F87" s="246"/>
      <c r="G87" s="246"/>
      <c r="H87" s="246"/>
      <c r="I87" s="246"/>
      <c r="J87" s="246"/>
      <c r="K87" s="246"/>
      <c r="L87" s="246"/>
      <c r="M87" s="6"/>
    </row>
    <row r="88" spans="1:13" ht="15" customHeight="1">
      <c r="A88" s="6"/>
      <c r="B88" s="246"/>
      <c r="C88" s="246" t="s">
        <v>232</v>
      </c>
      <c r="D88" s="246"/>
      <c r="E88" s="246"/>
      <c r="F88" s="246"/>
      <c r="G88" s="246"/>
      <c r="H88" s="246"/>
      <c r="I88" s="246"/>
      <c r="J88" s="246"/>
      <c r="K88" s="246"/>
      <c r="L88" s="246"/>
      <c r="M88" s="6"/>
    </row>
    <row r="89" spans="1:13" ht="15" customHeight="1">
      <c r="A89" s="6"/>
      <c r="B89" s="246"/>
      <c r="C89" s="246" t="s">
        <v>233</v>
      </c>
      <c r="D89" s="246"/>
      <c r="E89" s="246"/>
      <c r="F89" s="246"/>
      <c r="G89" s="246"/>
      <c r="H89" s="246"/>
      <c r="I89" s="246"/>
      <c r="J89" s="246"/>
      <c r="K89" s="246"/>
      <c r="L89" s="246"/>
      <c r="M89" s="6"/>
    </row>
    <row r="90" spans="1:13" s="6" customFormat="1" ht="31.5" customHeight="1">
      <c r="C90" s="309" t="s">
        <v>234</v>
      </c>
      <c r="D90" s="309"/>
      <c r="E90" s="309"/>
      <c r="F90" s="309"/>
      <c r="G90" s="309"/>
      <c r="H90" s="309"/>
      <c r="I90" s="309"/>
      <c r="J90" s="309"/>
      <c r="K90" s="309"/>
      <c r="L90" s="309"/>
      <c r="M90" s="309"/>
    </row>
    <row r="91" spans="1:13" ht="15.6" customHeight="1">
      <c r="A91" s="237" t="s">
        <v>235</v>
      </c>
      <c r="B91" s="246"/>
      <c r="C91" s="246" t="s">
        <v>236</v>
      </c>
      <c r="D91" s="246"/>
      <c r="E91" s="246"/>
      <c r="F91" s="246"/>
      <c r="G91" s="246"/>
      <c r="H91" s="246"/>
      <c r="I91" s="246"/>
      <c r="J91" s="246"/>
      <c r="K91" s="246"/>
      <c r="L91" s="246"/>
      <c r="M91" s="6"/>
    </row>
    <row r="92" spans="1:13" ht="15" customHeight="1">
      <c r="A92" s="6"/>
      <c r="B92" s="246"/>
      <c r="C92" s="246" t="s">
        <v>237</v>
      </c>
      <c r="D92" s="246"/>
      <c r="E92" s="246"/>
      <c r="F92" s="246"/>
      <c r="G92" s="246"/>
      <c r="H92" s="246"/>
      <c r="I92" s="246"/>
      <c r="J92" s="246"/>
      <c r="K92" s="246"/>
      <c r="L92" s="246"/>
      <c r="M92" s="6"/>
    </row>
    <row r="93" spans="1:13" ht="15" customHeight="1">
      <c r="A93" s="6"/>
      <c r="B93" s="246"/>
      <c r="C93" s="246" t="s">
        <v>238</v>
      </c>
      <c r="D93" s="246"/>
      <c r="E93" s="246"/>
      <c r="F93" s="246"/>
      <c r="G93" s="246"/>
      <c r="H93" s="246"/>
      <c r="I93" s="246"/>
      <c r="J93" s="246"/>
      <c r="K93" s="246"/>
      <c r="L93" s="246"/>
      <c r="M93" s="6"/>
    </row>
    <row r="94" spans="1:13" ht="15" customHeight="1">
      <c r="A94" s="6"/>
      <c r="B94" s="246"/>
      <c r="C94" s="246" t="s">
        <v>239</v>
      </c>
      <c r="D94" s="246"/>
      <c r="E94" s="246"/>
      <c r="F94" s="246"/>
      <c r="G94" s="246"/>
      <c r="H94" s="246"/>
      <c r="I94" s="246"/>
      <c r="J94" s="246"/>
      <c r="K94" s="246"/>
      <c r="L94" s="246"/>
      <c r="M94" s="6"/>
    </row>
    <row r="95" spans="1:13" ht="15" customHeight="1">
      <c r="A95" s="6"/>
      <c r="B95" s="246"/>
      <c r="C95" s="246" t="s">
        <v>240</v>
      </c>
      <c r="D95" s="246"/>
      <c r="E95" s="246"/>
      <c r="F95" s="246"/>
      <c r="G95" s="246"/>
      <c r="H95" s="246"/>
      <c r="I95" s="246"/>
      <c r="J95" s="246"/>
      <c r="K95" s="246"/>
      <c r="L95" s="246"/>
      <c r="M95" s="6"/>
    </row>
    <row r="96" spans="1:13" ht="15" customHeight="1">
      <c r="A96" s="6"/>
      <c r="B96" s="246"/>
      <c r="C96" s="246" t="s">
        <v>241</v>
      </c>
      <c r="D96" s="246"/>
      <c r="E96" s="246"/>
      <c r="F96" s="246"/>
      <c r="G96" s="246"/>
      <c r="H96" s="246"/>
      <c r="I96" s="246"/>
      <c r="J96" s="246"/>
      <c r="K96" s="246"/>
      <c r="L96" s="246"/>
      <c r="M96" s="6"/>
    </row>
    <row r="97" spans="1:13" ht="15" customHeight="1">
      <c r="A97" s="6"/>
      <c r="B97" s="246"/>
      <c r="C97" s="246" t="s">
        <v>242</v>
      </c>
      <c r="D97" s="246"/>
      <c r="E97" s="246"/>
      <c r="F97" s="246"/>
      <c r="G97" s="246"/>
      <c r="H97" s="246"/>
      <c r="I97" s="246"/>
      <c r="J97" s="246"/>
      <c r="K97" s="246"/>
      <c r="L97" s="246"/>
      <c r="M97" s="6"/>
    </row>
    <row r="98" spans="1:13" ht="15" customHeight="1">
      <c r="A98" s="6"/>
      <c r="B98" s="246"/>
      <c r="C98" s="246" t="s">
        <v>243</v>
      </c>
      <c r="D98" s="246"/>
      <c r="E98" s="246"/>
      <c r="F98" s="246"/>
      <c r="G98" s="246"/>
      <c r="H98" s="246"/>
      <c r="I98" s="246"/>
      <c r="J98" s="246"/>
      <c r="K98" s="246"/>
      <c r="L98" s="246"/>
      <c r="M98" s="6"/>
    </row>
    <row r="99" spans="1:13" ht="15" customHeight="1">
      <c r="A99" s="6"/>
      <c r="B99" s="246"/>
      <c r="C99" s="246" t="s">
        <v>244</v>
      </c>
      <c r="D99" s="246"/>
      <c r="E99" s="246"/>
      <c r="F99" s="246"/>
      <c r="G99" s="246"/>
      <c r="H99" s="246"/>
      <c r="I99" s="246"/>
      <c r="J99" s="246"/>
      <c r="K99" s="246"/>
      <c r="L99" s="246"/>
      <c r="M99" s="6"/>
    </row>
    <row r="100" spans="1:13" ht="15" customHeight="1">
      <c r="A100" s="6"/>
      <c r="B100" s="246"/>
      <c r="C100" s="246" t="s">
        <v>233</v>
      </c>
      <c r="D100" s="246"/>
      <c r="E100" s="246"/>
      <c r="F100" s="246"/>
      <c r="G100" s="246"/>
      <c r="H100" s="246"/>
      <c r="I100" s="246"/>
      <c r="J100" s="246"/>
      <c r="K100" s="246"/>
      <c r="L100" s="246"/>
      <c r="M100" s="6"/>
    </row>
    <row r="101" spans="1:13" ht="15" customHeight="1">
      <c r="A101" s="6"/>
      <c r="B101" s="246"/>
      <c r="C101" s="246" t="s">
        <v>245</v>
      </c>
      <c r="D101" s="246"/>
      <c r="E101" s="246"/>
      <c r="F101" s="246"/>
      <c r="G101" s="246"/>
      <c r="H101" s="246"/>
      <c r="I101" s="246"/>
      <c r="J101" s="246"/>
      <c r="K101" s="246"/>
      <c r="L101" s="246"/>
      <c r="M101" s="246"/>
    </row>
  </sheetData>
  <sheetProtection selectLockedCells="1"/>
  <mergeCells count="9">
    <mergeCell ref="C79:M79"/>
    <mergeCell ref="C83:M83"/>
    <mergeCell ref="C90:M90"/>
    <mergeCell ref="A45:C45"/>
    <mergeCell ref="A1:C2"/>
    <mergeCell ref="A4:C4"/>
    <mergeCell ref="A5:C5"/>
    <mergeCell ref="A6:C6"/>
    <mergeCell ref="A26:C26"/>
  </mergeCells>
  <hyperlinks>
    <hyperlink ref="C48" r:id="rId1" xr:uid="{5AD34DD7-E2C5-45BC-9C33-DB6AEE4FAD4D}"/>
  </hyperlinks>
  <pageMargins left="0.75" right="0.75" top="1" bottom="1" header="0.5" footer="0.5"/>
  <pageSetup paperSize="9" scale="71" orientation="portrait" r:id="rId2"/>
  <headerFooter alignWithMargins="0">
    <oddHeader>&amp;C&amp;"Aptos"&amp;10&amp;K000000 OFFICIAL&amp;1#_x000D_</oddHeader>
    <oddFooter>&amp;C_x000D_&amp;1#&amp;"Aptos"&amp;10&amp;K000000 OFFICIAL</oddFooter>
  </headerFooter>
  <rowBreaks count="1" manualBreakCount="1">
    <brk id="38" max="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8C080-8599-49D5-B0AA-4A1BDB1F9284}">
  <sheetPr codeName="Sheet6">
    <tabColor rgb="FFFF0000"/>
  </sheetPr>
  <dimension ref="A1:G1"/>
  <sheetViews>
    <sheetView workbookViewId="0"/>
  </sheetViews>
  <sheetFormatPr defaultRowHeight="12.75"/>
  <cols>
    <col min="3" max="3" width="13.42578125" bestFit="1" customWidth="1"/>
  </cols>
  <sheetData>
    <row r="1" spans="1:7">
      <c r="A1" t="s">
        <v>246</v>
      </c>
      <c r="B1" t="s">
        <v>247</v>
      </c>
      <c r="C1" t="s">
        <v>248</v>
      </c>
      <c r="D1" t="s">
        <v>249</v>
      </c>
      <c r="E1" t="s">
        <v>250</v>
      </c>
      <c r="F1" t="s">
        <v>251</v>
      </c>
      <c r="G1" t="s">
        <v>252</v>
      </c>
    </row>
  </sheetData>
  <pageMargins left="0.7" right="0.7" top="0.75" bottom="0.75" header="0.3" footer="0.3"/>
  <headerFooter>
    <oddHeader>&amp;C&amp;"Aptos"&amp;10&amp;K000000 OFFICIAL&amp;1#_x000D_</oddHeader>
    <oddFooter>&amp;C_x000D_&amp;1#&amp;"Aptos"&amp;10&amp;K000000 OFFICIAL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F76C9-AE67-428E-82DA-5F101579B900}">
  <sheetPr codeName="Sheet7">
    <tabColor rgb="FFFF0000"/>
  </sheetPr>
  <dimension ref="A4:I27"/>
  <sheetViews>
    <sheetView workbookViewId="0">
      <selection activeCell="I28" sqref="I28"/>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9">
      <c r="C4" s="252" t="s">
        <v>253</v>
      </c>
      <c r="D4" s="253" t="str">
        <f>VLOOKUP(Cover!A6,Cover!B319:D331,2,FALSE)</f>
        <v>2024/25</v>
      </c>
      <c r="E4" s="254" t="str">
        <f>Cover!A10</f>
        <v>Shropshire</v>
      </c>
    </row>
    <row r="7" spans="1:9">
      <c r="B7" t="s">
        <v>254</v>
      </c>
      <c r="C7" t="s">
        <v>255</v>
      </c>
      <c r="D7" t="s">
        <v>256</v>
      </c>
      <c r="E7" t="s">
        <v>257</v>
      </c>
      <c r="F7" t="s">
        <v>258</v>
      </c>
      <c r="G7" t="s">
        <v>259</v>
      </c>
      <c r="H7" t="s">
        <v>260</v>
      </c>
      <c r="I7" t="s">
        <v>261</v>
      </c>
    </row>
    <row r="8" spans="1:9">
      <c r="A8" t="s">
        <v>136</v>
      </c>
      <c r="B8" cm="1">
        <f t="array" ref="B8">SUMPRODUCT(('LE - PY data'!$A$2:$A$10000='LE1a PY'!$C$4)*('LE - PY data'!$B$2:$B$10000='LE1a PY'!$D$4)*('LE - PY data'!$C$2:$C$10000='LE1a PY'!$E$4)*('LE - PY data'!$E$2:$E$10000='LE1a PY'!B$7)*('LE - PY data'!$F$2:$F$10000='LE1a PY'!$A8)*('LE - PY data'!$G$2:$G$10000))</f>
        <v>0</v>
      </c>
      <c r="C8" cm="1">
        <f t="array" ref="C8">SUMPRODUCT(('LE - PY data'!$A$2:$A$10000='LE1a PY'!$C$4)*('LE - PY data'!$B$2:$B$10000='LE1a PY'!$D$4)*('LE - PY data'!$C$2:$C$10000='LE1a PY'!$E$4)*('LE - PY data'!$E$2:$E$10000='LE1a PY'!C$7)*('LE - PY data'!$F$2:$F$10000='LE1a PY'!$A8)*('LE - PY data'!$G$2:$G$10000))</f>
        <v>0</v>
      </c>
      <c r="D8" cm="1">
        <f t="array" ref="D8">SUMPRODUCT(('LE - PY data'!$A$2:$A$10000='LE1a PY'!$C$4)*('LE - PY data'!$B$2:$B$10000='LE1a PY'!$D$4)*('LE - PY data'!$C$2:$C$10000='LE1a PY'!$E$4)*('LE - PY data'!$E$2:$E$10000='LE1a PY'!D$7)*('LE - PY data'!$F$2:$F$10000='LE1a PY'!$A8)*('LE - PY data'!$G$2:$G$10000))</f>
        <v>0</v>
      </c>
      <c r="E8" cm="1">
        <f t="array" ref="E8">SUMPRODUCT(('LE - PY data'!$A$2:$A$10000='LE1a PY'!$C$4)*('LE - PY data'!$B$2:$B$10000='LE1a PY'!$D$4)*('LE - PY data'!$C$2:$C$10000='LE1a PY'!$E$4)*('LE - PY data'!$E$2:$E$10000='LE1a PY'!E$7)*('LE - PY data'!$F$2:$F$10000='LE1a PY'!$A8)*('LE - PY data'!$G$2:$G$10000))</f>
        <v>0</v>
      </c>
      <c r="F8" cm="1">
        <f t="array" ref="F8">SUMPRODUCT(('LE - PY data'!$A$2:$A$10000='LE1a PY'!$C$4)*('LE - PY data'!$B$2:$B$10000='LE1a PY'!$D$4)*('LE - PY data'!$C$2:$C$10000='LE1a PY'!$E$4)*('LE - PY data'!$E$2:$E$10000='LE1a PY'!F$7)*('LE - PY data'!$F$2:$F$10000='LE1a PY'!$A8)*('LE - PY data'!$G$2:$G$10000))</f>
        <v>0</v>
      </c>
      <c r="G8" cm="1">
        <f t="array" ref="G8">SUMPRODUCT(('LE - PY data'!$A$2:$A$10000='LE1a PY'!$C$4)*('LE - PY data'!$B$2:$B$10000='LE1a PY'!$D$4)*('LE - PY data'!$C$2:$C$10000='LE1a PY'!$E$4)*('LE - PY data'!$E$2:$E$10000='LE1a PY'!G$7)*('LE - PY data'!$F$2:$F$10000='LE1a PY'!$A8)*('LE - PY data'!$G$2:$G$10000))</f>
        <v>0</v>
      </c>
      <c r="H8" cm="1">
        <f t="array" ref="H8">SUMPRODUCT(('LE - PY data'!$A$2:$A$10000='LE1a PY'!$C$4)*('LE - PY data'!$B$2:$B$10000='LE1a PY'!$D$4)*('LE - PY data'!$C$2:$C$10000='LE1a PY'!$E$4)*('LE - PY data'!$E$2:$E$10000='LE1a PY'!H$7)*('LE - PY data'!$F$2:$F$10000='LE1a PY'!$A8)*('LE - PY data'!$G$2:$G$10000))</f>
        <v>0</v>
      </c>
      <c r="I8" cm="1">
        <f t="array" ref="I8">SUMPRODUCT(('LE - PY data'!$A$2:$A$10000='LE1a PY'!$C$4)*('LE - PY data'!$B$2:$B$10000='LE1a PY'!$D$4)*('LE - PY data'!$C$2:$C$10000='LE1a PY'!$E$4)*('LE - PY data'!$F$2:$F$10000='LE1a PY'!$A8)*('LE - PY data'!$G$2:$G$10000))</f>
        <v>0</v>
      </c>
    </row>
    <row r="9" spans="1:9">
      <c r="A9" t="s">
        <v>137</v>
      </c>
      <c r="B9" cm="1">
        <f t="array" ref="B9">SUMPRODUCT(('LE - PY data'!$A$2:$A$10000='LE1a PY'!$C$4)*('LE - PY data'!$B$2:$B$10000='LE1a PY'!$D$4)*('LE - PY data'!$C$2:$C$10000='LE1a PY'!$E$4)*('LE - PY data'!$E$2:$E$10000='LE1a PY'!B$7)*('LE - PY data'!$F$2:$F$10000='LE1a PY'!$A9)*('LE - PY data'!$G$2:$G$10000))</f>
        <v>0</v>
      </c>
      <c r="C9" cm="1">
        <f t="array" ref="C9">SUMPRODUCT(('LE - PY data'!$A$2:$A$10000='LE1a PY'!$C$4)*('LE - PY data'!$B$2:$B$10000='LE1a PY'!$D$4)*('LE - PY data'!$C$2:$C$10000='LE1a PY'!$E$4)*('LE - PY data'!$E$2:$E$10000='LE1a PY'!C$7)*('LE - PY data'!$F$2:$F$10000='LE1a PY'!$A9)*('LE - PY data'!$G$2:$G$10000))</f>
        <v>0</v>
      </c>
      <c r="D9" cm="1">
        <f t="array" ref="D9">SUMPRODUCT(('LE - PY data'!$A$2:$A$10000='LE1a PY'!$C$4)*('LE - PY data'!$B$2:$B$10000='LE1a PY'!$D$4)*('LE - PY data'!$C$2:$C$10000='LE1a PY'!$E$4)*('LE - PY data'!$E$2:$E$10000='LE1a PY'!D$7)*('LE - PY data'!$F$2:$F$10000='LE1a PY'!$A9)*('LE - PY data'!$G$2:$G$10000))</f>
        <v>0</v>
      </c>
      <c r="E9" cm="1">
        <f t="array" ref="E9">SUMPRODUCT(('LE - PY data'!$A$2:$A$10000='LE1a PY'!$C$4)*('LE - PY data'!$B$2:$B$10000='LE1a PY'!$D$4)*('LE - PY data'!$C$2:$C$10000='LE1a PY'!$E$4)*('LE - PY data'!$E$2:$E$10000='LE1a PY'!E$7)*('LE - PY data'!$F$2:$F$10000='LE1a PY'!$A9)*('LE - PY data'!$G$2:$G$10000))</f>
        <v>0</v>
      </c>
      <c r="F9" cm="1">
        <f t="array" ref="F9">SUMPRODUCT(('LE - PY data'!$A$2:$A$10000='LE1a PY'!$C$4)*('LE - PY data'!$B$2:$B$10000='LE1a PY'!$D$4)*('LE - PY data'!$C$2:$C$10000='LE1a PY'!$E$4)*('LE - PY data'!$E$2:$E$10000='LE1a PY'!F$7)*('LE - PY data'!$F$2:$F$10000='LE1a PY'!$A9)*('LE - PY data'!$G$2:$G$10000))</f>
        <v>0</v>
      </c>
      <c r="G9" cm="1">
        <f t="array" ref="G9">SUMPRODUCT(('LE - PY data'!$A$2:$A$10000='LE1a PY'!$C$4)*('LE - PY data'!$B$2:$B$10000='LE1a PY'!$D$4)*('LE - PY data'!$C$2:$C$10000='LE1a PY'!$E$4)*('LE - PY data'!$E$2:$E$10000='LE1a PY'!G$7)*('LE - PY data'!$F$2:$F$10000='LE1a PY'!$A9)*('LE - PY data'!$G$2:$G$10000))</f>
        <v>0</v>
      </c>
      <c r="H9" cm="1">
        <f t="array" ref="H9">SUMPRODUCT(('LE - PY data'!$A$2:$A$10000='LE1a PY'!$C$4)*('LE - PY data'!$B$2:$B$10000='LE1a PY'!$D$4)*('LE - PY data'!$C$2:$C$10000='LE1a PY'!$E$4)*('LE - PY data'!$E$2:$E$10000='LE1a PY'!H$7)*('LE - PY data'!$F$2:$F$10000='LE1a PY'!$A9)*('LE - PY data'!$G$2:$G$10000))</f>
        <v>0</v>
      </c>
      <c r="I9" cm="1">
        <f t="array" ref="I9">SUMPRODUCT(('LE - PY data'!$A$2:$A$10000='LE1a PY'!$C$4)*('LE - PY data'!$B$2:$B$10000='LE1a PY'!$D$4)*('LE - PY data'!$C$2:$C$10000='LE1a PY'!$E$4)*('LE - PY data'!$F$2:$F$10000='LE1a PY'!$A9)*('LE - PY data'!$G$2:$G$10000))</f>
        <v>0</v>
      </c>
    </row>
    <row r="10" spans="1:9">
      <c r="A10" t="s">
        <v>262</v>
      </c>
      <c r="B10" cm="1">
        <f t="array" ref="B10">SUMPRODUCT(('LE - PY data'!$A$2:$A$10000='LE1a PY'!$C$4)*('LE - PY data'!$B$2:$B$10000='LE1a PY'!$D$4)*('LE - PY data'!$C$2:$C$10000='LE1a PY'!$E$4)*('LE - PY data'!$E$2:$E$10000='LE1a PY'!B$7)*('LE - PY data'!$F$2:$F$10000='LE1a PY'!$A10)*('LE - PY data'!$G$2:$G$10000))</f>
        <v>0</v>
      </c>
      <c r="C10" cm="1">
        <f t="array" ref="C10">SUMPRODUCT(('LE - PY data'!$A$2:$A$10000='LE1a PY'!$C$4)*('LE - PY data'!$B$2:$B$10000='LE1a PY'!$D$4)*('LE - PY data'!$C$2:$C$10000='LE1a PY'!$E$4)*('LE - PY data'!$E$2:$E$10000='LE1a PY'!C$7)*('LE - PY data'!$F$2:$F$10000='LE1a PY'!$A10)*('LE - PY data'!$G$2:$G$10000))</f>
        <v>0</v>
      </c>
      <c r="D10" cm="1">
        <f t="array" ref="D10">SUMPRODUCT(('LE - PY data'!$A$2:$A$10000='LE1a PY'!$C$4)*('LE - PY data'!$B$2:$B$10000='LE1a PY'!$D$4)*('LE - PY data'!$C$2:$C$10000='LE1a PY'!$E$4)*('LE - PY data'!$E$2:$E$10000='LE1a PY'!D$7)*('LE - PY data'!$F$2:$F$10000='LE1a PY'!$A10)*('LE - PY data'!$G$2:$G$10000))</f>
        <v>0</v>
      </c>
      <c r="E10" cm="1">
        <f t="array" ref="E10">SUMPRODUCT(('LE - PY data'!$A$2:$A$10000='LE1a PY'!$C$4)*('LE - PY data'!$B$2:$B$10000='LE1a PY'!$D$4)*('LE - PY data'!$C$2:$C$10000='LE1a PY'!$E$4)*('LE - PY data'!$E$2:$E$10000='LE1a PY'!E$7)*('LE - PY data'!$F$2:$F$10000='LE1a PY'!$A10)*('LE - PY data'!$G$2:$G$10000))</f>
        <v>0</v>
      </c>
      <c r="F10" cm="1">
        <f t="array" ref="F10">SUMPRODUCT(('LE - PY data'!$A$2:$A$10000='LE1a PY'!$C$4)*('LE - PY data'!$B$2:$B$10000='LE1a PY'!$D$4)*('LE - PY data'!$C$2:$C$10000='LE1a PY'!$E$4)*('LE - PY data'!$E$2:$E$10000='LE1a PY'!F$7)*('LE - PY data'!$F$2:$F$10000='LE1a PY'!$A10)*('LE - PY data'!$G$2:$G$10000))</f>
        <v>0</v>
      </c>
      <c r="G10" cm="1">
        <f t="array" ref="G10">SUMPRODUCT(('LE - PY data'!$A$2:$A$10000='LE1a PY'!$C$4)*('LE - PY data'!$B$2:$B$10000='LE1a PY'!$D$4)*('LE - PY data'!$C$2:$C$10000='LE1a PY'!$E$4)*('LE - PY data'!$E$2:$E$10000='LE1a PY'!G$7)*('LE - PY data'!$F$2:$F$10000='LE1a PY'!$A10)*('LE - PY data'!$G$2:$G$10000))</f>
        <v>0</v>
      </c>
      <c r="H10" cm="1">
        <f t="array" ref="H10">SUMPRODUCT(('LE - PY data'!$A$2:$A$10000='LE1a PY'!$C$4)*('LE - PY data'!$B$2:$B$10000='LE1a PY'!$D$4)*('LE - PY data'!$C$2:$C$10000='LE1a PY'!$E$4)*('LE - PY data'!$E$2:$E$10000='LE1a PY'!H$7)*('LE - PY data'!$F$2:$F$10000='LE1a PY'!$A10)*('LE - PY data'!$G$2:$G$10000))</f>
        <v>0</v>
      </c>
      <c r="I10" cm="1">
        <f t="array" ref="I10">SUMPRODUCT(('LE - PY data'!$A$2:$A$10000='LE1a PY'!$C$4)*('LE - PY data'!$B$2:$B$10000='LE1a PY'!$D$4)*('LE - PY data'!$C$2:$C$10000='LE1a PY'!$E$4)*('LE - PY data'!$F$2:$F$10000='LE1a PY'!$A10)*('LE - PY data'!$G$2:$G$10000))</f>
        <v>0</v>
      </c>
    </row>
    <row r="11" spans="1:9">
      <c r="A11" t="s">
        <v>139</v>
      </c>
      <c r="B11" cm="1">
        <f t="array" ref="B11">SUMPRODUCT(('LE - PY data'!$A$2:$A$10000='LE1a PY'!$C$4)*('LE - PY data'!$B$2:$B$10000='LE1a PY'!$D$4)*('LE - PY data'!$C$2:$C$10000='LE1a PY'!$E$4)*('LE - PY data'!$E$2:$E$10000='LE1a PY'!B$7)*('LE - PY data'!$F$2:$F$10000='LE1a PY'!$A11)*('LE - PY data'!$G$2:$G$10000))</f>
        <v>0</v>
      </c>
      <c r="C11" cm="1">
        <f t="array" ref="C11">SUMPRODUCT(('LE - PY data'!$A$2:$A$10000='LE1a PY'!$C$4)*('LE - PY data'!$B$2:$B$10000='LE1a PY'!$D$4)*('LE - PY data'!$C$2:$C$10000='LE1a PY'!$E$4)*('LE - PY data'!$E$2:$E$10000='LE1a PY'!C$7)*('LE - PY data'!$F$2:$F$10000='LE1a PY'!$A11)*('LE - PY data'!$G$2:$G$10000))</f>
        <v>0</v>
      </c>
      <c r="D11" cm="1">
        <f t="array" ref="D11">SUMPRODUCT(('LE - PY data'!$A$2:$A$10000='LE1a PY'!$C$4)*('LE - PY data'!$B$2:$B$10000='LE1a PY'!$D$4)*('LE - PY data'!$C$2:$C$10000='LE1a PY'!$E$4)*('LE - PY data'!$E$2:$E$10000='LE1a PY'!D$7)*('LE - PY data'!$F$2:$F$10000='LE1a PY'!$A11)*('LE - PY data'!$G$2:$G$10000))</f>
        <v>0</v>
      </c>
      <c r="E11" cm="1">
        <f t="array" ref="E11">SUMPRODUCT(('LE - PY data'!$A$2:$A$10000='LE1a PY'!$C$4)*('LE - PY data'!$B$2:$B$10000='LE1a PY'!$D$4)*('LE - PY data'!$C$2:$C$10000='LE1a PY'!$E$4)*('LE - PY data'!$E$2:$E$10000='LE1a PY'!E$7)*('LE - PY data'!$F$2:$F$10000='LE1a PY'!$A11)*('LE - PY data'!$G$2:$G$10000))</f>
        <v>0</v>
      </c>
      <c r="F11" cm="1">
        <f t="array" ref="F11">SUMPRODUCT(('LE - PY data'!$A$2:$A$10000='LE1a PY'!$C$4)*('LE - PY data'!$B$2:$B$10000='LE1a PY'!$D$4)*('LE - PY data'!$C$2:$C$10000='LE1a PY'!$E$4)*('LE - PY data'!$E$2:$E$10000='LE1a PY'!F$7)*('LE - PY data'!$F$2:$F$10000='LE1a PY'!$A11)*('LE - PY data'!$G$2:$G$10000))</f>
        <v>0</v>
      </c>
      <c r="G11" cm="1">
        <f t="array" ref="G11">SUMPRODUCT(('LE - PY data'!$A$2:$A$10000='LE1a PY'!$C$4)*('LE - PY data'!$B$2:$B$10000='LE1a PY'!$D$4)*('LE - PY data'!$C$2:$C$10000='LE1a PY'!$E$4)*('LE - PY data'!$E$2:$E$10000='LE1a PY'!G$7)*('LE - PY data'!$F$2:$F$10000='LE1a PY'!$A11)*('LE - PY data'!$G$2:$G$10000))</f>
        <v>0</v>
      </c>
      <c r="H11" cm="1">
        <f t="array" ref="H11">SUMPRODUCT(('LE - PY data'!$A$2:$A$10000='LE1a PY'!$C$4)*('LE - PY data'!$B$2:$B$10000='LE1a PY'!$D$4)*('LE - PY data'!$C$2:$C$10000='LE1a PY'!$E$4)*('LE - PY data'!$E$2:$E$10000='LE1a PY'!H$7)*('LE - PY data'!$F$2:$F$10000='LE1a PY'!$A11)*('LE - PY data'!$G$2:$G$10000))</f>
        <v>0</v>
      </c>
      <c r="I11" cm="1">
        <f t="array" ref="I11">SUMPRODUCT(('LE - PY data'!$A$2:$A$10000='LE1a PY'!$C$4)*('LE - PY data'!$B$2:$B$10000='LE1a PY'!$D$4)*('LE - PY data'!$C$2:$C$10000='LE1a PY'!$E$4)*('LE - PY data'!$F$2:$F$10000='LE1a PY'!$A11)*('LE - PY data'!$G$2:$G$10000))</f>
        <v>0</v>
      </c>
    </row>
    <row r="12" spans="1:9">
      <c r="A12" t="s">
        <v>140</v>
      </c>
      <c r="B12" cm="1">
        <f t="array" ref="B12">SUMPRODUCT(('LE - PY data'!$A$2:$A$10000='LE1a PY'!$C$4)*('LE - PY data'!$B$2:$B$10000='LE1a PY'!$D$4)*('LE - PY data'!$C$2:$C$10000='LE1a PY'!$E$4)*('LE - PY data'!$E$2:$E$10000='LE1a PY'!B$7)*('LE - PY data'!$F$2:$F$10000='LE1a PY'!$A12)*('LE - PY data'!$G$2:$G$10000))</f>
        <v>0</v>
      </c>
      <c r="C12" cm="1">
        <f t="array" ref="C12">SUMPRODUCT(('LE - PY data'!$A$2:$A$10000='LE1a PY'!$C$4)*('LE - PY data'!$B$2:$B$10000='LE1a PY'!$D$4)*('LE - PY data'!$C$2:$C$10000='LE1a PY'!$E$4)*('LE - PY data'!$E$2:$E$10000='LE1a PY'!C$7)*('LE - PY data'!$F$2:$F$10000='LE1a PY'!$A12)*('LE - PY data'!$G$2:$G$10000))</f>
        <v>0</v>
      </c>
      <c r="D12" cm="1">
        <f t="array" ref="D12">SUMPRODUCT(('LE - PY data'!$A$2:$A$10000='LE1a PY'!$C$4)*('LE - PY data'!$B$2:$B$10000='LE1a PY'!$D$4)*('LE - PY data'!$C$2:$C$10000='LE1a PY'!$E$4)*('LE - PY data'!$E$2:$E$10000='LE1a PY'!D$7)*('LE - PY data'!$F$2:$F$10000='LE1a PY'!$A12)*('LE - PY data'!$G$2:$G$10000))</f>
        <v>0</v>
      </c>
      <c r="E12" cm="1">
        <f t="array" ref="E12">SUMPRODUCT(('LE - PY data'!$A$2:$A$10000='LE1a PY'!$C$4)*('LE - PY data'!$B$2:$B$10000='LE1a PY'!$D$4)*('LE - PY data'!$C$2:$C$10000='LE1a PY'!$E$4)*('LE - PY data'!$E$2:$E$10000='LE1a PY'!E$7)*('LE - PY data'!$F$2:$F$10000='LE1a PY'!$A12)*('LE - PY data'!$G$2:$G$10000))</f>
        <v>0</v>
      </c>
      <c r="F12" cm="1">
        <f t="array" ref="F12">SUMPRODUCT(('LE - PY data'!$A$2:$A$10000='LE1a PY'!$C$4)*('LE - PY data'!$B$2:$B$10000='LE1a PY'!$D$4)*('LE - PY data'!$C$2:$C$10000='LE1a PY'!$E$4)*('LE - PY data'!$E$2:$E$10000='LE1a PY'!F$7)*('LE - PY data'!$F$2:$F$10000='LE1a PY'!$A12)*('LE - PY data'!$G$2:$G$10000))</f>
        <v>0</v>
      </c>
      <c r="G12" cm="1">
        <f t="array" ref="G12">SUMPRODUCT(('LE - PY data'!$A$2:$A$10000='LE1a PY'!$C$4)*('LE - PY data'!$B$2:$B$10000='LE1a PY'!$D$4)*('LE - PY data'!$C$2:$C$10000='LE1a PY'!$E$4)*('LE - PY data'!$E$2:$E$10000='LE1a PY'!G$7)*('LE - PY data'!$F$2:$F$10000='LE1a PY'!$A12)*('LE - PY data'!$G$2:$G$10000))</f>
        <v>0</v>
      </c>
      <c r="H12" cm="1">
        <f t="array" ref="H12">SUMPRODUCT(('LE - PY data'!$A$2:$A$10000='LE1a PY'!$C$4)*('LE - PY data'!$B$2:$B$10000='LE1a PY'!$D$4)*('LE - PY data'!$C$2:$C$10000='LE1a PY'!$E$4)*('LE - PY data'!$E$2:$E$10000='LE1a PY'!H$7)*('LE - PY data'!$F$2:$F$10000='LE1a PY'!$A12)*('LE - PY data'!$G$2:$G$10000))</f>
        <v>0</v>
      </c>
      <c r="I12" cm="1">
        <f t="array" ref="I12">SUMPRODUCT(('LE - PY data'!$A$2:$A$10000='LE1a PY'!$C$4)*('LE - PY data'!$B$2:$B$10000='LE1a PY'!$D$4)*('LE - PY data'!$C$2:$C$10000='LE1a PY'!$E$4)*('LE - PY data'!$F$2:$F$10000='LE1a PY'!$A12)*('LE - PY data'!$G$2:$G$10000))</f>
        <v>0</v>
      </c>
    </row>
    <row r="13" spans="1:9">
      <c r="A13" t="s">
        <v>141</v>
      </c>
      <c r="B13" cm="1">
        <f t="array" ref="B13">SUMPRODUCT(('LE - PY data'!$A$2:$A$10000='LE1a PY'!$C$4)*('LE - PY data'!$B$2:$B$10000='LE1a PY'!$D$4)*('LE - PY data'!$C$2:$C$10000='LE1a PY'!$E$4)*('LE - PY data'!$E$2:$E$10000='LE1a PY'!B$7)*('LE - PY data'!$F$2:$F$10000='LE1a PY'!$A13)*('LE - PY data'!$G$2:$G$10000))</f>
        <v>0</v>
      </c>
      <c r="C13" cm="1">
        <f t="array" ref="C13">SUMPRODUCT(('LE - PY data'!$A$2:$A$10000='LE1a PY'!$C$4)*('LE - PY data'!$B$2:$B$10000='LE1a PY'!$D$4)*('LE - PY data'!$C$2:$C$10000='LE1a PY'!$E$4)*('LE - PY data'!$E$2:$E$10000='LE1a PY'!C$7)*('LE - PY data'!$F$2:$F$10000='LE1a PY'!$A13)*('LE - PY data'!$G$2:$G$10000))</f>
        <v>0</v>
      </c>
      <c r="D13" cm="1">
        <f t="array" ref="D13">SUMPRODUCT(('LE - PY data'!$A$2:$A$10000='LE1a PY'!$C$4)*('LE - PY data'!$B$2:$B$10000='LE1a PY'!$D$4)*('LE - PY data'!$C$2:$C$10000='LE1a PY'!$E$4)*('LE - PY data'!$E$2:$E$10000='LE1a PY'!D$7)*('LE - PY data'!$F$2:$F$10000='LE1a PY'!$A13)*('LE - PY data'!$G$2:$G$10000))</f>
        <v>0</v>
      </c>
      <c r="E13" cm="1">
        <f t="array" ref="E13">SUMPRODUCT(('LE - PY data'!$A$2:$A$10000='LE1a PY'!$C$4)*('LE - PY data'!$B$2:$B$10000='LE1a PY'!$D$4)*('LE - PY data'!$C$2:$C$10000='LE1a PY'!$E$4)*('LE - PY data'!$E$2:$E$10000='LE1a PY'!E$7)*('LE - PY data'!$F$2:$F$10000='LE1a PY'!$A13)*('LE - PY data'!$G$2:$G$10000))</f>
        <v>0</v>
      </c>
      <c r="F13" cm="1">
        <f t="array" ref="F13">SUMPRODUCT(('LE - PY data'!$A$2:$A$10000='LE1a PY'!$C$4)*('LE - PY data'!$B$2:$B$10000='LE1a PY'!$D$4)*('LE - PY data'!$C$2:$C$10000='LE1a PY'!$E$4)*('LE - PY data'!$E$2:$E$10000='LE1a PY'!F$7)*('LE - PY data'!$F$2:$F$10000='LE1a PY'!$A13)*('LE - PY data'!$G$2:$G$10000))</f>
        <v>0</v>
      </c>
      <c r="G13" cm="1">
        <f t="array" ref="G13">SUMPRODUCT(('LE - PY data'!$A$2:$A$10000='LE1a PY'!$C$4)*('LE - PY data'!$B$2:$B$10000='LE1a PY'!$D$4)*('LE - PY data'!$C$2:$C$10000='LE1a PY'!$E$4)*('LE - PY data'!$E$2:$E$10000='LE1a PY'!G$7)*('LE - PY data'!$F$2:$F$10000='LE1a PY'!$A13)*('LE - PY data'!$G$2:$G$10000))</f>
        <v>0</v>
      </c>
      <c r="H13" cm="1">
        <f t="array" ref="H13">SUMPRODUCT(('LE - PY data'!$A$2:$A$10000='LE1a PY'!$C$4)*('LE - PY data'!$B$2:$B$10000='LE1a PY'!$D$4)*('LE - PY data'!$C$2:$C$10000='LE1a PY'!$E$4)*('LE - PY data'!$E$2:$E$10000='LE1a PY'!H$7)*('LE - PY data'!$F$2:$F$10000='LE1a PY'!$A13)*('LE - PY data'!$G$2:$G$10000))</f>
        <v>0</v>
      </c>
      <c r="I13" cm="1">
        <f t="array" ref="I13">SUMPRODUCT(('LE - PY data'!$A$2:$A$10000='LE1a PY'!$C$4)*('LE - PY data'!$B$2:$B$10000='LE1a PY'!$D$4)*('LE - PY data'!$C$2:$C$10000='LE1a PY'!$E$4)*('LE - PY data'!$F$2:$F$10000='LE1a PY'!$A13)*('LE - PY data'!$G$2:$G$10000))</f>
        <v>0</v>
      </c>
    </row>
    <row r="14" spans="1:9">
      <c r="A14" t="s">
        <v>263</v>
      </c>
      <c r="B14" cm="1">
        <f t="array" ref="B14">SUMPRODUCT(('LE - PY data'!$A$2:$A$10000='LE1a PY'!$C$4)*('LE - PY data'!$B$2:$B$10000='LE1a PY'!$D$4)*('LE - PY data'!$C$2:$C$10000='LE1a PY'!$E$4)*('LE - PY data'!$E$2:$E$10000='LE1a PY'!B$7)*('LE - PY data'!$F$2:$F$10000='LE1a PY'!$A14)*('LE - PY data'!$G$2:$G$10000))</f>
        <v>0</v>
      </c>
      <c r="C14" cm="1">
        <f t="array" ref="C14">SUMPRODUCT(('LE - PY data'!$A$2:$A$10000='LE1a PY'!$C$4)*('LE - PY data'!$B$2:$B$10000='LE1a PY'!$D$4)*('LE - PY data'!$C$2:$C$10000='LE1a PY'!$E$4)*('LE - PY data'!$E$2:$E$10000='LE1a PY'!C$7)*('LE - PY data'!$F$2:$F$10000='LE1a PY'!$A14)*('LE - PY data'!$G$2:$G$10000))</f>
        <v>0</v>
      </c>
      <c r="D14" cm="1">
        <f t="array" ref="D14">SUMPRODUCT(('LE - PY data'!$A$2:$A$10000='LE1a PY'!$C$4)*('LE - PY data'!$B$2:$B$10000='LE1a PY'!$D$4)*('LE - PY data'!$C$2:$C$10000='LE1a PY'!$E$4)*('LE - PY data'!$E$2:$E$10000='LE1a PY'!D$7)*('LE - PY data'!$F$2:$F$10000='LE1a PY'!$A14)*('LE - PY data'!$G$2:$G$10000))</f>
        <v>0</v>
      </c>
      <c r="E14" cm="1">
        <f t="array" ref="E14">SUMPRODUCT(('LE - PY data'!$A$2:$A$10000='LE1a PY'!$C$4)*('LE - PY data'!$B$2:$B$10000='LE1a PY'!$D$4)*('LE - PY data'!$C$2:$C$10000='LE1a PY'!$E$4)*('LE - PY data'!$E$2:$E$10000='LE1a PY'!E$7)*('LE - PY data'!$F$2:$F$10000='LE1a PY'!$A14)*('LE - PY data'!$G$2:$G$10000))</f>
        <v>0</v>
      </c>
      <c r="F14" cm="1">
        <f t="array" ref="F14">SUMPRODUCT(('LE - PY data'!$A$2:$A$10000='LE1a PY'!$C$4)*('LE - PY data'!$B$2:$B$10000='LE1a PY'!$D$4)*('LE - PY data'!$C$2:$C$10000='LE1a PY'!$E$4)*('LE - PY data'!$E$2:$E$10000='LE1a PY'!F$7)*('LE - PY data'!$F$2:$F$10000='LE1a PY'!$A14)*('LE - PY data'!$G$2:$G$10000))</f>
        <v>0</v>
      </c>
      <c r="G14" cm="1">
        <f t="array" ref="G14">SUMPRODUCT(('LE - PY data'!$A$2:$A$10000='LE1a PY'!$C$4)*('LE - PY data'!$B$2:$B$10000='LE1a PY'!$D$4)*('LE - PY data'!$C$2:$C$10000='LE1a PY'!$E$4)*('LE - PY data'!$E$2:$E$10000='LE1a PY'!G$7)*('LE - PY data'!$F$2:$F$10000='LE1a PY'!$A14)*('LE - PY data'!$G$2:$G$10000))</f>
        <v>0</v>
      </c>
      <c r="H14" cm="1">
        <f t="array" ref="H14">SUMPRODUCT(('LE - PY data'!$A$2:$A$10000='LE1a PY'!$C$4)*('LE - PY data'!$B$2:$B$10000='LE1a PY'!$D$4)*('LE - PY data'!$C$2:$C$10000='LE1a PY'!$E$4)*('LE - PY data'!$E$2:$E$10000='LE1a PY'!H$7)*('LE - PY data'!$F$2:$F$10000='LE1a PY'!$A14)*('LE - PY data'!$G$2:$G$10000))</f>
        <v>0</v>
      </c>
      <c r="I14" cm="1">
        <f t="array" ref="I14">SUMPRODUCT(('LE - PY data'!$A$2:$A$10000='LE1a PY'!$C$4)*('LE - PY data'!$B$2:$B$10000='LE1a PY'!$D$4)*('LE - PY data'!$C$2:$C$10000='LE1a PY'!$E$4)*('LE - PY data'!$F$2:$F$10000='LE1a PY'!$A14)*('LE - PY data'!$G$2:$G$10000))</f>
        <v>0</v>
      </c>
    </row>
    <row r="15" spans="1:9">
      <c r="A15" t="s">
        <v>145</v>
      </c>
      <c r="B15" cm="1">
        <f t="array" ref="B15">SUMPRODUCT(('LE - PY data'!$A$2:$A$10000='LE1a PY'!$C$4)*('LE - PY data'!$B$2:$B$10000='LE1a PY'!$D$4)*('LE - PY data'!$C$2:$C$10000='LE1a PY'!$E$4)*('LE - PY data'!$E$2:$E$10000='LE1a PY'!B$7)*('LE - PY data'!$F$2:$F$10000='LE1a PY'!$A15)*('LE - PY data'!$G$2:$G$10000))</f>
        <v>0</v>
      </c>
      <c r="C15" cm="1">
        <f t="array" ref="C15">SUMPRODUCT(('LE - PY data'!$A$2:$A$10000='LE1a PY'!$C$4)*('LE - PY data'!$B$2:$B$10000='LE1a PY'!$D$4)*('LE - PY data'!$C$2:$C$10000='LE1a PY'!$E$4)*('LE - PY data'!$E$2:$E$10000='LE1a PY'!C$7)*('LE - PY data'!$F$2:$F$10000='LE1a PY'!$A15)*('LE - PY data'!$G$2:$G$10000))</f>
        <v>0</v>
      </c>
      <c r="D15" cm="1">
        <f t="array" ref="D15">SUMPRODUCT(('LE - PY data'!$A$2:$A$10000='LE1a PY'!$C$4)*('LE - PY data'!$B$2:$B$10000='LE1a PY'!$D$4)*('LE - PY data'!$C$2:$C$10000='LE1a PY'!$E$4)*('LE - PY data'!$E$2:$E$10000='LE1a PY'!D$7)*('LE - PY data'!$F$2:$F$10000='LE1a PY'!$A15)*('LE - PY data'!$G$2:$G$10000))</f>
        <v>0</v>
      </c>
      <c r="E15" cm="1">
        <f t="array" ref="E15">SUMPRODUCT(('LE - PY data'!$A$2:$A$10000='LE1a PY'!$C$4)*('LE - PY data'!$B$2:$B$10000='LE1a PY'!$D$4)*('LE - PY data'!$C$2:$C$10000='LE1a PY'!$E$4)*('LE - PY data'!$E$2:$E$10000='LE1a PY'!E$7)*('LE - PY data'!$F$2:$F$10000='LE1a PY'!$A15)*('LE - PY data'!$G$2:$G$10000))</f>
        <v>0</v>
      </c>
      <c r="F15" cm="1">
        <f t="array" ref="F15">SUMPRODUCT(('LE - PY data'!$A$2:$A$10000='LE1a PY'!$C$4)*('LE - PY data'!$B$2:$B$10000='LE1a PY'!$D$4)*('LE - PY data'!$C$2:$C$10000='LE1a PY'!$E$4)*('LE - PY data'!$E$2:$E$10000='LE1a PY'!F$7)*('LE - PY data'!$F$2:$F$10000='LE1a PY'!$A15)*('LE - PY data'!$G$2:$G$10000))</f>
        <v>0</v>
      </c>
      <c r="G15" cm="1">
        <f t="array" ref="G15">SUMPRODUCT(('LE - PY data'!$A$2:$A$10000='LE1a PY'!$C$4)*('LE - PY data'!$B$2:$B$10000='LE1a PY'!$D$4)*('LE - PY data'!$C$2:$C$10000='LE1a PY'!$E$4)*('LE - PY data'!$E$2:$E$10000='LE1a PY'!G$7)*('LE - PY data'!$F$2:$F$10000='LE1a PY'!$A15)*('LE - PY data'!$G$2:$G$10000))</f>
        <v>0</v>
      </c>
      <c r="H15" cm="1">
        <f t="array" ref="H15">SUMPRODUCT(('LE - PY data'!$A$2:$A$10000='LE1a PY'!$C$4)*('LE - PY data'!$B$2:$B$10000='LE1a PY'!$D$4)*('LE - PY data'!$C$2:$C$10000='LE1a PY'!$E$4)*('LE - PY data'!$E$2:$E$10000='LE1a PY'!H$7)*('LE - PY data'!$F$2:$F$10000='LE1a PY'!$A15)*('LE - PY data'!$G$2:$G$10000))</f>
        <v>0</v>
      </c>
      <c r="I15" cm="1">
        <f t="array" ref="I15">SUMPRODUCT(('LE - PY data'!$A$2:$A$10000='LE1a PY'!$C$4)*('LE - PY data'!$B$2:$B$10000='LE1a PY'!$D$4)*('LE - PY data'!$C$2:$C$10000='LE1a PY'!$E$4)*('LE - PY data'!$F$2:$F$10000='LE1a PY'!$A15)*('LE - PY data'!$G$2:$G$10000))</f>
        <v>0</v>
      </c>
    </row>
    <row r="16" spans="1:9">
      <c r="A16" t="s">
        <v>146</v>
      </c>
      <c r="B16" cm="1">
        <f t="array" ref="B16">SUMPRODUCT(('LE - PY data'!$A$2:$A$10000='LE1a PY'!$C$4)*('LE - PY data'!$B$2:$B$10000='LE1a PY'!$D$4)*('LE - PY data'!$C$2:$C$10000='LE1a PY'!$E$4)*('LE - PY data'!$E$2:$E$10000='LE1a PY'!B$7)*('LE - PY data'!$F$2:$F$10000='LE1a PY'!$A16)*('LE - PY data'!$G$2:$G$10000))</f>
        <v>0</v>
      </c>
      <c r="C16" cm="1">
        <f t="array" ref="C16">SUMPRODUCT(('LE - PY data'!$A$2:$A$10000='LE1a PY'!$C$4)*('LE - PY data'!$B$2:$B$10000='LE1a PY'!$D$4)*('LE - PY data'!$C$2:$C$10000='LE1a PY'!$E$4)*('LE - PY data'!$E$2:$E$10000='LE1a PY'!C$7)*('LE - PY data'!$F$2:$F$10000='LE1a PY'!$A16)*('LE - PY data'!$G$2:$G$10000))</f>
        <v>0</v>
      </c>
      <c r="D16" cm="1">
        <f t="array" ref="D16">SUMPRODUCT(('LE - PY data'!$A$2:$A$10000='LE1a PY'!$C$4)*('LE - PY data'!$B$2:$B$10000='LE1a PY'!$D$4)*('LE - PY data'!$C$2:$C$10000='LE1a PY'!$E$4)*('LE - PY data'!$E$2:$E$10000='LE1a PY'!D$7)*('LE - PY data'!$F$2:$F$10000='LE1a PY'!$A16)*('LE - PY data'!$G$2:$G$10000))</f>
        <v>0</v>
      </c>
      <c r="E16" cm="1">
        <f t="array" ref="E16">SUMPRODUCT(('LE - PY data'!$A$2:$A$10000='LE1a PY'!$C$4)*('LE - PY data'!$B$2:$B$10000='LE1a PY'!$D$4)*('LE - PY data'!$C$2:$C$10000='LE1a PY'!$E$4)*('LE - PY data'!$E$2:$E$10000='LE1a PY'!E$7)*('LE - PY data'!$F$2:$F$10000='LE1a PY'!$A16)*('LE - PY data'!$G$2:$G$10000))</f>
        <v>0</v>
      </c>
      <c r="F16" cm="1">
        <f t="array" ref="F16">SUMPRODUCT(('LE - PY data'!$A$2:$A$10000='LE1a PY'!$C$4)*('LE - PY data'!$B$2:$B$10000='LE1a PY'!$D$4)*('LE - PY data'!$C$2:$C$10000='LE1a PY'!$E$4)*('LE - PY data'!$E$2:$E$10000='LE1a PY'!F$7)*('LE - PY data'!$F$2:$F$10000='LE1a PY'!$A16)*('LE - PY data'!$G$2:$G$10000))</f>
        <v>0</v>
      </c>
      <c r="G16" cm="1">
        <f t="array" ref="G16">SUMPRODUCT(('LE - PY data'!$A$2:$A$10000='LE1a PY'!$C$4)*('LE - PY data'!$B$2:$B$10000='LE1a PY'!$D$4)*('LE - PY data'!$C$2:$C$10000='LE1a PY'!$E$4)*('LE - PY data'!$E$2:$E$10000='LE1a PY'!G$7)*('LE - PY data'!$F$2:$F$10000='LE1a PY'!$A16)*('LE - PY data'!$G$2:$G$10000))</f>
        <v>0</v>
      </c>
      <c r="H16" cm="1">
        <f t="array" ref="H16">SUMPRODUCT(('LE - PY data'!$A$2:$A$10000='LE1a PY'!$C$4)*('LE - PY data'!$B$2:$B$10000='LE1a PY'!$D$4)*('LE - PY data'!$C$2:$C$10000='LE1a PY'!$E$4)*('LE - PY data'!$E$2:$E$10000='LE1a PY'!H$7)*('LE - PY data'!$F$2:$F$10000='LE1a PY'!$A16)*('LE - PY data'!$G$2:$G$10000))</f>
        <v>0</v>
      </c>
      <c r="I16" cm="1">
        <f t="array" ref="I16">SUMPRODUCT(('LE - PY data'!$A$2:$A$10000='LE1a PY'!$C$4)*('LE - PY data'!$B$2:$B$10000='LE1a PY'!$D$4)*('LE - PY data'!$C$2:$C$10000='LE1a PY'!$E$4)*('LE - PY data'!$F$2:$F$10000='LE1a PY'!$A16)*('LE - PY data'!$G$2:$G$10000))</f>
        <v>0</v>
      </c>
    </row>
    <row r="17" spans="1:9">
      <c r="A17" t="s">
        <v>264</v>
      </c>
      <c r="B17" cm="1">
        <f t="array" ref="B17">SUMPRODUCT(('LE - PY data'!$A$2:$A$10000='LE1a PY'!$C$4)*('LE - PY data'!$B$2:$B$10000='LE1a PY'!$D$4)*('LE - PY data'!$C$2:$C$10000='LE1a PY'!$E$4)*('LE - PY data'!$E$2:$E$10000='LE1a PY'!B$7)*('LE - PY data'!$F$2:$F$10000='LE1a PY'!$A17)*('LE - PY data'!$G$2:$G$10000))</f>
        <v>0</v>
      </c>
      <c r="C17" cm="1">
        <f t="array" ref="C17">SUMPRODUCT(('LE - PY data'!$A$2:$A$10000='LE1a PY'!$C$4)*('LE - PY data'!$B$2:$B$10000='LE1a PY'!$D$4)*('LE - PY data'!$C$2:$C$10000='LE1a PY'!$E$4)*('LE - PY data'!$E$2:$E$10000='LE1a PY'!C$7)*('LE - PY data'!$F$2:$F$10000='LE1a PY'!$A17)*('LE - PY data'!$G$2:$G$10000))</f>
        <v>0</v>
      </c>
      <c r="D17" cm="1">
        <f t="array" ref="D17">SUMPRODUCT(('LE - PY data'!$A$2:$A$10000='LE1a PY'!$C$4)*('LE - PY data'!$B$2:$B$10000='LE1a PY'!$D$4)*('LE - PY data'!$C$2:$C$10000='LE1a PY'!$E$4)*('LE - PY data'!$E$2:$E$10000='LE1a PY'!D$7)*('LE - PY data'!$F$2:$F$10000='LE1a PY'!$A17)*('LE - PY data'!$G$2:$G$10000))</f>
        <v>0</v>
      </c>
      <c r="E17" cm="1">
        <f t="array" ref="E17">SUMPRODUCT(('LE - PY data'!$A$2:$A$10000='LE1a PY'!$C$4)*('LE - PY data'!$B$2:$B$10000='LE1a PY'!$D$4)*('LE - PY data'!$C$2:$C$10000='LE1a PY'!$E$4)*('LE - PY data'!$E$2:$E$10000='LE1a PY'!E$7)*('LE - PY data'!$F$2:$F$10000='LE1a PY'!$A17)*('LE - PY data'!$G$2:$G$10000))</f>
        <v>0</v>
      </c>
      <c r="F17" cm="1">
        <f t="array" ref="F17">SUMPRODUCT(('LE - PY data'!$A$2:$A$10000='LE1a PY'!$C$4)*('LE - PY data'!$B$2:$B$10000='LE1a PY'!$D$4)*('LE - PY data'!$C$2:$C$10000='LE1a PY'!$E$4)*('LE - PY data'!$E$2:$E$10000='LE1a PY'!F$7)*('LE - PY data'!$F$2:$F$10000='LE1a PY'!$A17)*('LE - PY data'!$G$2:$G$10000))</f>
        <v>0</v>
      </c>
      <c r="G17" cm="1">
        <f t="array" ref="G17">SUMPRODUCT(('LE - PY data'!$A$2:$A$10000='LE1a PY'!$C$4)*('LE - PY data'!$B$2:$B$10000='LE1a PY'!$D$4)*('LE - PY data'!$C$2:$C$10000='LE1a PY'!$E$4)*('LE - PY data'!$E$2:$E$10000='LE1a PY'!G$7)*('LE - PY data'!$F$2:$F$10000='LE1a PY'!$A17)*('LE - PY data'!$G$2:$G$10000))</f>
        <v>0</v>
      </c>
      <c r="H17" cm="1">
        <f t="array" ref="H17">SUMPRODUCT(('LE - PY data'!$A$2:$A$10000='LE1a PY'!$C$4)*('LE - PY data'!$B$2:$B$10000='LE1a PY'!$D$4)*('LE - PY data'!$C$2:$C$10000='LE1a PY'!$E$4)*('LE - PY data'!$E$2:$E$10000='LE1a PY'!H$7)*('LE - PY data'!$F$2:$F$10000='LE1a PY'!$A17)*('LE - PY data'!$G$2:$G$10000))</f>
        <v>0</v>
      </c>
      <c r="I17" cm="1">
        <f t="array" ref="I17">SUMPRODUCT(('LE - PY data'!$A$2:$A$10000='LE1a PY'!$C$4)*('LE - PY data'!$B$2:$B$10000='LE1a PY'!$D$4)*('LE - PY data'!$C$2:$C$10000='LE1a PY'!$E$4)*('LE - PY data'!$F$2:$F$10000='LE1a PY'!$A17)*('LE - PY data'!$G$2:$G$10000))</f>
        <v>0</v>
      </c>
    </row>
    <row r="18" spans="1:9">
      <c r="A18" t="s">
        <v>147</v>
      </c>
      <c r="B18" cm="1">
        <f t="array" ref="B18">SUMPRODUCT(('LE - PY data'!$A$2:$A$10000='LE1a PY'!$C$4)*('LE - PY data'!$B$2:$B$10000='LE1a PY'!$D$4)*('LE - PY data'!$C$2:$C$10000='LE1a PY'!$E$4)*('LE - PY data'!$E$2:$E$10000='LE1a PY'!B$7)*('LE - PY data'!$F$2:$F$10000='LE1a PY'!$A18)*('LE - PY data'!$G$2:$G$10000))</f>
        <v>0</v>
      </c>
      <c r="C18" cm="1">
        <f t="array" ref="C18">SUMPRODUCT(('LE - PY data'!$A$2:$A$10000='LE1a PY'!$C$4)*('LE - PY data'!$B$2:$B$10000='LE1a PY'!$D$4)*('LE - PY data'!$C$2:$C$10000='LE1a PY'!$E$4)*('LE - PY data'!$E$2:$E$10000='LE1a PY'!C$7)*('LE - PY data'!$F$2:$F$10000='LE1a PY'!$A18)*('LE - PY data'!$G$2:$G$10000))</f>
        <v>0</v>
      </c>
      <c r="D18" cm="1">
        <f t="array" ref="D18">SUMPRODUCT(('LE - PY data'!$A$2:$A$10000='LE1a PY'!$C$4)*('LE - PY data'!$B$2:$B$10000='LE1a PY'!$D$4)*('LE - PY data'!$C$2:$C$10000='LE1a PY'!$E$4)*('LE - PY data'!$E$2:$E$10000='LE1a PY'!D$7)*('LE - PY data'!$F$2:$F$10000='LE1a PY'!$A18)*('LE - PY data'!$G$2:$G$10000))</f>
        <v>0</v>
      </c>
      <c r="E18" cm="1">
        <f t="array" ref="E18">SUMPRODUCT(('LE - PY data'!$A$2:$A$10000='LE1a PY'!$C$4)*('LE - PY data'!$B$2:$B$10000='LE1a PY'!$D$4)*('LE - PY data'!$C$2:$C$10000='LE1a PY'!$E$4)*('LE - PY data'!$E$2:$E$10000='LE1a PY'!E$7)*('LE - PY data'!$F$2:$F$10000='LE1a PY'!$A18)*('LE - PY data'!$G$2:$G$10000))</f>
        <v>0</v>
      </c>
      <c r="F18" cm="1">
        <f t="array" ref="F18">SUMPRODUCT(('LE - PY data'!$A$2:$A$10000='LE1a PY'!$C$4)*('LE - PY data'!$B$2:$B$10000='LE1a PY'!$D$4)*('LE - PY data'!$C$2:$C$10000='LE1a PY'!$E$4)*('LE - PY data'!$E$2:$E$10000='LE1a PY'!F$7)*('LE - PY data'!$F$2:$F$10000='LE1a PY'!$A18)*('LE - PY data'!$G$2:$G$10000))</f>
        <v>0</v>
      </c>
      <c r="G18" cm="1">
        <f t="array" ref="G18">SUMPRODUCT(('LE - PY data'!$A$2:$A$10000='LE1a PY'!$C$4)*('LE - PY data'!$B$2:$B$10000='LE1a PY'!$D$4)*('LE - PY data'!$C$2:$C$10000='LE1a PY'!$E$4)*('LE - PY data'!$E$2:$E$10000='LE1a PY'!G$7)*('LE - PY data'!$F$2:$F$10000='LE1a PY'!$A18)*('LE - PY data'!$G$2:$G$10000))</f>
        <v>0</v>
      </c>
      <c r="H18" cm="1">
        <f t="array" ref="H18">SUMPRODUCT(('LE - PY data'!$A$2:$A$10000='LE1a PY'!$C$4)*('LE - PY data'!$B$2:$B$10000='LE1a PY'!$D$4)*('LE - PY data'!$C$2:$C$10000='LE1a PY'!$E$4)*('LE - PY data'!$E$2:$E$10000='LE1a PY'!H$7)*('LE - PY data'!$F$2:$F$10000='LE1a PY'!$A18)*('LE - PY data'!$G$2:$G$10000))</f>
        <v>0</v>
      </c>
      <c r="I18" cm="1">
        <f t="array" ref="I18">SUMPRODUCT(('LE - PY data'!$A$2:$A$10000='LE1a PY'!$C$4)*('LE - PY data'!$B$2:$B$10000='LE1a PY'!$D$4)*('LE - PY data'!$C$2:$C$10000='LE1a PY'!$E$4)*('LE - PY data'!$F$2:$F$10000='LE1a PY'!$A18)*('LE - PY data'!$G$2:$G$10000))</f>
        <v>0</v>
      </c>
    </row>
    <row r="19" spans="1:9">
      <c r="A19" t="s">
        <v>148</v>
      </c>
      <c r="B19" cm="1">
        <f t="array" ref="B19">SUMPRODUCT(('LE - PY data'!$A$2:$A$10000='LE1a PY'!$C$4)*('LE - PY data'!$B$2:$B$10000='LE1a PY'!$D$4)*('LE - PY data'!$C$2:$C$10000='LE1a PY'!$E$4)*('LE - PY data'!$E$2:$E$10000='LE1a PY'!B$7)*('LE - PY data'!$F$2:$F$10000='LE1a PY'!$A19)*('LE - PY data'!$G$2:$G$10000))</f>
        <v>0</v>
      </c>
      <c r="C19" cm="1">
        <f t="array" ref="C19">SUMPRODUCT(('LE - PY data'!$A$2:$A$10000='LE1a PY'!$C$4)*('LE - PY data'!$B$2:$B$10000='LE1a PY'!$D$4)*('LE - PY data'!$C$2:$C$10000='LE1a PY'!$E$4)*('LE - PY data'!$E$2:$E$10000='LE1a PY'!C$7)*('LE - PY data'!$F$2:$F$10000='LE1a PY'!$A19)*('LE - PY data'!$G$2:$G$10000))</f>
        <v>0</v>
      </c>
      <c r="D19" cm="1">
        <f t="array" ref="D19">SUMPRODUCT(('LE - PY data'!$A$2:$A$10000='LE1a PY'!$C$4)*('LE - PY data'!$B$2:$B$10000='LE1a PY'!$D$4)*('LE - PY data'!$C$2:$C$10000='LE1a PY'!$E$4)*('LE - PY data'!$E$2:$E$10000='LE1a PY'!D$7)*('LE - PY data'!$F$2:$F$10000='LE1a PY'!$A19)*('LE - PY data'!$G$2:$G$10000))</f>
        <v>0</v>
      </c>
      <c r="E19" cm="1">
        <f t="array" ref="E19">SUMPRODUCT(('LE - PY data'!$A$2:$A$10000='LE1a PY'!$C$4)*('LE - PY data'!$B$2:$B$10000='LE1a PY'!$D$4)*('LE - PY data'!$C$2:$C$10000='LE1a PY'!$E$4)*('LE - PY data'!$E$2:$E$10000='LE1a PY'!E$7)*('LE - PY data'!$F$2:$F$10000='LE1a PY'!$A19)*('LE - PY data'!$G$2:$G$10000))</f>
        <v>0</v>
      </c>
      <c r="F19" cm="1">
        <f t="array" ref="F19">SUMPRODUCT(('LE - PY data'!$A$2:$A$10000='LE1a PY'!$C$4)*('LE - PY data'!$B$2:$B$10000='LE1a PY'!$D$4)*('LE - PY data'!$C$2:$C$10000='LE1a PY'!$E$4)*('LE - PY data'!$E$2:$E$10000='LE1a PY'!F$7)*('LE - PY data'!$F$2:$F$10000='LE1a PY'!$A19)*('LE - PY data'!$G$2:$G$10000))</f>
        <v>0</v>
      </c>
      <c r="G19" cm="1">
        <f t="array" ref="G19">SUMPRODUCT(('LE - PY data'!$A$2:$A$10000='LE1a PY'!$C$4)*('LE - PY data'!$B$2:$B$10000='LE1a PY'!$D$4)*('LE - PY data'!$C$2:$C$10000='LE1a PY'!$E$4)*('LE - PY data'!$E$2:$E$10000='LE1a PY'!G$7)*('LE - PY data'!$F$2:$F$10000='LE1a PY'!$A19)*('LE - PY data'!$G$2:$G$10000))</f>
        <v>0</v>
      </c>
      <c r="H19" cm="1">
        <f t="array" ref="H19">SUMPRODUCT(('LE - PY data'!$A$2:$A$10000='LE1a PY'!$C$4)*('LE - PY data'!$B$2:$B$10000='LE1a PY'!$D$4)*('LE - PY data'!$C$2:$C$10000='LE1a PY'!$E$4)*('LE - PY data'!$E$2:$E$10000='LE1a PY'!H$7)*('LE - PY data'!$F$2:$F$10000='LE1a PY'!$A19)*('LE - PY data'!$G$2:$G$10000))</f>
        <v>0</v>
      </c>
      <c r="I19" cm="1">
        <f t="array" ref="I19">SUMPRODUCT(('LE - PY data'!$A$2:$A$10000='LE1a PY'!$C$4)*('LE - PY data'!$B$2:$B$10000='LE1a PY'!$D$4)*('LE - PY data'!$C$2:$C$10000='LE1a PY'!$E$4)*('LE - PY data'!$F$2:$F$10000='LE1a PY'!$A19)*('LE - PY data'!$G$2:$G$10000))</f>
        <v>0</v>
      </c>
    </row>
    <row r="20" spans="1:9">
      <c r="A20" t="s">
        <v>265</v>
      </c>
      <c r="B20" cm="1">
        <f t="array" ref="B20">SUMPRODUCT(('LE - PY data'!$A$2:$A$10000='LE1a PY'!$C$4)*('LE - PY data'!$B$2:$B$10000='LE1a PY'!$D$4)*('LE - PY data'!$C$2:$C$10000='LE1a PY'!$E$4)*('LE - PY data'!$E$2:$E$10000='LE1a PY'!B$7)*('LE - PY data'!$F$2:$F$10000='LE1a PY'!$A20)*('LE - PY data'!$G$2:$G$10000))</f>
        <v>0</v>
      </c>
      <c r="C20" cm="1">
        <f t="array" ref="C20">SUMPRODUCT(('LE - PY data'!$A$2:$A$10000='LE1a PY'!$C$4)*('LE - PY data'!$B$2:$B$10000='LE1a PY'!$D$4)*('LE - PY data'!$C$2:$C$10000='LE1a PY'!$E$4)*('LE - PY data'!$E$2:$E$10000='LE1a PY'!C$7)*('LE - PY data'!$F$2:$F$10000='LE1a PY'!$A20)*('LE - PY data'!$G$2:$G$10000))</f>
        <v>0</v>
      </c>
      <c r="D20" cm="1">
        <f t="array" ref="D20">SUMPRODUCT(('LE - PY data'!$A$2:$A$10000='LE1a PY'!$C$4)*('LE - PY data'!$B$2:$B$10000='LE1a PY'!$D$4)*('LE - PY data'!$C$2:$C$10000='LE1a PY'!$E$4)*('LE - PY data'!$E$2:$E$10000='LE1a PY'!D$7)*('LE - PY data'!$F$2:$F$10000='LE1a PY'!$A20)*('LE - PY data'!$G$2:$G$10000))</f>
        <v>0</v>
      </c>
      <c r="E20" cm="1">
        <f t="array" ref="E20">SUMPRODUCT(('LE - PY data'!$A$2:$A$10000='LE1a PY'!$C$4)*('LE - PY data'!$B$2:$B$10000='LE1a PY'!$D$4)*('LE - PY data'!$C$2:$C$10000='LE1a PY'!$E$4)*('LE - PY data'!$E$2:$E$10000='LE1a PY'!E$7)*('LE - PY data'!$F$2:$F$10000='LE1a PY'!$A20)*('LE - PY data'!$G$2:$G$10000))</f>
        <v>0</v>
      </c>
      <c r="F20" cm="1">
        <f t="array" ref="F20">SUMPRODUCT(('LE - PY data'!$A$2:$A$10000='LE1a PY'!$C$4)*('LE - PY data'!$B$2:$B$10000='LE1a PY'!$D$4)*('LE - PY data'!$C$2:$C$10000='LE1a PY'!$E$4)*('LE - PY data'!$E$2:$E$10000='LE1a PY'!F$7)*('LE - PY data'!$F$2:$F$10000='LE1a PY'!$A20)*('LE - PY data'!$G$2:$G$10000))</f>
        <v>0</v>
      </c>
      <c r="G20" cm="1">
        <f t="array" ref="G20">SUMPRODUCT(('LE - PY data'!$A$2:$A$10000='LE1a PY'!$C$4)*('LE - PY data'!$B$2:$B$10000='LE1a PY'!$D$4)*('LE - PY data'!$C$2:$C$10000='LE1a PY'!$E$4)*('LE - PY data'!$E$2:$E$10000='LE1a PY'!G$7)*('LE - PY data'!$F$2:$F$10000='LE1a PY'!$A20)*('LE - PY data'!$G$2:$G$10000))</f>
        <v>0</v>
      </c>
      <c r="H20" cm="1">
        <f t="array" ref="H20">SUMPRODUCT(('LE - PY data'!$A$2:$A$10000='LE1a PY'!$C$4)*('LE - PY data'!$B$2:$B$10000='LE1a PY'!$D$4)*('LE - PY data'!$C$2:$C$10000='LE1a PY'!$E$4)*('LE - PY data'!$E$2:$E$10000='LE1a PY'!H$7)*('LE - PY data'!$F$2:$F$10000='LE1a PY'!$A20)*('LE - PY data'!$G$2:$G$10000))</f>
        <v>0</v>
      </c>
      <c r="I20" cm="1">
        <f t="array" ref="I20">SUMPRODUCT(('LE - PY data'!$A$2:$A$10000='LE1a PY'!$C$4)*('LE - PY data'!$B$2:$B$10000='LE1a PY'!$D$4)*('LE - PY data'!$C$2:$C$10000='LE1a PY'!$E$4)*('LE - PY data'!$F$2:$F$10000='LE1a PY'!$A20)*('LE - PY data'!$G$2:$G$10000))</f>
        <v>0</v>
      </c>
    </row>
    <row r="21" spans="1:9">
      <c r="A21" t="s">
        <v>149</v>
      </c>
      <c r="B21" cm="1">
        <f t="array" ref="B21">SUMPRODUCT(('LE - PY data'!$A$2:$A$10000='LE1a PY'!$C$4)*('LE - PY data'!$B$2:$B$10000='LE1a PY'!$D$4)*('LE - PY data'!$C$2:$C$10000='LE1a PY'!$E$4)*('LE - PY data'!$E$2:$E$10000='LE1a PY'!B$7)*('LE - PY data'!$F$2:$F$10000='LE1a PY'!$A21)*('LE - PY data'!$G$2:$G$10000))</f>
        <v>0</v>
      </c>
      <c r="C21" cm="1">
        <f t="array" ref="C21">SUMPRODUCT(('LE - PY data'!$A$2:$A$10000='LE1a PY'!$C$4)*('LE - PY data'!$B$2:$B$10000='LE1a PY'!$D$4)*('LE - PY data'!$C$2:$C$10000='LE1a PY'!$E$4)*('LE - PY data'!$E$2:$E$10000='LE1a PY'!C$7)*('LE - PY data'!$F$2:$F$10000='LE1a PY'!$A21)*('LE - PY data'!$G$2:$G$10000))</f>
        <v>0</v>
      </c>
      <c r="D21" cm="1">
        <f t="array" ref="D21">SUMPRODUCT(('LE - PY data'!$A$2:$A$10000='LE1a PY'!$C$4)*('LE - PY data'!$B$2:$B$10000='LE1a PY'!$D$4)*('LE - PY data'!$C$2:$C$10000='LE1a PY'!$E$4)*('LE - PY data'!$E$2:$E$10000='LE1a PY'!D$7)*('LE - PY data'!$F$2:$F$10000='LE1a PY'!$A21)*('LE - PY data'!$G$2:$G$10000))</f>
        <v>0</v>
      </c>
      <c r="E21" cm="1">
        <f t="array" ref="E21">SUMPRODUCT(('LE - PY data'!$A$2:$A$10000='LE1a PY'!$C$4)*('LE - PY data'!$B$2:$B$10000='LE1a PY'!$D$4)*('LE - PY data'!$C$2:$C$10000='LE1a PY'!$E$4)*('LE - PY data'!$E$2:$E$10000='LE1a PY'!E$7)*('LE - PY data'!$F$2:$F$10000='LE1a PY'!$A21)*('LE - PY data'!$G$2:$G$10000))</f>
        <v>0</v>
      </c>
      <c r="F21" cm="1">
        <f t="array" ref="F21">SUMPRODUCT(('LE - PY data'!$A$2:$A$10000='LE1a PY'!$C$4)*('LE - PY data'!$B$2:$B$10000='LE1a PY'!$D$4)*('LE - PY data'!$C$2:$C$10000='LE1a PY'!$E$4)*('LE - PY data'!$E$2:$E$10000='LE1a PY'!F$7)*('LE - PY data'!$F$2:$F$10000='LE1a PY'!$A21)*('LE - PY data'!$G$2:$G$10000))</f>
        <v>0</v>
      </c>
      <c r="G21" cm="1">
        <f t="array" ref="G21">SUMPRODUCT(('LE - PY data'!$A$2:$A$10000='LE1a PY'!$C$4)*('LE - PY data'!$B$2:$B$10000='LE1a PY'!$D$4)*('LE - PY data'!$C$2:$C$10000='LE1a PY'!$E$4)*('LE - PY data'!$E$2:$E$10000='LE1a PY'!G$7)*('LE - PY data'!$F$2:$F$10000='LE1a PY'!$A21)*('LE - PY data'!$G$2:$G$10000))</f>
        <v>0</v>
      </c>
      <c r="H21" cm="1">
        <f t="array" ref="H21">SUMPRODUCT(('LE - PY data'!$A$2:$A$10000='LE1a PY'!$C$4)*('LE - PY data'!$B$2:$B$10000='LE1a PY'!$D$4)*('LE - PY data'!$C$2:$C$10000='LE1a PY'!$E$4)*('LE - PY data'!$E$2:$E$10000='LE1a PY'!H$7)*('LE - PY data'!$F$2:$F$10000='LE1a PY'!$A21)*('LE - PY data'!$G$2:$G$10000))</f>
        <v>0</v>
      </c>
      <c r="I21" cm="1">
        <f t="array" ref="I21">SUMPRODUCT(('LE - PY data'!$A$2:$A$10000='LE1a PY'!$C$4)*('LE - PY data'!$B$2:$B$10000='LE1a PY'!$D$4)*('LE - PY data'!$C$2:$C$10000='LE1a PY'!$E$4)*('LE - PY data'!$F$2:$F$10000='LE1a PY'!$A21)*('LE - PY data'!$G$2:$G$10000))</f>
        <v>0</v>
      </c>
    </row>
    <row r="22" spans="1:9">
      <c r="A22" t="s">
        <v>150</v>
      </c>
      <c r="B22" cm="1">
        <f t="array" ref="B22">SUMPRODUCT(('LE - PY data'!$A$2:$A$10000='LE1a PY'!$C$4)*('LE - PY data'!$B$2:$B$10000='LE1a PY'!$D$4)*('LE - PY data'!$C$2:$C$10000='LE1a PY'!$E$4)*('LE - PY data'!$E$2:$E$10000='LE1a PY'!B$7)*('LE - PY data'!$F$2:$F$10000='LE1a PY'!$A22)*('LE - PY data'!$G$2:$G$10000))</f>
        <v>0</v>
      </c>
      <c r="C22" cm="1">
        <f t="array" ref="C22">SUMPRODUCT(('LE - PY data'!$A$2:$A$10000='LE1a PY'!$C$4)*('LE - PY data'!$B$2:$B$10000='LE1a PY'!$D$4)*('LE - PY data'!$C$2:$C$10000='LE1a PY'!$E$4)*('LE - PY data'!$E$2:$E$10000='LE1a PY'!C$7)*('LE - PY data'!$F$2:$F$10000='LE1a PY'!$A22)*('LE - PY data'!$G$2:$G$10000))</f>
        <v>0</v>
      </c>
      <c r="D22" cm="1">
        <f t="array" ref="D22">SUMPRODUCT(('LE - PY data'!$A$2:$A$10000='LE1a PY'!$C$4)*('LE - PY data'!$B$2:$B$10000='LE1a PY'!$D$4)*('LE - PY data'!$C$2:$C$10000='LE1a PY'!$E$4)*('LE - PY data'!$E$2:$E$10000='LE1a PY'!D$7)*('LE - PY data'!$F$2:$F$10000='LE1a PY'!$A22)*('LE - PY data'!$G$2:$G$10000))</f>
        <v>0</v>
      </c>
      <c r="E22" cm="1">
        <f t="array" ref="E22">SUMPRODUCT(('LE - PY data'!$A$2:$A$10000='LE1a PY'!$C$4)*('LE - PY data'!$B$2:$B$10000='LE1a PY'!$D$4)*('LE - PY data'!$C$2:$C$10000='LE1a PY'!$E$4)*('LE - PY data'!$E$2:$E$10000='LE1a PY'!E$7)*('LE - PY data'!$F$2:$F$10000='LE1a PY'!$A22)*('LE - PY data'!$G$2:$G$10000))</f>
        <v>0</v>
      </c>
      <c r="F22" cm="1">
        <f t="array" ref="F22">SUMPRODUCT(('LE - PY data'!$A$2:$A$10000='LE1a PY'!$C$4)*('LE - PY data'!$B$2:$B$10000='LE1a PY'!$D$4)*('LE - PY data'!$C$2:$C$10000='LE1a PY'!$E$4)*('LE - PY data'!$E$2:$E$10000='LE1a PY'!F$7)*('LE - PY data'!$F$2:$F$10000='LE1a PY'!$A22)*('LE - PY data'!$G$2:$G$10000))</f>
        <v>0</v>
      </c>
      <c r="G22" cm="1">
        <f t="array" ref="G22">SUMPRODUCT(('LE - PY data'!$A$2:$A$10000='LE1a PY'!$C$4)*('LE - PY data'!$B$2:$B$10000='LE1a PY'!$D$4)*('LE - PY data'!$C$2:$C$10000='LE1a PY'!$E$4)*('LE - PY data'!$E$2:$E$10000='LE1a PY'!G$7)*('LE - PY data'!$F$2:$F$10000='LE1a PY'!$A22)*('LE - PY data'!$G$2:$G$10000))</f>
        <v>0</v>
      </c>
      <c r="H22" cm="1">
        <f t="array" ref="H22">SUMPRODUCT(('LE - PY data'!$A$2:$A$10000='LE1a PY'!$C$4)*('LE - PY data'!$B$2:$B$10000='LE1a PY'!$D$4)*('LE - PY data'!$C$2:$C$10000='LE1a PY'!$E$4)*('LE - PY data'!$E$2:$E$10000='LE1a PY'!H$7)*('LE - PY data'!$F$2:$F$10000='LE1a PY'!$A22)*('LE - PY data'!$G$2:$G$10000))</f>
        <v>0</v>
      </c>
      <c r="I22" cm="1">
        <f t="array" ref="I22">SUMPRODUCT(('LE - PY data'!$A$2:$A$10000='LE1a PY'!$C$4)*('LE - PY data'!$B$2:$B$10000='LE1a PY'!$D$4)*('LE - PY data'!$C$2:$C$10000='LE1a PY'!$E$4)*('LE - PY data'!$F$2:$F$10000='LE1a PY'!$A22)*('LE - PY data'!$G$2:$G$10000))</f>
        <v>0</v>
      </c>
    </row>
    <row r="23" spans="1:9">
      <c r="A23" t="s">
        <v>266</v>
      </c>
      <c r="B23" cm="1">
        <f t="array" ref="B23">SUMPRODUCT(('LE - PY data'!$A$2:$A$10000='LE1a PY'!$C$4)*('LE - PY data'!$B$2:$B$10000='LE1a PY'!$D$4)*('LE - PY data'!$C$2:$C$10000='LE1a PY'!$E$4)*('LE - PY data'!$E$2:$E$10000='LE1a PY'!B$7)*('LE - PY data'!$F$2:$F$10000='LE1a PY'!$A23)*('LE - PY data'!$G$2:$G$10000))</f>
        <v>0</v>
      </c>
      <c r="C23" cm="1">
        <f t="array" ref="C23">SUMPRODUCT(('LE - PY data'!$A$2:$A$10000='LE1a PY'!$C$4)*('LE - PY data'!$B$2:$B$10000='LE1a PY'!$D$4)*('LE - PY data'!$C$2:$C$10000='LE1a PY'!$E$4)*('LE - PY data'!$E$2:$E$10000='LE1a PY'!C$7)*('LE - PY data'!$F$2:$F$10000='LE1a PY'!$A23)*('LE - PY data'!$G$2:$G$10000))</f>
        <v>0</v>
      </c>
      <c r="D23" cm="1">
        <f t="array" ref="D23">SUMPRODUCT(('LE - PY data'!$A$2:$A$10000='LE1a PY'!$C$4)*('LE - PY data'!$B$2:$B$10000='LE1a PY'!$D$4)*('LE - PY data'!$C$2:$C$10000='LE1a PY'!$E$4)*('LE - PY data'!$E$2:$E$10000='LE1a PY'!D$7)*('LE - PY data'!$F$2:$F$10000='LE1a PY'!$A23)*('LE - PY data'!$G$2:$G$10000))</f>
        <v>0</v>
      </c>
      <c r="E23" cm="1">
        <f t="array" ref="E23">SUMPRODUCT(('LE - PY data'!$A$2:$A$10000='LE1a PY'!$C$4)*('LE - PY data'!$B$2:$B$10000='LE1a PY'!$D$4)*('LE - PY data'!$C$2:$C$10000='LE1a PY'!$E$4)*('LE - PY data'!$E$2:$E$10000='LE1a PY'!E$7)*('LE - PY data'!$F$2:$F$10000='LE1a PY'!$A23)*('LE - PY data'!$G$2:$G$10000))</f>
        <v>0</v>
      </c>
      <c r="F23" cm="1">
        <f t="array" ref="F23">SUMPRODUCT(('LE - PY data'!$A$2:$A$10000='LE1a PY'!$C$4)*('LE - PY data'!$B$2:$B$10000='LE1a PY'!$D$4)*('LE - PY data'!$C$2:$C$10000='LE1a PY'!$E$4)*('LE - PY data'!$E$2:$E$10000='LE1a PY'!F$7)*('LE - PY data'!$F$2:$F$10000='LE1a PY'!$A23)*('LE - PY data'!$G$2:$G$10000))</f>
        <v>0</v>
      </c>
      <c r="G23" cm="1">
        <f t="array" ref="G23">SUMPRODUCT(('LE - PY data'!$A$2:$A$10000='LE1a PY'!$C$4)*('LE - PY data'!$B$2:$B$10000='LE1a PY'!$D$4)*('LE - PY data'!$C$2:$C$10000='LE1a PY'!$E$4)*('LE - PY data'!$E$2:$E$10000='LE1a PY'!G$7)*('LE - PY data'!$F$2:$F$10000='LE1a PY'!$A23)*('LE - PY data'!$G$2:$G$10000))</f>
        <v>0</v>
      </c>
      <c r="H23" cm="1">
        <f t="array" ref="H23">SUMPRODUCT(('LE - PY data'!$A$2:$A$10000='LE1a PY'!$C$4)*('LE - PY data'!$B$2:$B$10000='LE1a PY'!$D$4)*('LE - PY data'!$C$2:$C$10000='LE1a PY'!$E$4)*('LE - PY data'!$E$2:$E$10000='LE1a PY'!H$7)*('LE - PY data'!$F$2:$F$10000='LE1a PY'!$A23)*('LE - PY data'!$G$2:$G$10000))</f>
        <v>0</v>
      </c>
      <c r="I23" cm="1">
        <f t="array" ref="I23">SUMPRODUCT(('LE - PY data'!$A$2:$A$10000='LE1a PY'!$C$4)*('LE - PY data'!$B$2:$B$10000='LE1a PY'!$D$4)*('LE - PY data'!$C$2:$C$10000='LE1a PY'!$E$4)*('LE - PY data'!$F$2:$F$10000='LE1a PY'!$A23)*('LE - PY data'!$G$2:$G$10000))</f>
        <v>0</v>
      </c>
    </row>
    <row r="24" spans="1:9">
      <c r="A24" t="s">
        <v>151</v>
      </c>
      <c r="B24" cm="1">
        <f t="array" ref="B24">SUMPRODUCT(('LE - PY data'!$A$2:$A$10000='LE1a PY'!$C$4)*('LE - PY data'!$B$2:$B$10000='LE1a PY'!$D$4)*('LE - PY data'!$C$2:$C$10000='LE1a PY'!$E$4)*('LE - PY data'!$E$2:$E$10000='LE1a PY'!B$7)*('LE - PY data'!$F$2:$F$10000='LE1a PY'!$A24)*('LE - PY data'!$G$2:$G$10000))</f>
        <v>0</v>
      </c>
      <c r="C24" cm="1">
        <f t="array" ref="C24">SUMPRODUCT(('LE - PY data'!$A$2:$A$10000='LE1a PY'!$C$4)*('LE - PY data'!$B$2:$B$10000='LE1a PY'!$D$4)*('LE - PY data'!$C$2:$C$10000='LE1a PY'!$E$4)*('LE - PY data'!$E$2:$E$10000='LE1a PY'!C$7)*('LE - PY data'!$F$2:$F$10000='LE1a PY'!$A24)*('LE - PY data'!$G$2:$G$10000))</f>
        <v>0</v>
      </c>
      <c r="D24" cm="1">
        <f t="array" ref="D24">SUMPRODUCT(('LE - PY data'!$A$2:$A$10000='LE1a PY'!$C$4)*('LE - PY data'!$B$2:$B$10000='LE1a PY'!$D$4)*('LE - PY data'!$C$2:$C$10000='LE1a PY'!$E$4)*('LE - PY data'!$E$2:$E$10000='LE1a PY'!D$7)*('LE - PY data'!$F$2:$F$10000='LE1a PY'!$A24)*('LE - PY data'!$G$2:$G$10000))</f>
        <v>0</v>
      </c>
      <c r="E24" cm="1">
        <f t="array" ref="E24">SUMPRODUCT(('LE - PY data'!$A$2:$A$10000='LE1a PY'!$C$4)*('LE - PY data'!$B$2:$B$10000='LE1a PY'!$D$4)*('LE - PY data'!$C$2:$C$10000='LE1a PY'!$E$4)*('LE - PY data'!$E$2:$E$10000='LE1a PY'!E$7)*('LE - PY data'!$F$2:$F$10000='LE1a PY'!$A24)*('LE - PY data'!$G$2:$G$10000))</f>
        <v>0</v>
      </c>
      <c r="F24" cm="1">
        <f t="array" ref="F24">SUMPRODUCT(('LE - PY data'!$A$2:$A$10000='LE1a PY'!$C$4)*('LE - PY data'!$B$2:$B$10000='LE1a PY'!$D$4)*('LE - PY data'!$C$2:$C$10000='LE1a PY'!$E$4)*('LE - PY data'!$E$2:$E$10000='LE1a PY'!F$7)*('LE - PY data'!$F$2:$F$10000='LE1a PY'!$A24)*('LE - PY data'!$G$2:$G$10000))</f>
        <v>0</v>
      </c>
      <c r="G24" cm="1">
        <f t="array" ref="G24">SUMPRODUCT(('LE - PY data'!$A$2:$A$10000='LE1a PY'!$C$4)*('LE - PY data'!$B$2:$B$10000='LE1a PY'!$D$4)*('LE - PY data'!$C$2:$C$10000='LE1a PY'!$E$4)*('LE - PY data'!$E$2:$E$10000='LE1a PY'!G$7)*('LE - PY data'!$F$2:$F$10000='LE1a PY'!$A24)*('LE - PY data'!$G$2:$G$10000))</f>
        <v>0</v>
      </c>
      <c r="H24" cm="1">
        <f t="array" ref="H24">SUMPRODUCT(('LE - PY data'!$A$2:$A$10000='LE1a PY'!$C$4)*('LE - PY data'!$B$2:$B$10000='LE1a PY'!$D$4)*('LE - PY data'!$C$2:$C$10000='LE1a PY'!$E$4)*('LE - PY data'!$E$2:$E$10000='LE1a PY'!H$7)*('LE - PY data'!$F$2:$F$10000='LE1a PY'!$A24)*('LE - PY data'!$G$2:$G$10000))</f>
        <v>0</v>
      </c>
      <c r="I24" cm="1">
        <f t="array" ref="I24">SUMPRODUCT(('LE - PY data'!$A$2:$A$10000='LE1a PY'!$C$4)*('LE - PY data'!$B$2:$B$10000='LE1a PY'!$D$4)*('LE - PY data'!$C$2:$C$10000='LE1a PY'!$E$4)*('LE - PY data'!$F$2:$F$10000='LE1a PY'!$A24)*('LE - PY data'!$G$2:$G$10000))</f>
        <v>0</v>
      </c>
    </row>
    <row r="25" spans="1:9">
      <c r="A25" t="s">
        <v>152</v>
      </c>
      <c r="B25" cm="1">
        <f t="array" ref="B25">SUMPRODUCT(('LE - PY data'!$A$2:$A$10000='LE1a PY'!$C$4)*('LE - PY data'!$B$2:$B$10000='LE1a PY'!$D$4)*('LE - PY data'!$C$2:$C$10000='LE1a PY'!$E$4)*('LE - PY data'!$E$2:$E$10000='LE1a PY'!B$7)*('LE - PY data'!$F$2:$F$10000='LE1a PY'!$A25)*('LE - PY data'!$G$2:$G$10000))</f>
        <v>0</v>
      </c>
      <c r="C25" cm="1">
        <f t="array" ref="C25">SUMPRODUCT(('LE - PY data'!$A$2:$A$10000='LE1a PY'!$C$4)*('LE - PY data'!$B$2:$B$10000='LE1a PY'!$D$4)*('LE - PY data'!$C$2:$C$10000='LE1a PY'!$E$4)*('LE - PY data'!$E$2:$E$10000='LE1a PY'!C$7)*('LE - PY data'!$F$2:$F$10000='LE1a PY'!$A25)*('LE - PY data'!$G$2:$G$10000))</f>
        <v>0</v>
      </c>
      <c r="D25" cm="1">
        <f t="array" ref="D25">SUMPRODUCT(('LE - PY data'!$A$2:$A$10000='LE1a PY'!$C$4)*('LE - PY data'!$B$2:$B$10000='LE1a PY'!$D$4)*('LE - PY data'!$C$2:$C$10000='LE1a PY'!$E$4)*('LE - PY data'!$E$2:$E$10000='LE1a PY'!D$7)*('LE - PY data'!$F$2:$F$10000='LE1a PY'!$A25)*('LE - PY data'!$G$2:$G$10000))</f>
        <v>0</v>
      </c>
      <c r="E25" cm="1">
        <f t="array" ref="E25">SUMPRODUCT(('LE - PY data'!$A$2:$A$10000='LE1a PY'!$C$4)*('LE - PY data'!$B$2:$B$10000='LE1a PY'!$D$4)*('LE - PY data'!$C$2:$C$10000='LE1a PY'!$E$4)*('LE - PY data'!$E$2:$E$10000='LE1a PY'!E$7)*('LE - PY data'!$F$2:$F$10000='LE1a PY'!$A25)*('LE - PY data'!$G$2:$G$10000))</f>
        <v>0</v>
      </c>
      <c r="F25" cm="1">
        <f t="array" ref="F25">SUMPRODUCT(('LE - PY data'!$A$2:$A$10000='LE1a PY'!$C$4)*('LE - PY data'!$B$2:$B$10000='LE1a PY'!$D$4)*('LE - PY data'!$C$2:$C$10000='LE1a PY'!$E$4)*('LE - PY data'!$E$2:$E$10000='LE1a PY'!F$7)*('LE - PY data'!$F$2:$F$10000='LE1a PY'!$A25)*('LE - PY data'!$G$2:$G$10000))</f>
        <v>0</v>
      </c>
      <c r="G25" cm="1">
        <f t="array" ref="G25">SUMPRODUCT(('LE - PY data'!$A$2:$A$10000='LE1a PY'!$C$4)*('LE - PY data'!$B$2:$B$10000='LE1a PY'!$D$4)*('LE - PY data'!$C$2:$C$10000='LE1a PY'!$E$4)*('LE - PY data'!$E$2:$E$10000='LE1a PY'!G$7)*('LE - PY data'!$F$2:$F$10000='LE1a PY'!$A25)*('LE - PY data'!$G$2:$G$10000))</f>
        <v>0</v>
      </c>
      <c r="H25" cm="1">
        <f t="array" ref="H25">SUMPRODUCT(('LE - PY data'!$A$2:$A$10000='LE1a PY'!$C$4)*('LE - PY data'!$B$2:$B$10000='LE1a PY'!$D$4)*('LE - PY data'!$C$2:$C$10000='LE1a PY'!$E$4)*('LE - PY data'!$E$2:$E$10000='LE1a PY'!H$7)*('LE - PY data'!$F$2:$F$10000='LE1a PY'!$A25)*('LE - PY data'!$G$2:$G$10000))</f>
        <v>0</v>
      </c>
      <c r="I25" cm="1">
        <f t="array" ref="I25">SUMPRODUCT(('LE - PY data'!$A$2:$A$10000='LE1a PY'!$C$4)*('LE - PY data'!$B$2:$B$10000='LE1a PY'!$D$4)*('LE - PY data'!$C$2:$C$10000='LE1a PY'!$E$4)*('LE - PY data'!$F$2:$F$10000='LE1a PY'!$A25)*('LE - PY data'!$G$2:$G$10000))</f>
        <v>0</v>
      </c>
    </row>
    <row r="26" spans="1:9">
      <c r="A26" t="s">
        <v>153</v>
      </c>
      <c r="B26" cm="1">
        <f t="array" ref="B26">SUMPRODUCT(('LE - PY data'!$A$2:$A$10000='LE1a PY'!$C$4)*('LE - PY data'!$B$2:$B$10000='LE1a PY'!$D$4)*('LE - PY data'!$C$2:$C$10000='LE1a PY'!$E$4)*('LE - PY data'!$E$2:$E$10000='LE1a PY'!B$7)*('LE - PY data'!$F$2:$F$10000='LE1a PY'!$A26)*('LE - PY data'!$G$2:$G$10000))</f>
        <v>0</v>
      </c>
      <c r="C26" cm="1">
        <f t="array" ref="C26">SUMPRODUCT(('LE - PY data'!$A$2:$A$10000='LE1a PY'!$C$4)*('LE - PY data'!$B$2:$B$10000='LE1a PY'!$D$4)*('LE - PY data'!$C$2:$C$10000='LE1a PY'!$E$4)*('LE - PY data'!$E$2:$E$10000='LE1a PY'!C$7)*('LE - PY data'!$F$2:$F$10000='LE1a PY'!$A26)*('LE - PY data'!$G$2:$G$10000))</f>
        <v>0</v>
      </c>
      <c r="D26" cm="1">
        <f t="array" ref="D26">SUMPRODUCT(('LE - PY data'!$A$2:$A$10000='LE1a PY'!$C$4)*('LE - PY data'!$B$2:$B$10000='LE1a PY'!$D$4)*('LE - PY data'!$C$2:$C$10000='LE1a PY'!$E$4)*('LE - PY data'!$E$2:$E$10000='LE1a PY'!D$7)*('LE - PY data'!$F$2:$F$10000='LE1a PY'!$A26)*('LE - PY data'!$G$2:$G$10000))</f>
        <v>0</v>
      </c>
      <c r="E26" cm="1">
        <f t="array" ref="E26">SUMPRODUCT(('LE - PY data'!$A$2:$A$10000='LE1a PY'!$C$4)*('LE - PY data'!$B$2:$B$10000='LE1a PY'!$D$4)*('LE - PY data'!$C$2:$C$10000='LE1a PY'!$E$4)*('LE - PY data'!$E$2:$E$10000='LE1a PY'!E$7)*('LE - PY data'!$F$2:$F$10000='LE1a PY'!$A26)*('LE - PY data'!$G$2:$G$10000))</f>
        <v>0</v>
      </c>
      <c r="F26" cm="1">
        <f t="array" ref="F26">SUMPRODUCT(('LE - PY data'!$A$2:$A$10000='LE1a PY'!$C$4)*('LE - PY data'!$B$2:$B$10000='LE1a PY'!$D$4)*('LE - PY data'!$C$2:$C$10000='LE1a PY'!$E$4)*('LE - PY data'!$E$2:$E$10000='LE1a PY'!F$7)*('LE - PY data'!$F$2:$F$10000='LE1a PY'!$A26)*('LE - PY data'!$G$2:$G$10000))</f>
        <v>0</v>
      </c>
      <c r="G26" cm="1">
        <f t="array" ref="G26">SUMPRODUCT(('LE - PY data'!$A$2:$A$10000='LE1a PY'!$C$4)*('LE - PY data'!$B$2:$B$10000='LE1a PY'!$D$4)*('LE - PY data'!$C$2:$C$10000='LE1a PY'!$E$4)*('LE - PY data'!$E$2:$E$10000='LE1a PY'!G$7)*('LE - PY data'!$F$2:$F$10000='LE1a PY'!$A26)*('LE - PY data'!$G$2:$G$10000))</f>
        <v>0</v>
      </c>
      <c r="H26" cm="1">
        <f t="array" ref="H26">SUMPRODUCT(('LE - PY data'!$A$2:$A$10000='LE1a PY'!$C$4)*('LE - PY data'!$B$2:$B$10000='LE1a PY'!$D$4)*('LE - PY data'!$C$2:$C$10000='LE1a PY'!$E$4)*('LE - PY data'!$E$2:$E$10000='LE1a PY'!H$7)*('LE - PY data'!$F$2:$F$10000='LE1a PY'!$A26)*('LE - PY data'!$G$2:$G$10000))</f>
        <v>0</v>
      </c>
      <c r="I26" cm="1">
        <f t="array" ref="I26">SUMPRODUCT(('LE - PY data'!$A$2:$A$10000='LE1a PY'!$C$4)*('LE - PY data'!$B$2:$B$10000='LE1a PY'!$D$4)*('LE - PY data'!$C$2:$C$10000='LE1a PY'!$E$4)*('LE - PY data'!$F$2:$F$10000='LE1a PY'!$A26)*('LE - PY data'!$G$2:$G$10000))</f>
        <v>0</v>
      </c>
    </row>
    <row r="27" spans="1:9">
      <c r="A27" t="s">
        <v>261</v>
      </c>
      <c r="B27" cm="1">
        <f t="array" ref="B27">SUMPRODUCT(('LE - PY data'!$A$2:$A$10000='LE1a PY'!$C$4)*('LE - PY data'!$B$2:$B$10000='LE1a PY'!$D$4)*('LE - PY data'!$C$2:$C$10000='LE1a PY'!$E$4)*('LE - PY data'!$E$2:$E$10000='LE1a PY'!B$7)*('LE - PY data'!$G$2:$G$10000))</f>
        <v>0</v>
      </c>
      <c r="C27" cm="1">
        <f t="array" ref="C27">SUMPRODUCT(('LE - PY data'!$A$2:$A$10000='LE1a PY'!$C$4)*('LE - PY data'!$B$2:$B$10000='LE1a PY'!$D$4)*('LE - PY data'!$C$2:$C$10000='LE1a PY'!$E$4)*('LE - PY data'!$E$2:$E$10000='LE1a PY'!C$7)*('LE - PY data'!$G$2:$G$10000))</f>
        <v>0</v>
      </c>
      <c r="D27" cm="1">
        <f t="array" ref="D27">SUMPRODUCT(('LE - PY data'!$A$2:$A$10000='LE1a PY'!$C$4)*('LE - PY data'!$B$2:$B$10000='LE1a PY'!$D$4)*('LE - PY data'!$C$2:$C$10000='LE1a PY'!$E$4)*('LE - PY data'!$E$2:$E$10000='LE1a PY'!D$7)*('LE - PY data'!$G$2:$G$10000))</f>
        <v>0</v>
      </c>
      <c r="E27" cm="1">
        <f t="array" ref="E27">SUMPRODUCT(('LE - PY data'!$A$2:$A$10000='LE1a PY'!$C$4)*('LE - PY data'!$B$2:$B$10000='LE1a PY'!$D$4)*('LE - PY data'!$C$2:$C$10000='LE1a PY'!$E$4)*('LE - PY data'!$E$2:$E$10000='LE1a PY'!E$7)*('LE - PY data'!$G$2:$G$10000))</f>
        <v>0</v>
      </c>
      <c r="F27" cm="1">
        <f t="array" ref="F27">SUMPRODUCT(('LE - PY data'!$A$2:$A$10000='LE1a PY'!$C$4)*('LE - PY data'!$B$2:$B$10000='LE1a PY'!$D$4)*('LE - PY data'!$C$2:$C$10000='LE1a PY'!$E$4)*('LE - PY data'!$E$2:$E$10000='LE1a PY'!F$7)*('LE - PY data'!$G$2:$G$10000))</f>
        <v>0</v>
      </c>
      <c r="G27" cm="1">
        <f t="array" ref="G27">SUMPRODUCT(('LE - PY data'!$A$2:$A$10000='LE1a PY'!$C$4)*('LE - PY data'!$B$2:$B$10000='LE1a PY'!$D$4)*('LE - PY data'!$C$2:$C$10000='LE1a PY'!$E$4)*('LE - PY data'!$E$2:$E$10000='LE1a PY'!G$7)*('LE - PY data'!$G$2:$G$10000))</f>
        <v>0</v>
      </c>
      <c r="H27" cm="1">
        <f t="array" ref="H27">SUMPRODUCT(('LE - PY data'!$A$2:$A$10000='LE1a PY'!$C$4)*('LE - PY data'!$B$2:$B$10000='LE1a PY'!$D$4)*('LE - PY data'!$C$2:$C$10000='LE1a PY'!$E$4)*('LE - PY data'!$E$2:$E$10000='LE1a PY'!H$7)*('LE - PY data'!$G$2:$G$10000))</f>
        <v>0</v>
      </c>
      <c r="I27" cm="1">
        <f t="array" ref="I27">SUMPRODUCT(('LE - PY data'!$A$2:$A$10000='LE1a PY'!$C$4)*('LE - PY data'!$B$2:$B$10000='LE1a PY'!$D$4)*('LE - PY data'!$C$2:$C$10000='LE1a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A2:P30"/>
  <sheetViews>
    <sheetView showGridLines="0" zoomScale="60" zoomScaleNormal="60" workbookViewId="0"/>
  </sheetViews>
  <sheetFormatPr defaultColWidth="24.28515625" defaultRowHeight="27" customHeight="1"/>
  <cols>
    <col min="1" max="1" width="73.5703125" style="1" bestFit="1" customWidth="1"/>
    <col min="2" max="9" width="17.5703125" style="2" customWidth="1"/>
    <col min="10" max="10" width="11.5703125" style="2" customWidth="1"/>
    <col min="11" max="41" width="24.28515625" style="2" customWidth="1"/>
    <col min="42" max="16384" width="24.28515625" style="2"/>
  </cols>
  <sheetData>
    <row r="2" spans="1:16" ht="36" customHeight="1">
      <c r="B2" s="315"/>
      <c r="C2" s="315"/>
      <c r="D2" s="315"/>
      <c r="E2" s="315"/>
      <c r="F2" s="315"/>
      <c r="G2" s="315"/>
      <c r="H2" s="315"/>
      <c r="I2" s="315"/>
    </row>
    <row r="3" spans="1:16" ht="33.75" customHeight="1">
      <c r="L3" s="59"/>
    </row>
    <row r="4" spans="1:16" ht="13.15" customHeight="1" thickBot="1">
      <c r="A4" s="3"/>
      <c r="B4" s="4"/>
      <c r="C4" s="4"/>
      <c r="D4" s="4"/>
      <c r="E4" s="4"/>
      <c r="F4" s="4"/>
      <c r="G4" s="4"/>
      <c r="H4" s="4"/>
      <c r="I4" s="4"/>
    </row>
    <row r="5" spans="1:16" ht="18.75" customHeight="1" thickBot="1">
      <c r="A5" s="316" t="s">
        <v>267</v>
      </c>
      <c r="B5" s="317"/>
      <c r="C5" s="317"/>
      <c r="D5" s="317"/>
      <c r="E5" s="317"/>
      <c r="F5" s="317"/>
      <c r="G5" s="317"/>
      <c r="H5" s="317"/>
      <c r="I5" s="318"/>
    </row>
    <row r="6" spans="1:16" customFormat="1" ht="13.5" thickBot="1"/>
    <row r="7" spans="1:16" ht="38.25" customHeight="1" thickBot="1">
      <c r="A7" s="60"/>
      <c r="B7" s="241" t="s">
        <v>254</v>
      </c>
      <c r="C7" s="242" t="s">
        <v>255</v>
      </c>
      <c r="D7" s="242" t="s">
        <v>256</v>
      </c>
      <c r="E7" s="242" t="s">
        <v>257</v>
      </c>
      <c r="F7" s="242" t="s">
        <v>258</v>
      </c>
      <c r="G7" s="242" t="s">
        <v>259</v>
      </c>
      <c r="H7" s="243" t="s">
        <v>260</v>
      </c>
      <c r="I7" s="26" t="s">
        <v>261</v>
      </c>
      <c r="J7" s="4"/>
      <c r="K7" s="4"/>
      <c r="L7" s="4"/>
      <c r="M7" s="4"/>
      <c r="N7" s="4"/>
      <c r="O7" s="4"/>
      <c r="P7" s="4"/>
    </row>
    <row r="8" spans="1:16" ht="24" customHeight="1" thickBot="1">
      <c r="A8" s="10" t="s">
        <v>136</v>
      </c>
      <c r="B8" s="16"/>
      <c r="C8" s="16"/>
      <c r="D8" s="16"/>
      <c r="E8" s="16"/>
      <c r="F8" s="16"/>
      <c r="G8" s="16"/>
      <c r="H8" s="73"/>
      <c r="I8" s="13">
        <f t="shared" ref="I8:I26" si="0">SUM(B8:H8)</f>
        <v>0</v>
      </c>
      <c r="L8" s="83"/>
      <c r="M8"/>
    </row>
    <row r="9" spans="1:16" ht="24" customHeight="1" thickBot="1">
      <c r="A9" s="20" t="s">
        <v>137</v>
      </c>
      <c r="B9" s="16"/>
      <c r="C9" s="16"/>
      <c r="D9" s="16"/>
      <c r="E9" s="16"/>
      <c r="F9" s="16"/>
      <c r="G9" s="16"/>
      <c r="H9" s="75"/>
      <c r="I9" s="13">
        <f t="shared" si="0"/>
        <v>0</v>
      </c>
      <c r="L9"/>
      <c r="M9"/>
    </row>
    <row r="10" spans="1:16" ht="24" customHeight="1" thickBot="1">
      <c r="A10" s="23" t="s">
        <v>262</v>
      </c>
      <c r="B10" s="13">
        <f>SUM(B8:B9)</f>
        <v>0</v>
      </c>
      <c r="C10" s="13">
        <f t="shared" ref="C10:H10" si="1">SUM(C8:C9)</f>
        <v>0</v>
      </c>
      <c r="D10" s="13">
        <f t="shared" si="1"/>
        <v>0</v>
      </c>
      <c r="E10" s="13">
        <f t="shared" si="1"/>
        <v>0</v>
      </c>
      <c r="F10" s="13">
        <f t="shared" si="1"/>
        <v>0</v>
      </c>
      <c r="G10" s="13">
        <f t="shared" si="1"/>
        <v>0</v>
      </c>
      <c r="H10" s="13">
        <f t="shared" si="1"/>
        <v>0</v>
      </c>
      <c r="I10" s="13">
        <f t="shared" si="0"/>
        <v>0</v>
      </c>
      <c r="L10"/>
      <c r="M10"/>
    </row>
    <row r="11" spans="1:16" ht="23.25" customHeight="1" thickBot="1">
      <c r="A11" s="22" t="s">
        <v>139</v>
      </c>
      <c r="B11" s="16"/>
      <c r="C11" s="16"/>
      <c r="D11" s="16"/>
      <c r="E11" s="16"/>
      <c r="F11" s="16"/>
      <c r="G11" s="16"/>
      <c r="H11" s="73"/>
      <c r="I11" s="13">
        <f t="shared" si="0"/>
        <v>0</v>
      </c>
      <c r="L11"/>
      <c r="M11"/>
    </row>
    <row r="12" spans="1:16" ht="24" customHeight="1" thickBot="1">
      <c r="A12" s="11" t="s">
        <v>140</v>
      </c>
      <c r="B12" s="16"/>
      <c r="C12" s="16"/>
      <c r="D12" s="16"/>
      <c r="E12" s="16"/>
      <c r="F12" s="16"/>
      <c r="G12" s="16"/>
      <c r="H12" s="17"/>
      <c r="I12" s="13">
        <f t="shared" si="0"/>
        <v>0</v>
      </c>
      <c r="L12" s="83"/>
      <c r="M12"/>
    </row>
    <row r="13" spans="1:16" ht="24" customHeight="1" thickBot="1">
      <c r="A13" s="20" t="s">
        <v>141</v>
      </c>
      <c r="B13" s="16"/>
      <c r="C13" s="16"/>
      <c r="D13" s="16"/>
      <c r="E13" s="16"/>
      <c r="F13" s="16"/>
      <c r="G13" s="16"/>
      <c r="H13" s="74"/>
      <c r="I13" s="13">
        <f t="shared" si="0"/>
        <v>0</v>
      </c>
      <c r="L13" s="84"/>
      <c r="M13"/>
    </row>
    <row r="14" spans="1:16" ht="24" customHeight="1" thickBot="1">
      <c r="A14" s="23" t="s">
        <v>263</v>
      </c>
      <c r="B14" s="13">
        <f>SUM(B11:B13)</f>
        <v>0</v>
      </c>
      <c r="C14" s="13">
        <f t="shared" ref="C14:H14" si="2">SUM(C11:C13)</f>
        <v>0</v>
      </c>
      <c r="D14" s="13">
        <f t="shared" si="2"/>
        <v>0</v>
      </c>
      <c r="E14" s="13">
        <f t="shared" si="2"/>
        <v>0</v>
      </c>
      <c r="F14" s="13">
        <f t="shared" si="2"/>
        <v>0</v>
      </c>
      <c r="G14" s="13">
        <f t="shared" si="2"/>
        <v>0</v>
      </c>
      <c r="H14" s="13">
        <f t="shared" si="2"/>
        <v>0</v>
      </c>
      <c r="I14" s="13">
        <f t="shared" si="0"/>
        <v>0</v>
      </c>
      <c r="L14" s="84"/>
      <c r="M14"/>
    </row>
    <row r="15" spans="1:16" ht="24" customHeight="1" thickBot="1">
      <c r="A15" s="22" t="s">
        <v>145</v>
      </c>
      <c r="B15" s="16"/>
      <c r="C15" s="16"/>
      <c r="D15" s="16"/>
      <c r="E15" s="16"/>
      <c r="F15" s="16"/>
      <c r="G15" s="16"/>
      <c r="H15" s="15"/>
      <c r="I15" s="13">
        <f t="shared" si="0"/>
        <v>0</v>
      </c>
      <c r="L15"/>
      <c r="M15"/>
    </row>
    <row r="16" spans="1:16" ht="24" customHeight="1" thickBot="1">
      <c r="A16" s="20" t="s">
        <v>146</v>
      </c>
      <c r="B16" s="16"/>
      <c r="C16" s="16"/>
      <c r="D16" s="16"/>
      <c r="E16" s="16"/>
      <c r="F16" s="16"/>
      <c r="G16" s="16"/>
      <c r="H16" s="19"/>
      <c r="I16" s="13">
        <f t="shared" si="0"/>
        <v>0</v>
      </c>
      <c r="L16"/>
      <c r="M16"/>
    </row>
    <row r="17" spans="1:13" ht="24" customHeight="1" thickBot="1">
      <c r="A17" s="23" t="s">
        <v>264</v>
      </c>
      <c r="B17" s="13">
        <f>SUM(B15:B16)</f>
        <v>0</v>
      </c>
      <c r="C17" s="13">
        <f t="shared" ref="C17:H17" si="3">SUM(C15:C16)</f>
        <v>0</v>
      </c>
      <c r="D17" s="13">
        <f t="shared" si="3"/>
        <v>0</v>
      </c>
      <c r="E17" s="13">
        <f t="shared" si="3"/>
        <v>0</v>
      </c>
      <c r="F17" s="13">
        <f t="shared" si="3"/>
        <v>0</v>
      </c>
      <c r="G17" s="13">
        <f t="shared" si="3"/>
        <v>0</v>
      </c>
      <c r="H17" s="13">
        <f t="shared" si="3"/>
        <v>0</v>
      </c>
      <c r="I17" s="13">
        <f t="shared" si="0"/>
        <v>0</v>
      </c>
      <c r="L17"/>
      <c r="M17"/>
    </row>
    <row r="18" spans="1:13" ht="24" customHeight="1" thickBot="1">
      <c r="A18" s="22" t="s">
        <v>147</v>
      </c>
      <c r="B18" s="16"/>
      <c r="C18" s="16"/>
      <c r="D18" s="16"/>
      <c r="E18" s="16"/>
      <c r="F18" s="16"/>
      <c r="G18" s="16"/>
      <c r="H18" s="15"/>
      <c r="I18" s="13">
        <f t="shared" si="0"/>
        <v>0</v>
      </c>
      <c r="K18" s="51"/>
      <c r="L18"/>
      <c r="M18"/>
    </row>
    <row r="19" spans="1:13" ht="24" customHeight="1" thickBot="1">
      <c r="A19" s="20" t="s">
        <v>148</v>
      </c>
      <c r="B19" s="16"/>
      <c r="C19" s="16"/>
      <c r="D19" s="16"/>
      <c r="E19" s="16"/>
      <c r="F19" s="16"/>
      <c r="G19" s="16"/>
      <c r="H19" s="19"/>
      <c r="I19" s="13">
        <f t="shared" si="0"/>
        <v>0</v>
      </c>
      <c r="K19" s="51"/>
      <c r="L19"/>
      <c r="M19"/>
    </row>
    <row r="20" spans="1:13" ht="24" customHeight="1" thickBot="1">
      <c r="A20" s="23" t="s">
        <v>265</v>
      </c>
      <c r="B20" s="13">
        <f>SUM(B18:B19)</f>
        <v>0</v>
      </c>
      <c r="C20" s="13">
        <f t="shared" ref="C20:H20" si="4">SUM(C18:C19)</f>
        <v>0</v>
      </c>
      <c r="D20" s="13">
        <f t="shared" si="4"/>
        <v>0</v>
      </c>
      <c r="E20" s="13">
        <f t="shared" si="4"/>
        <v>0</v>
      </c>
      <c r="F20" s="13">
        <f t="shared" si="4"/>
        <v>0</v>
      </c>
      <c r="G20" s="13">
        <f t="shared" si="4"/>
        <v>0</v>
      </c>
      <c r="H20" s="13">
        <f t="shared" si="4"/>
        <v>0</v>
      </c>
      <c r="I20" s="13">
        <f t="shared" si="0"/>
        <v>0</v>
      </c>
      <c r="L20"/>
      <c r="M20"/>
    </row>
    <row r="21" spans="1:13" ht="24" customHeight="1" thickBot="1">
      <c r="A21" s="21" t="s">
        <v>149</v>
      </c>
      <c r="B21" s="14"/>
      <c r="C21" s="16"/>
      <c r="D21" s="16"/>
      <c r="E21" s="16"/>
      <c r="F21" s="16"/>
      <c r="G21" s="16"/>
      <c r="H21" s="16"/>
      <c r="I21" s="13">
        <f t="shared" si="0"/>
        <v>0</v>
      </c>
      <c r="L21"/>
      <c r="M21"/>
    </row>
    <row r="22" spans="1:13" ht="24" customHeight="1" thickBot="1">
      <c r="A22" s="20" t="s">
        <v>150</v>
      </c>
      <c r="B22" s="16"/>
      <c r="C22" s="16"/>
      <c r="D22" s="16"/>
      <c r="E22" s="16"/>
      <c r="F22" s="16"/>
      <c r="G22" s="16"/>
      <c r="H22" s="16"/>
      <c r="I22" s="13">
        <f t="shared" si="0"/>
        <v>0</v>
      </c>
      <c r="L22"/>
      <c r="M22"/>
    </row>
    <row r="23" spans="1:13" ht="24" customHeight="1" thickBot="1">
      <c r="A23" s="23" t="s">
        <v>266</v>
      </c>
      <c r="B23" s="13">
        <f>SUM(B21:B22)</f>
        <v>0</v>
      </c>
      <c r="C23" s="13">
        <f t="shared" ref="C23:H23" si="5">SUM(C21:C22)</f>
        <v>0</v>
      </c>
      <c r="D23" s="13">
        <f t="shared" si="5"/>
        <v>0</v>
      </c>
      <c r="E23" s="13">
        <f t="shared" si="5"/>
        <v>0</v>
      </c>
      <c r="F23" s="13">
        <f t="shared" si="5"/>
        <v>0</v>
      </c>
      <c r="G23" s="13">
        <f t="shared" si="5"/>
        <v>0</v>
      </c>
      <c r="H23" s="13">
        <f t="shared" si="5"/>
        <v>0</v>
      </c>
      <c r="I23" s="13">
        <f t="shared" si="0"/>
        <v>0</v>
      </c>
      <c r="L23"/>
      <c r="M23"/>
    </row>
    <row r="24" spans="1:13" ht="24" customHeight="1" thickBot="1">
      <c r="A24" s="23" t="s">
        <v>151</v>
      </c>
      <c r="B24" s="16"/>
      <c r="C24" s="16"/>
      <c r="D24" s="16"/>
      <c r="E24" s="16"/>
      <c r="F24" s="16"/>
      <c r="G24" s="16"/>
      <c r="H24" s="16"/>
      <c r="I24" s="13">
        <f t="shared" si="0"/>
        <v>0</v>
      </c>
      <c r="L24"/>
      <c r="M24"/>
    </row>
    <row r="25" spans="1:13" ht="24" customHeight="1" thickBot="1">
      <c r="A25" s="23" t="s">
        <v>152</v>
      </c>
      <c r="B25" s="16"/>
      <c r="C25" s="16"/>
      <c r="D25" s="16"/>
      <c r="E25" s="16"/>
      <c r="F25" s="16"/>
      <c r="G25" s="16"/>
      <c r="H25" s="16"/>
      <c r="I25" s="13">
        <f t="shared" si="0"/>
        <v>0</v>
      </c>
      <c r="L25"/>
      <c r="M25"/>
    </row>
    <row r="26" spans="1:13" ht="24" customHeight="1" thickBot="1">
      <c r="A26" s="23" t="s">
        <v>153</v>
      </c>
      <c r="B26" s="53"/>
      <c r="C26" s="18"/>
      <c r="D26" s="18"/>
      <c r="E26" s="18"/>
      <c r="F26" s="18"/>
      <c r="G26" s="18"/>
      <c r="H26" s="19"/>
      <c r="I26" s="13">
        <f t="shared" si="0"/>
        <v>0</v>
      </c>
      <c r="L26"/>
      <c r="M26"/>
    </row>
    <row r="27" spans="1:13" ht="24" customHeight="1" thickBot="1">
      <c r="A27" s="12" t="s">
        <v>261</v>
      </c>
      <c r="B27" s="13">
        <f>SUM(B10,B14,B17,B20,B23,B24:B26)</f>
        <v>0</v>
      </c>
      <c r="C27" s="13">
        <f t="shared" ref="C27:H27" si="6">SUM(C10,C14,C17,C20,C23,C24:C26)</f>
        <v>0</v>
      </c>
      <c r="D27" s="13">
        <f t="shared" si="6"/>
        <v>0</v>
      </c>
      <c r="E27" s="13">
        <f t="shared" si="6"/>
        <v>0</v>
      </c>
      <c r="F27" s="13">
        <f t="shared" si="6"/>
        <v>0</v>
      </c>
      <c r="G27" s="13">
        <f t="shared" si="6"/>
        <v>0</v>
      </c>
      <c r="H27" s="13">
        <f t="shared" si="6"/>
        <v>0</v>
      </c>
      <c r="I27" s="13">
        <f>SUM(B27:H27)</f>
        <v>0</v>
      </c>
      <c r="L27"/>
      <c r="M27"/>
    </row>
    <row r="28" spans="1:13" ht="27" customHeight="1">
      <c r="L28"/>
      <c r="M28"/>
    </row>
    <row r="29" spans="1:13" ht="27" customHeight="1">
      <c r="A29" s="319" t="s">
        <v>268</v>
      </c>
      <c r="B29" s="320"/>
      <c r="C29" s="320"/>
      <c r="D29" s="320"/>
      <c r="E29" s="320"/>
      <c r="F29" s="320"/>
      <c r="G29" s="320"/>
      <c r="H29" s="320"/>
      <c r="I29" s="321"/>
      <c r="L29"/>
      <c r="M29"/>
    </row>
    <row r="30" spans="1:13" ht="79.150000000000006" customHeight="1">
      <c r="A30" s="322"/>
      <c r="B30" s="323"/>
      <c r="C30" s="323"/>
      <c r="D30" s="323"/>
      <c r="E30" s="323"/>
      <c r="F30" s="323"/>
      <c r="G30" s="323"/>
      <c r="H30" s="323"/>
      <c r="I30" s="324"/>
      <c r="L30"/>
      <c r="M30"/>
    </row>
  </sheetData>
  <sheetProtection selectLockedCells="1"/>
  <mergeCells count="4">
    <mergeCell ref="B2:I2"/>
    <mergeCell ref="A5:I5"/>
    <mergeCell ref="A29:I29"/>
    <mergeCell ref="A30:I30"/>
  </mergeCells>
  <dataValidations count="1">
    <dataValidation type="whole" allowBlank="1" showInputMessage="1" showErrorMessage="1" errorTitle="Error" error="Please enter a whole number greater than zero and less than 1,000." sqref="B24:H26 B11:H13 B15:H16 B18:H19 B21:H22 B8:H9" xr:uid="{00000000-0002-0000-0100-000000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ignoredErrors>
    <ignoredError sqref="B10:H10 B14:H14 B17 C17:H17 B20:H20 B23:H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E9CCA98F-4AB2-481D-A49F-EFB38F9E9247}">
            <xm:f>IF(AND(B8&gt;'LE1a PY'!B8+'QA check thresholds'!$A$4,B8&gt;'LE1a PY'!B8*'QA check thresholds'!$C$3),TRUE,FALSE)</xm:f>
            <x14:dxf>
              <font>
                <b/>
                <i val="0"/>
                <color rgb="FFFF0000"/>
              </font>
              <fill>
                <patternFill>
                  <bgColor rgb="FFFFC000"/>
                </patternFill>
              </fill>
            </x14:dxf>
          </x14:cfRule>
          <x14:cfRule type="expression" priority="4" id="{89E715D6-896B-4AFD-8D2E-3F4CE55FFBFC}">
            <xm:f>IF(AND(B8&lt;'LE1a PY'!B8-'QA check thresholds'!$A$4,B8&lt;'LE1a PY'!B8*'QA check thresholds'!$C$2),TRUE,FALSE)</xm:f>
            <x14:dxf>
              <font>
                <b/>
                <i val="0"/>
                <color rgb="FFFF0000"/>
              </font>
              <fill>
                <patternFill>
                  <bgColor rgb="FFFFC000"/>
                </patternFill>
              </fill>
            </x14:dxf>
          </x14:cfRule>
          <xm:sqref>I8:I27 B27:H27</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B9FEE-E987-4E8A-BAAE-B977D6861190}">
  <sheetPr codeName="Sheet9"/>
  <dimension ref="A2:BT862"/>
  <sheetViews>
    <sheetView showGridLines="0" zoomScale="70" zoomScaleNormal="70" workbookViewId="0">
      <selection activeCell="A8" sqref="A8:V8"/>
    </sheetView>
  </sheetViews>
  <sheetFormatPr defaultColWidth="16.7109375" defaultRowHeight="27" customHeight="1"/>
  <cols>
    <col min="1" max="1" width="16.7109375" style="1"/>
    <col min="2" max="2" width="0" style="2" hidden="1" customWidth="1"/>
    <col min="3" max="16384" width="16.7109375" style="2"/>
  </cols>
  <sheetData>
    <row r="2" spans="1:72" ht="36" customHeight="1">
      <c r="B2" s="315"/>
      <c r="C2" s="315"/>
      <c r="D2" s="315"/>
      <c r="E2" s="315"/>
      <c r="F2" s="315"/>
      <c r="G2" s="315"/>
      <c r="H2" s="315"/>
      <c r="I2" s="315"/>
    </row>
    <row r="3" spans="1:72" ht="33.75" customHeight="1">
      <c r="L3" s="59"/>
    </row>
    <row r="4" spans="1:72" ht="13.15" customHeight="1" thickBot="1">
      <c r="A4" s="3"/>
      <c r="B4" s="4"/>
      <c r="C4" s="4"/>
      <c r="D4" s="4"/>
      <c r="E4" s="4"/>
      <c r="F4" s="4"/>
      <c r="G4" s="4"/>
      <c r="H4" s="4"/>
      <c r="I4" s="4"/>
    </row>
    <row r="5" spans="1:72" ht="18.75" customHeight="1" thickBot="1">
      <c r="A5" s="316" t="s">
        <v>269</v>
      </c>
      <c r="B5" s="317"/>
      <c r="C5" s="317"/>
      <c r="D5" s="317"/>
      <c r="E5" s="317"/>
      <c r="F5" s="317"/>
      <c r="G5" s="317"/>
      <c r="H5" s="317"/>
      <c r="I5" s="317"/>
      <c r="J5" s="317"/>
      <c r="K5" s="317"/>
      <c r="L5" s="317"/>
      <c r="M5" s="317"/>
      <c r="N5" s="317"/>
      <c r="O5" s="317"/>
      <c r="P5" s="317"/>
      <c r="Q5" s="318"/>
    </row>
    <row r="6" spans="1:72" customFormat="1" ht="12.75"/>
    <row r="7" spans="1:72" ht="16.149999999999999" customHeight="1" thickBot="1">
      <c r="A7" s="158"/>
      <c r="B7" s="202"/>
      <c r="C7" s="202"/>
      <c r="D7" s="202"/>
      <c r="E7" s="202"/>
      <c r="F7" s="202"/>
      <c r="G7" s="202"/>
      <c r="H7" s="202"/>
      <c r="I7" s="159"/>
      <c r="J7" s="4"/>
      <c r="K7" s="4"/>
      <c r="L7" s="4"/>
      <c r="M7" s="4"/>
      <c r="N7" s="4"/>
      <c r="O7" s="4"/>
      <c r="P7" s="4"/>
    </row>
    <row r="8" spans="1:72" s="44" customFormat="1" ht="15" customHeight="1" thickBot="1">
      <c r="A8" s="325" t="s">
        <v>270</v>
      </c>
      <c r="B8" s="326"/>
      <c r="C8" s="326"/>
      <c r="D8" s="326"/>
      <c r="E8" s="326"/>
      <c r="F8" s="326"/>
      <c r="G8" s="326"/>
      <c r="H8" s="326"/>
      <c r="I8" s="326"/>
      <c r="J8" s="326"/>
      <c r="K8" s="326"/>
      <c r="L8" s="326"/>
      <c r="M8" s="326"/>
      <c r="N8" s="326"/>
      <c r="O8" s="326"/>
      <c r="P8" s="326"/>
      <c r="Q8" s="326"/>
      <c r="R8" s="326"/>
      <c r="S8" s="326"/>
      <c r="T8" s="326"/>
      <c r="U8" s="326"/>
      <c r="V8" s="327"/>
    </row>
    <row r="9" spans="1:72" s="52" customFormat="1" ht="30.6" customHeight="1" thickBot="1">
      <c r="A9" s="85"/>
      <c r="B9" s="86"/>
      <c r="C9" s="328" t="s">
        <v>271</v>
      </c>
      <c r="D9" s="328"/>
      <c r="E9" s="328"/>
      <c r="F9" s="328"/>
      <c r="G9" s="328"/>
      <c r="H9" s="328" t="s">
        <v>272</v>
      </c>
      <c r="I9" s="328"/>
      <c r="J9" s="328"/>
      <c r="K9" s="328"/>
      <c r="L9" s="328"/>
      <c r="M9" s="329" t="s">
        <v>273</v>
      </c>
      <c r="N9" s="330"/>
      <c r="O9" s="330"/>
      <c r="P9" s="330"/>
      <c r="Q9" s="331"/>
      <c r="R9" s="329" t="s">
        <v>274</v>
      </c>
      <c r="S9" s="330"/>
      <c r="T9" s="330"/>
      <c r="U9" s="330"/>
      <c r="V9" s="331"/>
      <c r="W9" s="2"/>
      <c r="X9" s="2"/>
      <c r="Y9" s="2"/>
      <c r="Z9" s="2"/>
      <c r="AA9" s="2"/>
      <c r="AB9" s="2"/>
      <c r="AC9" s="2"/>
      <c r="AD9" s="2"/>
      <c r="AE9" s="2"/>
      <c r="AF9" s="2"/>
      <c r="AG9" s="2"/>
      <c r="AH9" s="2"/>
      <c r="AI9" s="2"/>
      <c r="AJ9" s="2"/>
      <c r="AS9" s="2"/>
      <c r="AT9" s="2"/>
      <c r="AU9" s="2"/>
      <c r="AV9" s="2"/>
      <c r="AW9" s="2"/>
      <c r="AX9" s="2"/>
      <c r="AY9" s="2"/>
      <c r="AZ9" s="2"/>
      <c r="BA9" s="2"/>
      <c r="BB9" s="2"/>
      <c r="BC9" s="2"/>
      <c r="BD9" s="2"/>
      <c r="BE9" s="2"/>
      <c r="BF9" s="2"/>
      <c r="BG9" s="2"/>
      <c r="BH9" s="2"/>
      <c r="BI9" s="2"/>
      <c r="BJ9" s="2"/>
      <c r="BK9" s="2"/>
      <c r="BL9" s="2"/>
      <c r="BM9" s="2"/>
      <c r="BN9" s="2"/>
      <c r="BO9" s="2"/>
      <c r="BP9" s="2"/>
      <c r="BQ9" s="2"/>
    </row>
    <row r="10" spans="1:72" s="52" customFormat="1" ht="20.100000000000001" customHeight="1" thickBot="1">
      <c r="A10" s="85"/>
      <c r="B10" s="87"/>
      <c r="C10" s="88" t="s">
        <v>275</v>
      </c>
      <c r="D10" s="88" t="s">
        <v>276</v>
      </c>
      <c r="E10" s="88" t="s">
        <v>277</v>
      </c>
      <c r="F10" s="89" t="s">
        <v>278</v>
      </c>
      <c r="G10" s="90" t="s">
        <v>261</v>
      </c>
      <c r="H10" s="91" t="s">
        <v>275</v>
      </c>
      <c r="I10" s="88" t="s">
        <v>276</v>
      </c>
      <c r="J10" s="88" t="s">
        <v>277</v>
      </c>
      <c r="K10" s="89" t="s">
        <v>278</v>
      </c>
      <c r="L10" s="90" t="s">
        <v>261</v>
      </c>
      <c r="M10" s="91" t="s">
        <v>275</v>
      </c>
      <c r="N10" s="88" t="s">
        <v>276</v>
      </c>
      <c r="O10" s="88" t="s">
        <v>277</v>
      </c>
      <c r="P10" s="89" t="s">
        <v>278</v>
      </c>
      <c r="Q10" s="90" t="s">
        <v>261</v>
      </c>
      <c r="R10" s="91" t="s">
        <v>275</v>
      </c>
      <c r="S10" s="88" t="s">
        <v>276</v>
      </c>
      <c r="T10" s="88" t="s">
        <v>277</v>
      </c>
      <c r="U10" s="89" t="s">
        <v>278</v>
      </c>
      <c r="V10" s="90" t="s">
        <v>261</v>
      </c>
      <c r="W10" s="2"/>
      <c r="X10" s="2"/>
      <c r="Y10" s="2"/>
      <c r="Z10" s="2"/>
      <c r="AA10" s="2"/>
      <c r="AB10" s="2"/>
      <c r="AC10" s="2"/>
      <c r="AD10" s="2"/>
      <c r="AE10" s="2"/>
      <c r="AF10" s="2"/>
      <c r="AG10" s="2"/>
      <c r="AH10" s="2"/>
      <c r="AI10" s="2"/>
      <c r="AJ10" s="2"/>
      <c r="AS10" s="2"/>
      <c r="AT10" s="2"/>
      <c r="AU10" s="2"/>
      <c r="AV10" s="2"/>
      <c r="AW10" s="2"/>
      <c r="AX10" s="2"/>
      <c r="AY10" s="2"/>
      <c r="AZ10" s="2"/>
      <c r="BA10" s="2"/>
      <c r="BB10" s="2"/>
      <c r="BC10" s="2"/>
      <c r="BD10" s="2"/>
      <c r="BE10" s="2"/>
      <c r="BF10" s="2"/>
      <c r="BG10" s="2"/>
      <c r="BH10" s="2"/>
      <c r="BI10" s="2"/>
      <c r="BJ10" s="2"/>
      <c r="BK10" s="2"/>
      <c r="BL10" s="2"/>
      <c r="BM10" s="2"/>
      <c r="BN10" s="2"/>
      <c r="BO10" s="2"/>
      <c r="BP10" s="2"/>
      <c r="BQ10" s="2"/>
      <c r="BR10" s="2"/>
      <c r="BS10" s="2"/>
      <c r="BT10" s="2"/>
    </row>
    <row r="11" spans="1:72" s="58" customFormat="1" ht="12" hidden="1" customHeight="1">
      <c r="A11" s="92"/>
      <c r="B11" s="93"/>
      <c r="C11" s="94" t="s">
        <v>279</v>
      </c>
      <c r="D11" s="94" t="s">
        <v>280</v>
      </c>
      <c r="E11" s="94" t="s">
        <v>280</v>
      </c>
      <c r="F11" s="94"/>
      <c r="G11" s="95"/>
      <c r="H11" s="94" t="s">
        <v>281</v>
      </c>
      <c r="I11" s="94" t="s">
        <v>282</v>
      </c>
      <c r="J11" s="94" t="s">
        <v>282</v>
      </c>
      <c r="K11" s="94"/>
      <c r="L11" s="96"/>
      <c r="M11" s="94" t="s">
        <v>283</v>
      </c>
      <c r="N11" s="94" t="s">
        <v>284</v>
      </c>
      <c r="O11" s="94" t="s">
        <v>284</v>
      </c>
      <c r="P11" s="94"/>
      <c r="Q11" s="96"/>
      <c r="R11" s="94" t="s">
        <v>285</v>
      </c>
      <c r="S11" s="94" t="s">
        <v>286</v>
      </c>
      <c r="T11" s="94" t="s">
        <v>286</v>
      </c>
      <c r="U11" s="94"/>
      <c r="V11" s="96"/>
      <c r="W11" s="2"/>
      <c r="X11" s="2"/>
      <c r="Y11" s="2"/>
      <c r="Z11" s="2"/>
      <c r="AA11" s="2"/>
      <c r="AB11" s="2"/>
      <c r="AC11" s="2"/>
      <c r="AD11" s="2"/>
      <c r="AE11" s="2"/>
      <c r="AF11" s="2"/>
      <c r="AG11" s="2"/>
      <c r="AH11" s="2"/>
      <c r="AI11" s="2"/>
      <c r="AJ11" s="2"/>
      <c r="AS11" s="2"/>
      <c r="AT11" s="2"/>
      <c r="AU11" s="2"/>
      <c r="AV11" s="2"/>
      <c r="AW11" s="2"/>
      <c r="AX11" s="2"/>
      <c r="AY11" s="2"/>
      <c r="AZ11" s="2"/>
      <c r="BA11" s="2"/>
      <c r="BB11" s="2"/>
      <c r="BC11" s="2"/>
      <c r="BD11" s="2"/>
      <c r="BE11" s="2"/>
      <c r="BF11" s="2"/>
      <c r="BG11" s="2"/>
      <c r="BH11" s="2"/>
      <c r="BI11" s="2"/>
      <c r="BJ11" s="2"/>
      <c r="BK11" s="2"/>
      <c r="BL11" s="2"/>
      <c r="BM11" s="2"/>
      <c r="BN11" s="2"/>
      <c r="BO11" s="2"/>
      <c r="BP11" s="2"/>
      <c r="BQ11" s="2"/>
      <c r="BR11" s="2"/>
      <c r="BS11" s="2"/>
      <c r="BT11" s="2"/>
    </row>
    <row r="12" spans="1:72" s="58" customFormat="1" ht="15.6" customHeight="1">
      <c r="A12" s="10" t="s">
        <v>254</v>
      </c>
      <c r="B12" s="97" t="s">
        <v>287</v>
      </c>
      <c r="C12" s="16"/>
      <c r="D12" s="98"/>
      <c r="E12" s="98"/>
      <c r="F12" s="98"/>
      <c r="G12" s="66">
        <f t="shared" ref="G12:G18" si="0">SUM(C12:F12)</f>
        <v>0</v>
      </c>
      <c r="H12" s="99"/>
      <c r="I12" s="16"/>
      <c r="J12" s="16"/>
      <c r="K12" s="98"/>
      <c r="L12" s="100">
        <f t="shared" ref="L12:L18" si="1">SUM(H12:K12)</f>
        <v>0</v>
      </c>
      <c r="M12" s="99"/>
      <c r="N12" s="16"/>
      <c r="O12" s="16"/>
      <c r="P12" s="98"/>
      <c r="Q12" s="100">
        <f t="shared" ref="Q12:Q18" si="2">SUM(M12:P12)</f>
        <v>0</v>
      </c>
      <c r="R12" s="99"/>
      <c r="S12" s="16"/>
      <c r="T12" s="16"/>
      <c r="U12" s="98"/>
      <c r="V12" s="100">
        <f t="shared" ref="V12:V18" si="3">SUM(R12:U12)</f>
        <v>0</v>
      </c>
      <c r="W12" s="2"/>
      <c r="X12" s="2"/>
      <c r="Y12" s="2"/>
      <c r="Z12" s="2"/>
      <c r="AA12" s="2"/>
      <c r="AB12" s="2"/>
      <c r="AC12" s="2"/>
      <c r="AD12" s="2"/>
      <c r="AE12" s="2"/>
      <c r="AF12" s="2"/>
      <c r="AG12" s="2"/>
      <c r="AH12" s="2"/>
      <c r="AI12" s="2"/>
      <c r="AJ12" s="2"/>
      <c r="AS12" s="2"/>
      <c r="AT12" s="2"/>
      <c r="AU12" s="2"/>
      <c r="AV12" s="2"/>
      <c r="AW12" s="2"/>
      <c r="AX12" s="2"/>
      <c r="AY12" s="2"/>
      <c r="AZ12" s="2"/>
      <c r="BA12" s="2"/>
      <c r="BB12" s="2"/>
      <c r="BC12" s="2"/>
      <c r="BD12" s="2"/>
      <c r="BE12" s="2"/>
      <c r="BF12" s="2"/>
      <c r="BG12" s="2"/>
      <c r="BH12" s="2"/>
      <c r="BI12" s="2"/>
      <c r="BJ12" s="2"/>
      <c r="BK12" s="2"/>
      <c r="BL12" s="2"/>
      <c r="BM12" s="2"/>
      <c r="BN12" s="2"/>
      <c r="BO12" s="2"/>
      <c r="BP12" s="2"/>
      <c r="BQ12" s="2"/>
      <c r="BR12" s="2"/>
      <c r="BS12" s="2"/>
      <c r="BT12" s="2"/>
    </row>
    <row r="13" spans="1:72" s="58" customFormat="1" ht="15.6" customHeight="1">
      <c r="A13" s="11" t="s">
        <v>288</v>
      </c>
      <c r="B13" s="101" t="s">
        <v>289</v>
      </c>
      <c r="C13" s="16"/>
      <c r="D13" s="98"/>
      <c r="E13" s="98"/>
      <c r="F13" s="98"/>
      <c r="G13" s="67">
        <f t="shared" si="0"/>
        <v>0</v>
      </c>
      <c r="H13" s="99"/>
      <c r="I13" s="16"/>
      <c r="J13" s="16"/>
      <c r="K13" s="98"/>
      <c r="L13" s="100">
        <f t="shared" si="1"/>
        <v>0</v>
      </c>
      <c r="M13" s="99"/>
      <c r="N13" s="16"/>
      <c r="O13" s="16"/>
      <c r="P13" s="98"/>
      <c r="Q13" s="100">
        <f t="shared" si="2"/>
        <v>0</v>
      </c>
      <c r="R13" s="99"/>
      <c r="S13" s="16"/>
      <c r="T13" s="16"/>
      <c r="U13" s="98"/>
      <c r="V13" s="100">
        <f t="shared" si="3"/>
        <v>0</v>
      </c>
      <c r="W13" s="2"/>
      <c r="X13" s="2"/>
      <c r="Y13" s="2"/>
      <c r="Z13" s="2"/>
      <c r="AA13" s="2"/>
      <c r="AB13" s="2"/>
      <c r="AC13" s="2"/>
      <c r="AD13" s="2"/>
      <c r="AE13" s="2"/>
      <c r="AF13" s="2"/>
      <c r="AG13" s="2"/>
      <c r="AH13" s="2"/>
      <c r="AI13" s="2"/>
      <c r="AJ13" s="2"/>
      <c r="AS13" s="2"/>
      <c r="AT13" s="2"/>
      <c r="AU13" s="2"/>
      <c r="AV13" s="2"/>
      <c r="AW13" s="2"/>
      <c r="AX13" s="2"/>
      <c r="AY13" s="2"/>
      <c r="AZ13" s="2"/>
      <c r="BA13" s="2"/>
      <c r="BB13" s="2"/>
      <c r="BC13" s="2"/>
      <c r="BD13" s="2"/>
      <c r="BE13" s="2"/>
      <c r="BF13" s="2"/>
      <c r="BG13" s="2"/>
      <c r="BH13" s="2"/>
      <c r="BI13" s="2"/>
      <c r="BJ13" s="2"/>
      <c r="BK13" s="2"/>
      <c r="BL13" s="2"/>
      <c r="BM13" s="2"/>
      <c r="BN13" s="2"/>
      <c r="BO13" s="2"/>
      <c r="BP13" s="2"/>
      <c r="BQ13" s="2"/>
      <c r="BR13" s="2"/>
      <c r="BS13" s="2"/>
      <c r="BT13" s="2"/>
    </row>
    <row r="14" spans="1:72" s="58" customFormat="1" ht="15.6" customHeight="1">
      <c r="A14" s="11" t="s">
        <v>256</v>
      </c>
      <c r="B14" s="101" t="s">
        <v>290</v>
      </c>
      <c r="C14" s="16"/>
      <c r="D14" s="98"/>
      <c r="E14" s="98"/>
      <c r="F14" s="98"/>
      <c r="G14" s="65">
        <f t="shared" si="0"/>
        <v>0</v>
      </c>
      <c r="H14" s="99"/>
      <c r="I14" s="16"/>
      <c r="J14" s="16"/>
      <c r="K14" s="98"/>
      <c r="L14" s="100">
        <f t="shared" si="1"/>
        <v>0</v>
      </c>
      <c r="M14" s="99"/>
      <c r="N14" s="16"/>
      <c r="O14" s="16"/>
      <c r="P14" s="98"/>
      <c r="Q14" s="100">
        <f t="shared" si="2"/>
        <v>0</v>
      </c>
      <c r="R14" s="99"/>
      <c r="S14" s="16"/>
      <c r="T14" s="16"/>
      <c r="U14" s="98"/>
      <c r="V14" s="100">
        <f t="shared" si="3"/>
        <v>0</v>
      </c>
      <c r="W14" s="2"/>
      <c r="X14" s="2"/>
      <c r="Y14" s="2"/>
      <c r="Z14" s="2"/>
      <c r="AA14" s="2"/>
      <c r="AB14" s="2"/>
      <c r="AC14" s="2"/>
      <c r="AD14" s="2"/>
      <c r="AE14" s="2"/>
      <c r="AF14" s="2"/>
      <c r="AG14" s="2"/>
      <c r="AH14" s="2"/>
      <c r="AI14" s="2"/>
      <c r="AJ14" s="2"/>
      <c r="AS14" s="2"/>
      <c r="AT14" s="2"/>
      <c r="AU14" s="2"/>
      <c r="AV14" s="2"/>
      <c r="AW14" s="2"/>
      <c r="AX14" s="2"/>
      <c r="AY14" s="2"/>
      <c r="AZ14" s="2"/>
      <c r="BA14" s="2"/>
      <c r="BB14" s="2"/>
      <c r="BC14" s="2"/>
      <c r="BD14" s="2"/>
      <c r="BE14" s="2"/>
      <c r="BF14" s="2"/>
      <c r="BG14" s="2"/>
      <c r="BH14" s="2"/>
      <c r="BI14" s="2"/>
      <c r="BJ14" s="2"/>
      <c r="BK14" s="2"/>
      <c r="BL14" s="2"/>
      <c r="BM14" s="2"/>
      <c r="BN14" s="2"/>
      <c r="BO14" s="2"/>
      <c r="BP14" s="2"/>
      <c r="BQ14" s="2"/>
      <c r="BR14" s="2"/>
      <c r="BS14" s="2"/>
      <c r="BT14" s="2"/>
    </row>
    <row r="15" spans="1:72" s="58" customFormat="1" ht="15.6" customHeight="1">
      <c r="A15" s="11" t="s">
        <v>257</v>
      </c>
      <c r="B15" s="101" t="s">
        <v>291</v>
      </c>
      <c r="C15" s="16"/>
      <c r="D15" s="98"/>
      <c r="E15" s="98"/>
      <c r="F15" s="98"/>
      <c r="G15" s="67">
        <f t="shared" si="0"/>
        <v>0</v>
      </c>
      <c r="H15" s="99"/>
      <c r="I15" s="16"/>
      <c r="J15" s="16"/>
      <c r="K15" s="98"/>
      <c r="L15" s="100">
        <f t="shared" si="1"/>
        <v>0</v>
      </c>
      <c r="M15" s="99"/>
      <c r="N15" s="16"/>
      <c r="O15" s="16"/>
      <c r="P15" s="98"/>
      <c r="Q15" s="100">
        <f t="shared" si="2"/>
        <v>0</v>
      </c>
      <c r="R15" s="99"/>
      <c r="S15" s="16"/>
      <c r="T15" s="16"/>
      <c r="U15" s="98"/>
      <c r="V15" s="100">
        <f t="shared" si="3"/>
        <v>0</v>
      </c>
      <c r="W15" s="2"/>
      <c r="X15" s="2"/>
      <c r="Y15" s="2"/>
      <c r="Z15" s="2"/>
      <c r="AA15" s="2"/>
      <c r="AB15" s="2"/>
      <c r="AC15" s="2"/>
      <c r="AD15" s="2"/>
      <c r="AE15" s="2"/>
      <c r="AF15" s="2"/>
      <c r="AG15" s="2"/>
      <c r="AH15" s="2"/>
      <c r="AI15" s="2"/>
      <c r="AJ15" s="2"/>
      <c r="AS15" s="2"/>
      <c r="AT15" s="2"/>
      <c r="AU15" s="2"/>
      <c r="AV15" s="2"/>
      <c r="AW15" s="2"/>
      <c r="AX15" s="2"/>
      <c r="AY15" s="2"/>
      <c r="AZ15" s="2"/>
      <c r="BA15" s="2"/>
      <c r="BB15" s="2"/>
      <c r="BC15" s="2"/>
      <c r="BD15" s="2"/>
      <c r="BE15" s="2"/>
      <c r="BF15" s="2"/>
      <c r="BG15" s="2"/>
      <c r="BH15" s="2"/>
      <c r="BI15" s="2"/>
      <c r="BJ15" s="2"/>
      <c r="BK15" s="2"/>
      <c r="BL15" s="2"/>
      <c r="BM15" s="2"/>
      <c r="BN15" s="2"/>
      <c r="BO15" s="2"/>
      <c r="BP15" s="2"/>
      <c r="BQ15" s="2"/>
      <c r="BR15" s="2"/>
      <c r="BS15" s="2"/>
      <c r="BT15" s="2"/>
    </row>
    <row r="16" spans="1:72" s="58" customFormat="1" ht="15.6" customHeight="1">
      <c r="A16" s="11" t="s">
        <v>258</v>
      </c>
      <c r="B16" s="101" t="s">
        <v>292</v>
      </c>
      <c r="C16" s="16"/>
      <c r="D16" s="98"/>
      <c r="E16" s="98"/>
      <c r="F16" s="98"/>
      <c r="G16" s="65">
        <f t="shared" si="0"/>
        <v>0</v>
      </c>
      <c r="H16" s="99"/>
      <c r="I16" s="16"/>
      <c r="J16" s="16"/>
      <c r="K16" s="98"/>
      <c r="L16" s="100">
        <f t="shared" si="1"/>
        <v>0</v>
      </c>
      <c r="M16" s="99"/>
      <c r="N16" s="16"/>
      <c r="O16" s="16"/>
      <c r="P16" s="98"/>
      <c r="Q16" s="100">
        <f t="shared" si="2"/>
        <v>0</v>
      </c>
      <c r="R16" s="99"/>
      <c r="S16" s="16"/>
      <c r="T16" s="16"/>
      <c r="U16" s="98"/>
      <c r="V16" s="100">
        <f t="shared" si="3"/>
        <v>0</v>
      </c>
      <c r="W16" s="2"/>
      <c r="X16" s="2"/>
      <c r="Y16" s="2"/>
      <c r="Z16" s="2"/>
      <c r="AA16" s="2"/>
      <c r="AB16" s="2"/>
      <c r="AC16" s="2"/>
      <c r="AD16" s="2"/>
      <c r="AE16" s="2"/>
      <c r="AF16" s="2"/>
      <c r="AG16" s="2"/>
      <c r="AH16" s="2"/>
      <c r="AI16" s="2"/>
      <c r="AJ16" s="2"/>
      <c r="AS16" s="2"/>
      <c r="AT16" s="2"/>
      <c r="AU16" s="2"/>
      <c r="AV16" s="2"/>
      <c r="AW16" s="2"/>
      <c r="AX16" s="2"/>
      <c r="AY16" s="2"/>
      <c r="AZ16" s="2"/>
      <c r="BA16" s="2"/>
      <c r="BB16" s="2"/>
      <c r="BC16" s="2"/>
      <c r="BD16" s="2"/>
      <c r="BE16" s="2"/>
      <c r="BF16" s="2"/>
      <c r="BG16" s="2"/>
      <c r="BH16" s="2"/>
      <c r="BI16" s="2"/>
      <c r="BJ16" s="2"/>
      <c r="BK16" s="2"/>
      <c r="BL16" s="2"/>
      <c r="BM16" s="2"/>
      <c r="BN16" s="2"/>
      <c r="BO16" s="2"/>
      <c r="BP16" s="2"/>
      <c r="BQ16" s="2"/>
      <c r="BR16" s="2"/>
      <c r="BS16" s="2"/>
      <c r="BT16" s="2"/>
    </row>
    <row r="17" spans="1:72" s="58" customFormat="1" ht="15.6" customHeight="1">
      <c r="A17" s="11" t="s">
        <v>259</v>
      </c>
      <c r="B17" s="101" t="s">
        <v>293</v>
      </c>
      <c r="C17" s="16"/>
      <c r="D17" s="98"/>
      <c r="E17" s="98"/>
      <c r="F17" s="98"/>
      <c r="G17" s="65">
        <f t="shared" si="0"/>
        <v>0</v>
      </c>
      <c r="H17" s="99"/>
      <c r="I17" s="16"/>
      <c r="J17" s="16"/>
      <c r="K17" s="98"/>
      <c r="L17" s="100">
        <f t="shared" si="1"/>
        <v>0</v>
      </c>
      <c r="M17" s="99"/>
      <c r="N17" s="16"/>
      <c r="O17" s="16"/>
      <c r="P17" s="98"/>
      <c r="Q17" s="100">
        <f t="shared" si="2"/>
        <v>0</v>
      </c>
      <c r="R17" s="99"/>
      <c r="S17" s="16"/>
      <c r="T17" s="16"/>
      <c r="U17" s="98"/>
      <c r="V17" s="100">
        <f t="shared" si="3"/>
        <v>0</v>
      </c>
      <c r="W17" s="2"/>
      <c r="X17" s="2"/>
      <c r="Y17" s="2"/>
      <c r="Z17" s="2"/>
      <c r="AA17" s="2"/>
      <c r="AB17" s="2"/>
      <c r="AC17" s="2"/>
      <c r="AD17" s="2"/>
      <c r="AE17" s="2"/>
      <c r="AF17" s="2"/>
      <c r="AG17" s="2"/>
      <c r="AH17" s="2"/>
      <c r="AI17" s="2"/>
      <c r="AJ17" s="2"/>
      <c r="AS17" s="2"/>
      <c r="AT17" s="2"/>
      <c r="AU17" s="2"/>
      <c r="AV17" s="2"/>
      <c r="AW17" s="2"/>
      <c r="AX17" s="2"/>
      <c r="AY17" s="2"/>
      <c r="AZ17" s="2"/>
      <c r="BA17" s="2"/>
      <c r="BB17" s="2"/>
      <c r="BC17" s="2"/>
      <c r="BD17" s="2"/>
      <c r="BE17" s="2"/>
      <c r="BF17" s="2"/>
      <c r="BG17" s="2"/>
      <c r="BH17" s="2"/>
      <c r="BI17" s="2"/>
      <c r="BJ17" s="2"/>
      <c r="BK17" s="2"/>
      <c r="BL17" s="2"/>
      <c r="BM17" s="2"/>
      <c r="BN17" s="2"/>
      <c r="BO17" s="2"/>
      <c r="BP17" s="2"/>
      <c r="BQ17" s="2"/>
      <c r="BR17" s="2"/>
      <c r="BS17" s="2"/>
      <c r="BT17" s="2"/>
    </row>
    <row r="18" spans="1:72" s="58" customFormat="1" ht="15.6" customHeight="1" thickBot="1">
      <c r="A18" s="20" t="s">
        <v>260</v>
      </c>
      <c r="B18" s="102" t="s">
        <v>294</v>
      </c>
      <c r="C18" s="18"/>
      <c r="D18" s="103"/>
      <c r="E18" s="103"/>
      <c r="F18" s="104"/>
      <c r="G18" s="65">
        <f t="shared" si="0"/>
        <v>0</v>
      </c>
      <c r="H18" s="105"/>
      <c r="I18" s="106"/>
      <c r="J18" s="106"/>
      <c r="K18" s="104"/>
      <c r="L18" s="100">
        <f t="shared" si="1"/>
        <v>0</v>
      </c>
      <c r="M18" s="105"/>
      <c r="N18" s="106"/>
      <c r="O18" s="106"/>
      <c r="P18" s="104"/>
      <c r="Q18" s="107">
        <f t="shared" si="2"/>
        <v>0</v>
      </c>
      <c r="R18" s="105"/>
      <c r="S18" s="106"/>
      <c r="T18" s="106"/>
      <c r="U18" s="104"/>
      <c r="V18" s="107">
        <f t="shared" si="3"/>
        <v>0</v>
      </c>
      <c r="W18" s="2"/>
      <c r="X18" s="2"/>
      <c r="Y18" s="2"/>
      <c r="Z18" s="2"/>
      <c r="AA18" s="2"/>
      <c r="AB18" s="2"/>
      <c r="AC18" s="2"/>
      <c r="AD18" s="2"/>
      <c r="AE18" s="2"/>
      <c r="AF18" s="2"/>
      <c r="AG18" s="2"/>
      <c r="AH18" s="2"/>
      <c r="AI18" s="2"/>
      <c r="AJ18" s="2"/>
      <c r="AS18" s="2"/>
      <c r="AT18" s="2"/>
      <c r="AU18" s="2"/>
      <c r="AV18" s="2"/>
      <c r="AW18" s="2"/>
      <c r="AX18" s="2"/>
      <c r="AY18" s="2"/>
      <c r="AZ18" s="2"/>
      <c r="BA18" s="2"/>
      <c r="BB18" s="2"/>
      <c r="BC18" s="2"/>
      <c r="BD18" s="2"/>
      <c r="BE18" s="2"/>
      <c r="BF18" s="2"/>
      <c r="BG18" s="2"/>
      <c r="BH18" s="2"/>
      <c r="BI18" s="2"/>
      <c r="BJ18" s="2"/>
      <c r="BK18" s="2"/>
      <c r="BL18" s="2"/>
      <c r="BM18" s="2"/>
      <c r="BN18" s="2"/>
      <c r="BO18" s="2"/>
      <c r="BP18" s="2"/>
      <c r="BQ18" s="2"/>
      <c r="BR18" s="2"/>
      <c r="BS18" s="2"/>
      <c r="BT18" s="2"/>
    </row>
    <row r="19" spans="1:72" s="58" customFormat="1" ht="13.5" thickBot="1">
      <c r="A19" s="23" t="s">
        <v>261</v>
      </c>
      <c r="B19" s="108"/>
      <c r="C19" s="69">
        <f>SUM(C12:C18)</f>
        <v>0</v>
      </c>
      <c r="D19" s="69">
        <f t="shared" ref="D19:F19" si="4">SUM(D12:D18)</f>
        <v>0</v>
      </c>
      <c r="E19" s="68">
        <f t="shared" si="4"/>
        <v>0</v>
      </c>
      <c r="F19" s="62">
        <f t="shared" si="4"/>
        <v>0</v>
      </c>
      <c r="G19" s="69">
        <f>SUM(C19:F19)</f>
        <v>0</v>
      </c>
      <c r="H19" s="63">
        <f t="shared" ref="H19:M19" si="5">SUM(H12:H18)</f>
        <v>0</v>
      </c>
      <c r="I19" s="13">
        <f t="shared" si="5"/>
        <v>0</v>
      </c>
      <c r="J19" s="13">
        <f t="shared" si="5"/>
        <v>0</v>
      </c>
      <c r="K19" s="62">
        <f t="shared" si="5"/>
        <v>0</v>
      </c>
      <c r="L19" s="13">
        <f>SUM(H19:K19)</f>
        <v>0</v>
      </c>
      <c r="M19" s="63">
        <f t="shared" si="5"/>
        <v>0</v>
      </c>
      <c r="N19" s="13">
        <f>SUM(N12:N18)</f>
        <v>0</v>
      </c>
      <c r="O19" s="13">
        <f t="shared" ref="O19:P19" si="6">SUM(O12:O18)</f>
        <v>0</v>
      </c>
      <c r="P19" s="62">
        <f t="shared" si="6"/>
        <v>0</v>
      </c>
      <c r="Q19" s="109">
        <f>SUM(M19:P19)</f>
        <v>0</v>
      </c>
      <c r="R19" s="63">
        <f t="shared" ref="R19" si="7">SUM(R12:R18)</f>
        <v>0</v>
      </c>
      <c r="S19" s="13">
        <f>SUM(S12:S18)</f>
        <v>0</v>
      </c>
      <c r="T19" s="13">
        <f t="shared" ref="T19:U19" si="8">SUM(T12:T18)</f>
        <v>0</v>
      </c>
      <c r="U19" s="62">
        <f t="shared" si="8"/>
        <v>0</v>
      </c>
      <c r="V19" s="109">
        <f>SUM(R19:U19)</f>
        <v>0</v>
      </c>
      <c r="W19" s="2"/>
      <c r="X19" s="2"/>
      <c r="Y19" s="2"/>
      <c r="Z19" s="2"/>
      <c r="AA19" s="2"/>
      <c r="AB19" s="2"/>
      <c r="AC19" s="2"/>
      <c r="AD19" s="2"/>
      <c r="AE19" s="2"/>
      <c r="AF19" s="2"/>
      <c r="AG19" s="2"/>
      <c r="AH19" s="2"/>
      <c r="AI19" s="2"/>
      <c r="AJ19" s="2"/>
      <c r="AS19" s="2"/>
      <c r="AT19" s="2"/>
      <c r="AU19" s="2"/>
      <c r="AV19" s="2"/>
      <c r="AW19" s="2"/>
      <c r="AX19" s="2"/>
      <c r="AY19" s="2"/>
      <c r="AZ19" s="2"/>
      <c r="BA19" s="2"/>
      <c r="BB19" s="2"/>
      <c r="BC19" s="2"/>
      <c r="BD19" s="2"/>
      <c r="BE19" s="2"/>
      <c r="BF19" s="2"/>
      <c r="BG19" s="2"/>
      <c r="BH19" s="2"/>
      <c r="BI19" s="2"/>
      <c r="BJ19" s="2"/>
      <c r="BK19" s="2"/>
      <c r="BL19" s="2"/>
      <c r="BM19" s="2"/>
      <c r="BN19" s="2"/>
      <c r="BO19" s="2"/>
      <c r="BP19" s="2"/>
      <c r="BQ19" s="2"/>
      <c r="BR19" s="2"/>
      <c r="BS19" s="2"/>
      <c r="BT19" s="2"/>
    </row>
    <row r="20" spans="1:72" s="58" customFormat="1" ht="12.4" customHeight="1">
      <c r="A20" s="110"/>
      <c r="B20" s="110"/>
      <c r="C20" s="111"/>
      <c r="D20" s="111"/>
      <c r="E20" s="111"/>
      <c r="F20" s="111"/>
      <c r="G20" s="111"/>
      <c r="H20" s="111"/>
      <c r="I20" s="111"/>
      <c r="J20" s="111"/>
      <c r="K20" s="111"/>
      <c r="L20" s="111"/>
      <c r="M20" s="111"/>
      <c r="N20" s="111"/>
      <c r="O20" s="2"/>
      <c r="P20" s="2"/>
      <c r="Q20" s="2"/>
      <c r="R20" s="2"/>
      <c r="S20" s="2"/>
      <c r="T20" s="2"/>
      <c r="U20" s="2"/>
      <c r="V20" s="2"/>
      <c r="W20" s="2"/>
      <c r="X20" s="2"/>
      <c r="Y20" s="2"/>
      <c r="Z20" s="2"/>
      <c r="AA20" s="2"/>
      <c r="AB20" s="2"/>
      <c r="AC20" s="2"/>
      <c r="AD20" s="2"/>
      <c r="AE20" s="2"/>
      <c r="AF20" s="2"/>
      <c r="AG20" s="2"/>
      <c r="AH20" s="2"/>
      <c r="AI20" s="2"/>
      <c r="AJ20" s="2"/>
      <c r="AS20" s="2"/>
      <c r="AT20" s="2"/>
      <c r="AU20" s="2"/>
      <c r="AV20" s="2"/>
      <c r="AW20" s="2"/>
      <c r="AX20" s="2"/>
      <c r="AY20" s="2"/>
      <c r="AZ20" s="2"/>
      <c r="BA20" s="2"/>
      <c r="BB20" s="2"/>
      <c r="BC20" s="2"/>
      <c r="BD20" s="2"/>
      <c r="BE20" s="2"/>
      <c r="BF20" s="2"/>
      <c r="BG20" s="2"/>
      <c r="BH20" s="2"/>
      <c r="BI20" s="2"/>
      <c r="BJ20" s="2"/>
      <c r="BK20" s="2"/>
      <c r="BL20" s="2"/>
      <c r="BM20" s="2"/>
      <c r="BN20" s="2"/>
      <c r="BO20" s="2"/>
      <c r="BP20" s="2"/>
      <c r="BQ20" s="2"/>
    </row>
    <row r="21" spans="1:72" s="58" customFormat="1" ht="12.4" customHeight="1" thickBot="1">
      <c r="A21" s="110"/>
      <c r="B21" s="110"/>
      <c r="C21" s="111"/>
      <c r="D21" s="111"/>
      <c r="E21" s="111"/>
      <c r="F21" s="111"/>
      <c r="G21" s="111"/>
      <c r="H21" s="111"/>
      <c r="I21" s="111"/>
      <c r="J21" s="111"/>
      <c r="K21" s="111"/>
      <c r="L21" s="111"/>
      <c r="M21" s="111"/>
      <c r="N21" s="111"/>
      <c r="O21" s="2"/>
      <c r="P21" s="2"/>
      <c r="Q21" s="2"/>
      <c r="R21" s="2"/>
      <c r="S21" s="2"/>
      <c r="T21" s="2"/>
      <c r="U21" s="2"/>
      <c r="V21" s="2"/>
      <c r="W21" s="2"/>
      <c r="X21" s="2"/>
      <c r="Y21" s="2"/>
      <c r="Z21" s="2"/>
      <c r="AA21" s="2"/>
      <c r="AB21" s="2"/>
      <c r="AC21" s="2"/>
      <c r="AD21" s="2"/>
      <c r="AE21" s="2"/>
      <c r="AF21" s="2"/>
      <c r="AG21" s="2"/>
      <c r="AH21" s="2"/>
      <c r="AI21" s="2"/>
      <c r="AJ21" s="2"/>
      <c r="AS21" s="2"/>
      <c r="AT21" s="2"/>
      <c r="AU21" s="2"/>
      <c r="AV21" s="2"/>
      <c r="AW21" s="2"/>
      <c r="AX21" s="2"/>
      <c r="AY21" s="2"/>
      <c r="AZ21" s="2"/>
      <c r="BA21" s="2"/>
      <c r="BB21" s="2"/>
      <c r="BC21" s="2"/>
      <c r="BD21" s="2"/>
      <c r="BE21" s="2"/>
      <c r="BF21" s="2"/>
      <c r="BG21" s="2"/>
      <c r="BH21" s="2"/>
      <c r="BI21" s="2"/>
      <c r="BJ21" s="2"/>
      <c r="BK21" s="2"/>
      <c r="BL21" s="2"/>
      <c r="BM21" s="2"/>
      <c r="BN21" s="2"/>
      <c r="BO21" s="2"/>
      <c r="BP21" s="2"/>
      <c r="BQ21" s="2"/>
    </row>
    <row r="22" spans="1:72" s="58" customFormat="1" ht="28.5" customHeight="1" thickBot="1">
      <c r="A22" s="110"/>
      <c r="B22" s="110"/>
      <c r="C22" s="333" t="s">
        <v>295</v>
      </c>
      <c r="D22" s="333"/>
      <c r="E22" s="333"/>
      <c r="F22" s="333"/>
      <c r="G22" s="333"/>
      <c r="H22" s="333" t="s">
        <v>296</v>
      </c>
      <c r="I22" s="333"/>
      <c r="J22" s="333"/>
      <c r="K22" s="333"/>
      <c r="L22" s="333"/>
      <c r="M22" s="329" t="s">
        <v>297</v>
      </c>
      <c r="N22" s="330"/>
      <c r="O22" s="330"/>
      <c r="P22" s="330"/>
      <c r="Q22" s="331"/>
      <c r="S22" s="52"/>
      <c r="T22" s="52"/>
      <c r="U22" s="52"/>
      <c r="V22" s="52"/>
      <c r="W22" s="52"/>
      <c r="X22" s="52"/>
      <c r="Y22" s="52"/>
      <c r="Z22" s="52"/>
      <c r="AA22" s="52"/>
      <c r="AB22" s="52"/>
      <c r="AC22" s="52"/>
      <c r="AD22" s="52"/>
      <c r="AE22" s="52"/>
      <c r="AF22" s="52"/>
      <c r="AG22" s="52"/>
      <c r="AH22" s="52"/>
      <c r="AI22" s="52"/>
      <c r="AJ22" s="52"/>
      <c r="AS22" s="52"/>
      <c r="AT22" s="52"/>
      <c r="AU22" s="52"/>
      <c r="AV22" s="52"/>
      <c r="AW22" s="52"/>
    </row>
    <row r="23" spans="1:72" s="58" customFormat="1" ht="20.100000000000001" customHeight="1" thickBot="1">
      <c r="A23" s="110"/>
      <c r="B23" s="87"/>
      <c r="C23" s="88" t="s">
        <v>275</v>
      </c>
      <c r="D23" s="88" t="s">
        <v>276</v>
      </c>
      <c r="E23" s="88" t="s">
        <v>277</v>
      </c>
      <c r="F23" s="89" t="s">
        <v>278</v>
      </c>
      <c r="G23" s="90" t="s">
        <v>261</v>
      </c>
      <c r="H23" s="91" t="s">
        <v>275</v>
      </c>
      <c r="I23" s="88" t="s">
        <v>276</v>
      </c>
      <c r="J23" s="88" t="s">
        <v>277</v>
      </c>
      <c r="K23" s="89" t="s">
        <v>278</v>
      </c>
      <c r="L23" s="90" t="s">
        <v>261</v>
      </c>
      <c r="M23" s="91" t="s">
        <v>275</v>
      </c>
      <c r="N23" s="88" t="s">
        <v>276</v>
      </c>
      <c r="O23" s="88" t="s">
        <v>277</v>
      </c>
      <c r="P23" s="89" t="s">
        <v>278</v>
      </c>
      <c r="Q23" s="90" t="s">
        <v>261</v>
      </c>
      <c r="R23" s="52"/>
      <c r="S23" s="112" t="s">
        <v>298</v>
      </c>
      <c r="V23" s="52"/>
      <c r="W23" s="52"/>
      <c r="X23" s="52"/>
      <c r="Y23" s="52"/>
      <c r="Z23" s="2"/>
      <c r="AH23" s="52"/>
      <c r="AI23" s="52"/>
      <c r="AJ23" s="52"/>
      <c r="AS23" s="52"/>
      <c r="AT23" s="52"/>
      <c r="AU23" s="52"/>
      <c r="AV23" s="52"/>
      <c r="AW23" s="52"/>
      <c r="AX23" s="52"/>
      <c r="AY23" s="52"/>
    </row>
    <row r="24" spans="1:72" s="58" customFormat="1" ht="12.75" hidden="1" customHeight="1">
      <c r="A24" s="110"/>
      <c r="B24" s="93"/>
      <c r="C24" s="94" t="s">
        <v>299</v>
      </c>
      <c r="D24" s="94" t="s">
        <v>300</v>
      </c>
      <c r="E24" s="94" t="s">
        <v>300</v>
      </c>
      <c r="F24" s="94"/>
      <c r="G24" s="95"/>
      <c r="H24" s="94" t="s">
        <v>301</v>
      </c>
      <c r="I24" s="94" t="s">
        <v>302</v>
      </c>
      <c r="J24" s="94" t="s">
        <v>302</v>
      </c>
      <c r="K24" s="94"/>
      <c r="L24" s="95"/>
      <c r="M24" s="94"/>
      <c r="N24" s="94"/>
      <c r="O24" s="94"/>
      <c r="P24" s="94"/>
      <c r="Q24" s="95"/>
      <c r="Z24" s="34"/>
    </row>
    <row r="25" spans="1:72" s="58" customFormat="1" ht="12.75" customHeight="1">
      <c r="A25" s="10" t="s">
        <v>254</v>
      </c>
      <c r="B25" s="97" t="s">
        <v>287</v>
      </c>
      <c r="C25" s="16"/>
      <c r="D25" s="16"/>
      <c r="E25" s="16"/>
      <c r="F25" s="98"/>
      <c r="G25" s="67">
        <f t="shared" ref="G25:G30" si="9">SUM(C25:F25)</f>
        <v>0</v>
      </c>
      <c r="H25" s="99"/>
      <c r="I25" s="16"/>
      <c r="J25" s="16"/>
      <c r="K25" s="98"/>
      <c r="L25" s="67">
        <f t="shared" ref="L25:L31" si="10">SUM(H25:K25)</f>
        <v>0</v>
      </c>
      <c r="M25" s="99"/>
      <c r="N25" s="16"/>
      <c r="O25" s="16"/>
      <c r="P25" s="98"/>
      <c r="Q25" s="67">
        <f t="shared" ref="Q25:Q31" si="11">SUM(M25:P25)</f>
        <v>0</v>
      </c>
      <c r="R25" s="113"/>
      <c r="S25" s="334" t="s">
        <v>303</v>
      </c>
      <c r="T25" s="334"/>
      <c r="U25" s="334"/>
      <c r="V25" s="113">
        <f>SUM($G$19+$L$19+$Q$19+$V$19+$G$32+$L$32+$Q$32)</f>
        <v>0</v>
      </c>
      <c r="Z25" s="34"/>
    </row>
    <row r="26" spans="1:72" s="58" customFormat="1" ht="12.75" customHeight="1">
      <c r="A26" s="11" t="s">
        <v>288</v>
      </c>
      <c r="B26" s="101" t="s">
        <v>289</v>
      </c>
      <c r="C26" s="16"/>
      <c r="D26" s="16"/>
      <c r="E26" s="16"/>
      <c r="F26" s="98"/>
      <c r="G26" s="67">
        <f t="shared" si="9"/>
        <v>0</v>
      </c>
      <c r="H26" s="99"/>
      <c r="I26" s="16"/>
      <c r="J26" s="16"/>
      <c r="K26" s="98"/>
      <c r="L26" s="67">
        <f t="shared" si="10"/>
        <v>0</v>
      </c>
      <c r="M26" s="99"/>
      <c r="N26" s="16"/>
      <c r="O26" s="16"/>
      <c r="P26" s="98"/>
      <c r="Q26" s="67">
        <f t="shared" si="11"/>
        <v>0</v>
      </c>
      <c r="R26" s="113"/>
      <c r="S26" s="334" t="s">
        <v>304</v>
      </c>
      <c r="T26" s="334"/>
      <c r="U26" s="334"/>
      <c r="V26" s="113">
        <f>SUM(C44+I44+C56+I56+M56+P56)</f>
        <v>0</v>
      </c>
      <c r="Z26" s="44"/>
    </row>
    <row r="27" spans="1:72" s="58" customFormat="1" ht="12.75" customHeight="1">
      <c r="A27" s="11" t="s">
        <v>256</v>
      </c>
      <c r="B27" s="101" t="s">
        <v>290</v>
      </c>
      <c r="C27" s="16"/>
      <c r="D27" s="16"/>
      <c r="E27" s="16"/>
      <c r="F27" s="98"/>
      <c r="G27" s="67">
        <f t="shared" si="9"/>
        <v>0</v>
      </c>
      <c r="H27" s="99"/>
      <c r="I27" s="16"/>
      <c r="J27" s="16"/>
      <c r="K27" s="98"/>
      <c r="L27" s="67">
        <f t="shared" si="10"/>
        <v>0</v>
      </c>
      <c r="M27" s="99"/>
      <c r="N27" s="16"/>
      <c r="O27" s="16"/>
      <c r="P27" s="98"/>
      <c r="Q27" s="67">
        <f t="shared" si="11"/>
        <v>0</v>
      </c>
      <c r="R27" s="113"/>
      <c r="S27" s="334" t="s">
        <v>305</v>
      </c>
      <c r="T27" s="334"/>
      <c r="U27" s="334"/>
      <c r="V27" s="113">
        <f>SUM($O$69:$S$69)</f>
        <v>0</v>
      </c>
      <c r="Z27" s="2"/>
    </row>
    <row r="28" spans="1:72" s="58" customFormat="1" ht="12.75" customHeight="1">
      <c r="A28" s="11" t="s">
        <v>257</v>
      </c>
      <c r="B28" s="101" t="s">
        <v>291</v>
      </c>
      <c r="C28" s="16"/>
      <c r="D28" s="16"/>
      <c r="E28" s="16"/>
      <c r="F28" s="98"/>
      <c r="G28" s="67">
        <f t="shared" si="9"/>
        <v>0</v>
      </c>
      <c r="H28" s="99"/>
      <c r="I28" s="16"/>
      <c r="J28" s="16"/>
      <c r="K28" s="98"/>
      <c r="L28" s="67">
        <f t="shared" si="10"/>
        <v>0</v>
      </c>
      <c r="M28" s="99"/>
      <c r="N28" s="16"/>
      <c r="O28" s="16"/>
      <c r="P28" s="98"/>
      <c r="Q28" s="67">
        <f t="shared" si="11"/>
        <v>0</v>
      </c>
      <c r="R28" s="113"/>
      <c r="S28" s="334" t="s">
        <v>306</v>
      </c>
      <c r="T28" s="334"/>
      <c r="U28" s="334"/>
      <c r="V28" s="113">
        <f>SUM($C$69:$E$69)</f>
        <v>0</v>
      </c>
      <c r="Z28" s="2"/>
    </row>
    <row r="29" spans="1:72" s="58" customFormat="1" ht="12.75" customHeight="1">
      <c r="A29" s="11" t="s">
        <v>258</v>
      </c>
      <c r="B29" s="101" t="s">
        <v>292</v>
      </c>
      <c r="C29" s="16"/>
      <c r="D29" s="16"/>
      <c r="E29" s="16"/>
      <c r="F29" s="98"/>
      <c r="G29" s="67">
        <f t="shared" si="9"/>
        <v>0</v>
      </c>
      <c r="H29" s="99"/>
      <c r="I29" s="16"/>
      <c r="J29" s="16"/>
      <c r="K29" s="98"/>
      <c r="L29" s="67">
        <f t="shared" si="10"/>
        <v>0</v>
      </c>
      <c r="M29" s="99"/>
      <c r="N29" s="16"/>
      <c r="O29" s="16"/>
      <c r="P29" s="98"/>
      <c r="Q29" s="67">
        <f t="shared" si="11"/>
        <v>0</v>
      </c>
      <c r="R29" s="113"/>
      <c r="S29" s="334" t="s">
        <v>307</v>
      </c>
      <c r="T29" s="334"/>
      <c r="U29" s="334"/>
      <c r="V29" s="113">
        <f>SUM($F$69:$N$69)</f>
        <v>0</v>
      </c>
      <c r="Z29" s="2"/>
    </row>
    <row r="30" spans="1:72" s="58" customFormat="1" ht="12.75" customHeight="1">
      <c r="A30" s="11" t="s">
        <v>259</v>
      </c>
      <c r="B30" s="101" t="s">
        <v>293</v>
      </c>
      <c r="C30" s="16"/>
      <c r="D30" s="16"/>
      <c r="E30" s="16"/>
      <c r="F30" s="98"/>
      <c r="G30" s="67">
        <f t="shared" si="9"/>
        <v>0</v>
      </c>
      <c r="H30" s="99"/>
      <c r="I30" s="16"/>
      <c r="J30" s="16"/>
      <c r="K30" s="98"/>
      <c r="L30" s="67">
        <f t="shared" si="10"/>
        <v>0</v>
      </c>
      <c r="M30" s="99"/>
      <c r="N30" s="16"/>
      <c r="O30" s="16"/>
      <c r="P30" s="98"/>
      <c r="Q30" s="67">
        <f t="shared" si="11"/>
        <v>0</v>
      </c>
      <c r="R30" s="113"/>
      <c r="V30" s="113"/>
      <c r="Z30" s="2"/>
    </row>
    <row r="31" spans="1:72" s="58" customFormat="1" ht="12.75" customHeight="1" thickBot="1">
      <c r="A31" s="20" t="s">
        <v>260</v>
      </c>
      <c r="B31" s="102" t="s">
        <v>294</v>
      </c>
      <c r="C31" s="18"/>
      <c r="D31" s="18"/>
      <c r="E31" s="18"/>
      <c r="F31" s="104"/>
      <c r="G31" s="67">
        <f>SUM(C31:F31)</f>
        <v>0</v>
      </c>
      <c r="H31" s="114"/>
      <c r="I31" s="18"/>
      <c r="J31" s="18"/>
      <c r="K31" s="104"/>
      <c r="L31" s="66">
        <f t="shared" si="10"/>
        <v>0</v>
      </c>
      <c r="M31" s="114"/>
      <c r="N31" s="18"/>
      <c r="O31" s="18"/>
      <c r="P31" s="104"/>
      <c r="Q31" s="66">
        <f t="shared" si="11"/>
        <v>0</v>
      </c>
      <c r="R31" s="113"/>
      <c r="S31" s="58" t="s">
        <v>308</v>
      </c>
      <c r="V31" s="115" t="str">
        <f>IF(AND(V25=V26, V25=V27, V25=V28, V25=V29), "Yes", "No")</f>
        <v>Yes</v>
      </c>
      <c r="Z31" s="2"/>
    </row>
    <row r="32" spans="1:72" s="58" customFormat="1" ht="12.75" customHeight="1" thickBot="1">
      <c r="A32" s="23" t="s">
        <v>261</v>
      </c>
      <c r="B32" s="108"/>
      <c r="C32" s="69">
        <f>SUM(C25:C31)</f>
        <v>0</v>
      </c>
      <c r="D32" s="69">
        <f>SUM(D25:D31)</f>
        <v>0</v>
      </c>
      <c r="E32" s="69">
        <f t="shared" ref="E32:F32" si="12">SUM(E25:E31)</f>
        <v>0</v>
      </c>
      <c r="F32" s="62">
        <f t="shared" si="12"/>
        <v>0</v>
      </c>
      <c r="G32" s="116">
        <f>SUM(C32:F32)</f>
        <v>0</v>
      </c>
      <c r="H32" s="117">
        <f>SUM(H25:H31)</f>
        <v>0</v>
      </c>
      <c r="I32" s="69">
        <f>SUM(I25:I31)</f>
        <v>0</v>
      </c>
      <c r="J32" s="69">
        <f t="shared" ref="J32:P32" si="13">SUM(J25:J31)</f>
        <v>0</v>
      </c>
      <c r="K32" s="62">
        <f t="shared" si="13"/>
        <v>0</v>
      </c>
      <c r="L32" s="109">
        <f>SUM(H32:K32)</f>
        <v>0</v>
      </c>
      <c r="M32" s="117">
        <f t="shared" si="13"/>
        <v>0</v>
      </c>
      <c r="N32" s="69">
        <f t="shared" si="13"/>
        <v>0</v>
      </c>
      <c r="O32" s="69">
        <f t="shared" si="13"/>
        <v>0</v>
      </c>
      <c r="P32" s="62">
        <f t="shared" si="13"/>
        <v>0</v>
      </c>
      <c r="Q32" s="109">
        <f>SUM(M32:P32)</f>
        <v>0</v>
      </c>
      <c r="T32" s="44"/>
      <c r="U32" s="44"/>
      <c r="Z32" s="2"/>
    </row>
    <row r="33" spans="1:26" s="58" customFormat="1" ht="12.75" customHeight="1">
      <c r="A33" s="110"/>
      <c r="B33" s="110"/>
      <c r="C33" s="111"/>
      <c r="D33" s="111"/>
      <c r="E33" s="111"/>
      <c r="F33" s="111"/>
      <c r="G33" s="111"/>
      <c r="H33" s="111"/>
      <c r="I33" s="111"/>
      <c r="J33" s="111"/>
      <c r="K33" s="111"/>
      <c r="L33" s="111"/>
      <c r="M33" s="111"/>
      <c r="N33" s="111"/>
      <c r="O33" s="111"/>
      <c r="P33" s="111"/>
      <c r="Q33" s="111"/>
      <c r="S33" s="335" t="s">
        <v>309</v>
      </c>
      <c r="T33" s="335"/>
      <c r="U33" s="335"/>
      <c r="V33" s="335"/>
      <c r="Z33" s="2"/>
    </row>
    <row r="34" spans="1:26" s="58" customFormat="1" ht="12.75" customHeight="1" thickBot="1">
      <c r="A34" s="110"/>
      <c r="B34" s="110"/>
      <c r="C34" s="111"/>
      <c r="D34" s="111"/>
      <c r="E34" s="111"/>
      <c r="F34" s="111"/>
      <c r="G34" s="111"/>
      <c r="H34" s="111"/>
      <c r="I34" s="111"/>
      <c r="J34" s="111"/>
      <c r="K34" s="111"/>
      <c r="L34" s="111"/>
      <c r="M34" s="111"/>
      <c r="N34" s="111"/>
      <c r="O34" s="111"/>
      <c r="P34" s="111"/>
      <c r="Q34" s="111"/>
      <c r="R34" s="118"/>
      <c r="S34" s="335"/>
      <c r="T34" s="335"/>
      <c r="U34" s="335"/>
      <c r="V34" s="335"/>
      <c r="Z34" s="2"/>
    </row>
    <row r="35" spans="1:26" s="58" customFormat="1" ht="18.399999999999999" customHeight="1" thickBot="1">
      <c r="A35" s="336" t="s">
        <v>310</v>
      </c>
      <c r="B35" s="337"/>
      <c r="C35" s="337"/>
      <c r="D35" s="337"/>
      <c r="E35" s="337"/>
      <c r="F35" s="337"/>
      <c r="G35" s="337"/>
      <c r="H35" s="337"/>
      <c r="I35" s="337"/>
      <c r="J35" s="337"/>
      <c r="K35" s="337"/>
      <c r="L35" s="337"/>
      <c r="M35" s="338"/>
      <c r="O35" s="111"/>
      <c r="P35" s="118"/>
      <c r="Q35" s="118"/>
      <c r="R35" s="118"/>
      <c r="S35" s="335"/>
      <c r="T35" s="335"/>
      <c r="U35" s="335"/>
      <c r="V35" s="335"/>
      <c r="Z35" s="2"/>
    </row>
    <row r="36" spans="1:26" s="58" customFormat="1" ht="67.900000000000006" customHeight="1" thickBot="1">
      <c r="A36" s="85"/>
      <c r="B36" s="119"/>
      <c r="C36" s="120" t="s">
        <v>311</v>
      </c>
      <c r="D36" s="88" t="s">
        <v>312</v>
      </c>
      <c r="E36" s="88" t="s">
        <v>313</v>
      </c>
      <c r="F36" s="88" t="s">
        <v>314</v>
      </c>
      <c r="G36" s="88" t="s">
        <v>315</v>
      </c>
      <c r="H36" s="88" t="s">
        <v>316</v>
      </c>
      <c r="I36" s="120" t="s">
        <v>317</v>
      </c>
      <c r="J36" s="88" t="s">
        <v>318</v>
      </c>
      <c r="K36" s="88" t="s">
        <v>319</v>
      </c>
      <c r="L36" s="88" t="s">
        <v>320</v>
      </c>
      <c r="M36" s="88" t="s">
        <v>321</v>
      </c>
      <c r="O36" s="111"/>
      <c r="S36" s="339"/>
      <c r="T36" s="340"/>
      <c r="U36" s="340"/>
      <c r="V36" s="341"/>
      <c r="Z36" s="2"/>
    </row>
    <row r="37" spans="1:26" s="58" customFormat="1" ht="15.4" customHeight="1">
      <c r="A37" s="121" t="s">
        <v>254</v>
      </c>
      <c r="B37" s="97" t="s">
        <v>287</v>
      </c>
      <c r="C37" s="123">
        <f>SUM(D37:H37)</f>
        <v>0</v>
      </c>
      <c r="D37" s="16"/>
      <c r="E37" s="16"/>
      <c r="F37" s="16"/>
      <c r="G37" s="16"/>
      <c r="H37" s="16"/>
      <c r="I37" s="123">
        <f t="shared" ref="I37:I43" si="14">SUM(J37:M37)</f>
        <v>0</v>
      </c>
      <c r="J37" s="16"/>
      <c r="K37" s="16"/>
      <c r="L37" s="16"/>
      <c r="M37" s="16"/>
      <c r="O37" s="111"/>
      <c r="S37" s="342"/>
      <c r="T37" s="343"/>
      <c r="U37" s="343"/>
      <c r="V37" s="344"/>
      <c r="Z37" s="2"/>
    </row>
    <row r="38" spans="1:26" s="58" customFormat="1" ht="12.4" customHeight="1">
      <c r="A38" s="121" t="s">
        <v>288</v>
      </c>
      <c r="B38" s="101" t="s">
        <v>289</v>
      </c>
      <c r="C38" s="67">
        <f t="shared" ref="C38:C43" si="15">SUM(D38:H38)</f>
        <v>0</v>
      </c>
      <c r="D38" s="16"/>
      <c r="E38" s="16"/>
      <c r="F38" s="16"/>
      <c r="G38" s="16"/>
      <c r="H38" s="16"/>
      <c r="I38" s="67">
        <f t="shared" si="14"/>
        <v>0</v>
      </c>
      <c r="J38" s="16"/>
      <c r="K38" s="16"/>
      <c r="L38" s="16"/>
      <c r="M38" s="16"/>
      <c r="O38" s="111"/>
      <c r="S38" s="342"/>
      <c r="T38" s="343"/>
      <c r="U38" s="343"/>
      <c r="V38" s="344"/>
      <c r="Z38" s="52"/>
    </row>
    <row r="39" spans="1:26" s="58" customFormat="1" ht="12.75" customHeight="1">
      <c r="A39" s="121" t="s">
        <v>256</v>
      </c>
      <c r="B39" s="101" t="s">
        <v>290</v>
      </c>
      <c r="C39" s="67">
        <f t="shared" si="15"/>
        <v>0</v>
      </c>
      <c r="D39" s="16"/>
      <c r="E39" s="16"/>
      <c r="F39" s="16"/>
      <c r="G39" s="16"/>
      <c r="H39" s="16"/>
      <c r="I39" s="67">
        <f t="shared" si="14"/>
        <v>0</v>
      </c>
      <c r="J39" s="16"/>
      <c r="K39" s="16"/>
      <c r="L39" s="16"/>
      <c r="M39" s="16"/>
      <c r="O39" s="111"/>
      <c r="S39" s="345"/>
      <c r="T39" s="346"/>
      <c r="U39" s="346"/>
      <c r="V39" s="347"/>
      <c r="Z39" s="52"/>
    </row>
    <row r="40" spans="1:26" s="58" customFormat="1" ht="12.75" customHeight="1">
      <c r="A40" s="121" t="s">
        <v>257</v>
      </c>
      <c r="B40" s="101" t="s">
        <v>291</v>
      </c>
      <c r="C40" s="67">
        <f t="shared" si="15"/>
        <v>0</v>
      </c>
      <c r="D40" s="16"/>
      <c r="E40" s="16"/>
      <c r="F40" s="16"/>
      <c r="G40" s="16"/>
      <c r="H40" s="16"/>
      <c r="I40" s="67">
        <f t="shared" si="14"/>
        <v>0</v>
      </c>
      <c r="J40" s="16"/>
      <c r="K40" s="16"/>
      <c r="L40" s="16"/>
      <c r="M40" s="16"/>
      <c r="O40" s="111"/>
    </row>
    <row r="41" spans="1:26" s="58" customFormat="1" ht="12.75" customHeight="1">
      <c r="A41" s="121" t="s">
        <v>258</v>
      </c>
      <c r="B41" s="101" t="s">
        <v>292</v>
      </c>
      <c r="C41" s="67">
        <f t="shared" si="15"/>
        <v>0</v>
      </c>
      <c r="D41" s="16"/>
      <c r="E41" s="16"/>
      <c r="F41" s="16"/>
      <c r="G41" s="16"/>
      <c r="H41" s="16"/>
      <c r="I41" s="67">
        <f t="shared" si="14"/>
        <v>0</v>
      </c>
      <c r="J41" s="16"/>
      <c r="K41" s="16"/>
      <c r="L41" s="16"/>
      <c r="M41" s="16"/>
      <c r="O41" s="111"/>
    </row>
    <row r="42" spans="1:26" s="58" customFormat="1" ht="12.75" customHeight="1">
      <c r="A42" s="121" t="s">
        <v>259</v>
      </c>
      <c r="B42" s="101" t="s">
        <v>293</v>
      </c>
      <c r="C42" s="67">
        <f t="shared" si="15"/>
        <v>0</v>
      </c>
      <c r="D42" s="16"/>
      <c r="E42" s="16"/>
      <c r="F42" s="16"/>
      <c r="G42" s="16"/>
      <c r="H42" s="16"/>
      <c r="I42" s="67">
        <f t="shared" si="14"/>
        <v>0</v>
      </c>
      <c r="J42" s="16"/>
      <c r="K42" s="16"/>
      <c r="L42" s="16"/>
      <c r="M42" s="16"/>
      <c r="O42" s="111"/>
      <c r="P42" s="113"/>
    </row>
    <row r="43" spans="1:26" s="58" customFormat="1" ht="12.75" customHeight="1" thickBot="1">
      <c r="A43" s="121" t="s">
        <v>260</v>
      </c>
      <c r="B43" s="102" t="s">
        <v>294</v>
      </c>
      <c r="C43" s="124">
        <f t="shared" si="15"/>
        <v>0</v>
      </c>
      <c r="D43" s="16"/>
      <c r="E43" s="16"/>
      <c r="F43" s="16"/>
      <c r="G43" s="16"/>
      <c r="H43" s="16"/>
      <c r="I43" s="124">
        <f t="shared" si="14"/>
        <v>0</v>
      </c>
      <c r="J43" s="16"/>
      <c r="K43" s="16"/>
      <c r="L43" s="16"/>
      <c r="M43" s="16"/>
      <c r="O43" s="111"/>
      <c r="P43" s="113"/>
      <c r="S43" s="224"/>
    </row>
    <row r="44" spans="1:26" s="58" customFormat="1" ht="12.75" customHeight="1" thickBot="1">
      <c r="A44" s="125" t="s">
        <v>261</v>
      </c>
      <c r="B44" s="108"/>
      <c r="C44" s="109">
        <f>SUM(C37:C43)</f>
        <v>0</v>
      </c>
      <c r="D44" s="265">
        <f>SUM(D37:D43)</f>
        <v>0</v>
      </c>
      <c r="E44" s="265">
        <f t="shared" ref="E44:H44" si="16">SUM(E37:E43)</f>
        <v>0</v>
      </c>
      <c r="F44" s="265">
        <f t="shared" si="16"/>
        <v>0</v>
      </c>
      <c r="G44" s="265">
        <f t="shared" si="16"/>
        <v>0</v>
      </c>
      <c r="H44" s="265">
        <f t="shared" si="16"/>
        <v>0</v>
      </c>
      <c r="I44" s="13">
        <f>SUM(I37:I43)</f>
        <v>0</v>
      </c>
      <c r="J44" s="265">
        <f>SUM(J37:J43)</f>
        <v>0</v>
      </c>
      <c r="K44" s="265">
        <f t="shared" ref="K44:M44" si="17">SUM(K37:K43)</f>
        <v>0</v>
      </c>
      <c r="L44" s="265">
        <f t="shared" si="17"/>
        <v>0</v>
      </c>
      <c r="M44" s="265">
        <f t="shared" si="17"/>
        <v>0</v>
      </c>
      <c r="O44" s="111"/>
      <c r="V44" s="44"/>
      <c r="W44" s="44"/>
    </row>
    <row r="45" spans="1:26" s="58" customFormat="1" ht="12.75" customHeight="1">
      <c r="A45" s="129"/>
      <c r="B45" s="129"/>
      <c r="C45" s="129"/>
      <c r="D45" s="129"/>
      <c r="E45" s="129"/>
      <c r="F45" s="129"/>
      <c r="G45" s="129"/>
      <c r="H45" s="129"/>
      <c r="I45" s="129"/>
      <c r="J45" s="129"/>
      <c r="K45" s="129"/>
      <c r="L45" s="129"/>
      <c r="O45" s="111"/>
      <c r="V45" s="113"/>
      <c r="W45" s="113"/>
      <c r="X45" s="130"/>
      <c r="Y45" s="131"/>
    </row>
    <row r="46" spans="1:26" ht="21.4" customHeight="1" thickBot="1">
      <c r="A46" s="2"/>
      <c r="S46" s="58"/>
      <c r="T46" s="58"/>
      <c r="U46" s="58"/>
      <c r="V46" s="113"/>
      <c r="W46" s="113"/>
      <c r="X46" s="130"/>
      <c r="Y46" s="131"/>
      <c r="Z46" s="58"/>
    </row>
    <row r="47" spans="1:26" ht="21.4" customHeight="1" thickBot="1">
      <c r="A47" s="336" t="s">
        <v>310</v>
      </c>
      <c r="B47" s="337"/>
      <c r="C47" s="337"/>
      <c r="D47" s="337"/>
      <c r="E47" s="337"/>
      <c r="F47" s="337"/>
      <c r="G47" s="337"/>
      <c r="H47" s="337"/>
      <c r="I47" s="337"/>
      <c r="J47" s="337"/>
      <c r="K47" s="337"/>
      <c r="L47" s="337"/>
      <c r="M47" s="337"/>
      <c r="N47" s="337"/>
      <c r="O47" s="337"/>
      <c r="P47" s="338"/>
      <c r="S47" s="332"/>
      <c r="T47" s="332"/>
      <c r="U47" s="332"/>
      <c r="V47" s="113"/>
      <c r="W47" s="113"/>
      <c r="X47" s="132"/>
      <c r="Y47" s="131"/>
      <c r="Z47" s="58"/>
    </row>
    <row r="48" spans="1:26" ht="52.9" customHeight="1" thickBot="1">
      <c r="A48" s="85"/>
      <c r="B48" s="133"/>
      <c r="C48" s="134" t="s">
        <v>322</v>
      </c>
      <c r="D48" s="261" t="s">
        <v>323</v>
      </c>
      <c r="E48" s="261" t="s">
        <v>324</v>
      </c>
      <c r="F48" s="261" t="s">
        <v>325</v>
      </c>
      <c r="G48" s="262" t="s">
        <v>326</v>
      </c>
      <c r="H48" s="262" t="s">
        <v>327</v>
      </c>
      <c r="I48" s="134" t="s">
        <v>328</v>
      </c>
      <c r="J48" s="88" t="s">
        <v>329</v>
      </c>
      <c r="K48" s="88" t="s">
        <v>330</v>
      </c>
      <c r="L48" s="88" t="s">
        <v>331</v>
      </c>
      <c r="M48" s="134" t="s">
        <v>332</v>
      </c>
      <c r="N48" s="88" t="s">
        <v>333</v>
      </c>
      <c r="O48" s="88" t="s">
        <v>334</v>
      </c>
      <c r="P48" s="134" t="s">
        <v>335</v>
      </c>
      <c r="S48" s="332"/>
      <c r="T48" s="332"/>
      <c r="U48" s="332"/>
      <c r="V48" s="115"/>
      <c r="W48" s="115"/>
      <c r="X48" s="130"/>
      <c r="Y48" s="131"/>
      <c r="Z48" s="58"/>
    </row>
    <row r="49" spans="1:25" s="58" customFormat="1" ht="12.75" customHeight="1">
      <c r="A49" s="121" t="s">
        <v>254</v>
      </c>
      <c r="B49" s="97" t="s">
        <v>287</v>
      </c>
      <c r="C49" s="264">
        <f>SUM(D49:H49)</f>
        <v>0</v>
      </c>
      <c r="D49" s="16"/>
      <c r="E49" s="16"/>
      <c r="F49" s="16"/>
      <c r="G49" s="16"/>
      <c r="H49" s="16"/>
      <c r="I49" s="61">
        <f>SUM(J49:L49)</f>
        <v>0</v>
      </c>
      <c r="J49" s="16"/>
      <c r="K49" s="16"/>
      <c r="L49" s="16"/>
      <c r="M49" s="123">
        <f>SUM(N49:O49)</f>
        <v>0</v>
      </c>
      <c r="N49" s="16"/>
      <c r="O49" s="16"/>
      <c r="P49" s="16"/>
      <c r="S49" s="44"/>
      <c r="T49" s="44"/>
      <c r="U49" s="44"/>
      <c r="V49" s="44"/>
    </row>
    <row r="50" spans="1:25" s="58" customFormat="1" ht="12.75" customHeight="1">
      <c r="A50" s="121" t="s">
        <v>288</v>
      </c>
      <c r="B50" s="101" t="s">
        <v>289</v>
      </c>
      <c r="C50" s="258">
        <f t="shared" ref="C50:C55" si="18">SUM(D50:H50)</f>
        <v>0</v>
      </c>
      <c r="D50" s="16"/>
      <c r="E50" s="16"/>
      <c r="F50" s="16"/>
      <c r="G50" s="16"/>
      <c r="H50" s="16"/>
      <c r="I50" s="64">
        <f t="shared" ref="I50:I55" si="19">SUM(J50:L50)</f>
        <v>0</v>
      </c>
      <c r="J50" s="16"/>
      <c r="K50" s="16"/>
      <c r="L50" s="16"/>
      <c r="M50" s="67">
        <f t="shared" ref="M50:M55" si="20">SUM(N50:O50)</f>
        <v>0</v>
      </c>
      <c r="N50" s="16"/>
      <c r="O50" s="16"/>
      <c r="P50" s="16"/>
      <c r="S50" s="348"/>
      <c r="T50" s="348"/>
      <c r="U50" s="348"/>
      <c r="V50" s="348"/>
      <c r="W50" s="348"/>
      <c r="X50" s="348"/>
      <c r="Y50" s="135"/>
    </row>
    <row r="51" spans="1:25" s="58" customFormat="1" ht="12.75" customHeight="1">
      <c r="A51" s="121" t="s">
        <v>256</v>
      </c>
      <c r="B51" s="101" t="s">
        <v>290</v>
      </c>
      <c r="C51" s="258">
        <f t="shared" si="18"/>
        <v>0</v>
      </c>
      <c r="D51" s="16"/>
      <c r="E51" s="16"/>
      <c r="F51" s="16"/>
      <c r="G51" s="16"/>
      <c r="H51" s="16"/>
      <c r="I51" s="64">
        <f t="shared" si="19"/>
        <v>0</v>
      </c>
      <c r="J51" s="16"/>
      <c r="K51" s="16"/>
      <c r="L51" s="16"/>
      <c r="M51" s="67">
        <f t="shared" si="20"/>
        <v>0</v>
      </c>
      <c r="N51" s="16"/>
      <c r="O51" s="16"/>
      <c r="P51" s="16"/>
      <c r="S51" s="348"/>
      <c r="T51" s="348"/>
      <c r="U51" s="348"/>
      <c r="V51" s="348"/>
      <c r="W51" s="348"/>
      <c r="X51" s="348"/>
      <c r="Y51" s="135"/>
    </row>
    <row r="52" spans="1:25" s="58" customFormat="1" ht="12.75" customHeight="1">
      <c r="A52" s="121" t="s">
        <v>257</v>
      </c>
      <c r="B52" s="101" t="s">
        <v>291</v>
      </c>
      <c r="C52" s="258">
        <f t="shared" si="18"/>
        <v>0</v>
      </c>
      <c r="D52" s="16"/>
      <c r="E52" s="16"/>
      <c r="F52" s="16"/>
      <c r="G52" s="16"/>
      <c r="H52" s="16"/>
      <c r="I52" s="64">
        <f t="shared" si="19"/>
        <v>0</v>
      </c>
      <c r="J52" s="16"/>
      <c r="K52" s="16"/>
      <c r="L52" s="16"/>
      <c r="M52" s="67">
        <f t="shared" si="20"/>
        <v>0</v>
      </c>
      <c r="N52" s="16"/>
      <c r="O52" s="16"/>
      <c r="P52" s="16"/>
      <c r="S52" s="348"/>
      <c r="T52" s="348"/>
      <c r="U52" s="348"/>
      <c r="V52" s="348"/>
      <c r="W52" s="348"/>
      <c r="X52" s="348"/>
      <c r="Y52" s="135"/>
    </row>
    <row r="53" spans="1:25" s="58" customFormat="1" ht="12.75" customHeight="1">
      <c r="A53" s="121" t="s">
        <v>258</v>
      </c>
      <c r="B53" s="101" t="s">
        <v>292</v>
      </c>
      <c r="C53" s="258">
        <f t="shared" si="18"/>
        <v>0</v>
      </c>
      <c r="D53" s="16"/>
      <c r="E53" s="16"/>
      <c r="F53" s="16"/>
      <c r="G53" s="16"/>
      <c r="H53" s="16"/>
      <c r="I53" s="64">
        <f t="shared" si="19"/>
        <v>0</v>
      </c>
      <c r="J53" s="16"/>
      <c r="K53" s="16"/>
      <c r="L53" s="16"/>
      <c r="M53" s="67">
        <f t="shared" si="20"/>
        <v>0</v>
      </c>
      <c r="N53" s="16"/>
      <c r="O53" s="16"/>
      <c r="P53" s="16"/>
      <c r="S53" s="349"/>
      <c r="T53" s="349"/>
      <c r="U53" s="349"/>
      <c r="V53" s="349"/>
      <c r="W53" s="349"/>
      <c r="X53" s="349"/>
      <c r="Y53" s="349"/>
    </row>
    <row r="54" spans="1:25" s="58" customFormat="1" ht="12.75">
      <c r="A54" s="121" t="s">
        <v>259</v>
      </c>
      <c r="B54" s="101" t="s">
        <v>293</v>
      </c>
      <c r="C54" s="258">
        <f t="shared" si="18"/>
        <v>0</v>
      </c>
      <c r="D54" s="16"/>
      <c r="E54" s="16"/>
      <c r="F54" s="16"/>
      <c r="G54" s="16"/>
      <c r="H54" s="16"/>
      <c r="I54" s="64">
        <f t="shared" si="19"/>
        <v>0</v>
      </c>
      <c r="J54" s="16"/>
      <c r="K54" s="16"/>
      <c r="L54" s="16"/>
      <c r="M54" s="67">
        <f t="shared" si="20"/>
        <v>0</v>
      </c>
      <c r="N54" s="16"/>
      <c r="O54" s="16"/>
      <c r="P54" s="16"/>
      <c r="S54" s="349"/>
      <c r="T54" s="349"/>
      <c r="U54" s="349"/>
      <c r="V54" s="349"/>
      <c r="W54" s="349"/>
      <c r="X54" s="349"/>
      <c r="Y54" s="349"/>
    </row>
    <row r="55" spans="1:25" s="58" customFormat="1" ht="13.5" thickBot="1">
      <c r="A55" s="136" t="s">
        <v>260</v>
      </c>
      <c r="B55" s="102" t="s">
        <v>294</v>
      </c>
      <c r="C55" s="259">
        <f t="shared" si="18"/>
        <v>0</v>
      </c>
      <c r="D55" s="16"/>
      <c r="E55" s="16"/>
      <c r="F55" s="16"/>
      <c r="G55" s="16"/>
      <c r="H55" s="16"/>
      <c r="I55" s="260">
        <f t="shared" si="19"/>
        <v>0</v>
      </c>
      <c r="J55" s="16"/>
      <c r="K55" s="16"/>
      <c r="L55" s="16"/>
      <c r="M55" s="124">
        <f t="shared" si="20"/>
        <v>0</v>
      </c>
      <c r="N55" s="16"/>
      <c r="O55" s="16"/>
      <c r="P55" s="16"/>
      <c r="S55" s="349"/>
      <c r="T55" s="349"/>
      <c r="U55" s="349"/>
      <c r="V55" s="349"/>
      <c r="W55" s="349"/>
      <c r="X55" s="349"/>
      <c r="Y55" s="349"/>
    </row>
    <row r="56" spans="1:25" s="58" customFormat="1" ht="13.5" thickBot="1">
      <c r="A56" s="138" t="s">
        <v>261</v>
      </c>
      <c r="B56" s="108"/>
      <c r="C56" s="266">
        <f>SUM(C49:C55)</f>
        <v>0</v>
      </c>
      <c r="D56" s="263">
        <f t="shared" ref="D56:P56" si="21">SUM(D49:D55)</f>
        <v>0</v>
      </c>
      <c r="E56" s="263">
        <f t="shared" si="21"/>
        <v>0</v>
      </c>
      <c r="F56" s="263">
        <f t="shared" si="21"/>
        <v>0</v>
      </c>
      <c r="G56" s="263">
        <f t="shared" si="21"/>
        <v>0</v>
      </c>
      <c r="H56" s="263">
        <f t="shared" si="21"/>
        <v>0</v>
      </c>
      <c r="I56" s="266">
        <f>SUM(I49:I55)</f>
        <v>0</v>
      </c>
      <c r="J56" s="140">
        <f t="shared" si="21"/>
        <v>0</v>
      </c>
      <c r="K56" s="140">
        <f t="shared" si="21"/>
        <v>0</v>
      </c>
      <c r="L56" s="140">
        <f t="shared" si="21"/>
        <v>0</v>
      </c>
      <c r="M56" s="266">
        <f>SUM(M49:M55)</f>
        <v>0</v>
      </c>
      <c r="N56" s="141">
        <f t="shared" si="21"/>
        <v>0</v>
      </c>
      <c r="O56" s="142">
        <f t="shared" si="21"/>
        <v>0</v>
      </c>
      <c r="P56" s="140">
        <f t="shared" si="21"/>
        <v>0</v>
      </c>
      <c r="S56" s="349"/>
      <c r="T56" s="349"/>
      <c r="U56" s="349"/>
      <c r="V56" s="349"/>
      <c r="W56" s="349"/>
      <c r="X56" s="349"/>
      <c r="Y56" s="349"/>
    </row>
    <row r="57" spans="1:25" s="58" customFormat="1" ht="12.75">
      <c r="A57" s="110"/>
      <c r="B57" s="110"/>
      <c r="C57" s="111"/>
      <c r="D57" s="111"/>
      <c r="E57" s="111"/>
      <c r="F57" s="111"/>
      <c r="G57" s="111"/>
      <c r="H57" s="111"/>
      <c r="I57" s="111"/>
      <c r="J57" s="111"/>
      <c r="K57" s="111"/>
      <c r="L57" s="111"/>
      <c r="M57" s="111"/>
      <c r="N57" s="111"/>
      <c r="O57" s="111"/>
      <c r="S57" s="143"/>
      <c r="T57" s="143"/>
      <c r="U57" s="143"/>
      <c r="V57" s="143"/>
      <c r="W57" s="143"/>
      <c r="X57" s="143"/>
      <c r="Y57" s="143"/>
    </row>
    <row r="58" spans="1:25" s="58" customFormat="1" ht="12.75" customHeight="1" thickBot="1">
      <c r="A58" s="110"/>
      <c r="B58" s="110"/>
      <c r="C58" s="144"/>
      <c r="D58" s="144"/>
      <c r="E58" s="144"/>
      <c r="F58" s="144"/>
      <c r="G58" s="144"/>
      <c r="H58" s="144"/>
      <c r="I58" s="144"/>
      <c r="J58" s="144"/>
      <c r="K58" s="144"/>
      <c r="L58" s="144"/>
      <c r="M58" s="144"/>
      <c r="N58" s="144"/>
      <c r="O58" s="144"/>
    </row>
    <row r="59" spans="1:25" s="44" customFormat="1" ht="30.4" customHeight="1" thickBot="1">
      <c r="A59" s="325" t="s">
        <v>336</v>
      </c>
      <c r="B59" s="326"/>
      <c r="C59" s="326"/>
      <c r="D59" s="326"/>
      <c r="E59" s="326"/>
      <c r="F59" s="336" t="s">
        <v>337</v>
      </c>
      <c r="G59" s="337"/>
      <c r="H59" s="337"/>
      <c r="I59" s="337"/>
      <c r="J59" s="337"/>
      <c r="K59" s="337"/>
      <c r="L59" s="337"/>
      <c r="M59" s="337"/>
      <c r="N59" s="338"/>
      <c r="O59" s="336" t="s">
        <v>338</v>
      </c>
      <c r="P59" s="337"/>
      <c r="Q59" s="337"/>
      <c r="R59" s="337"/>
      <c r="S59" s="338"/>
    </row>
    <row r="60" spans="1:25" s="52" customFormat="1" ht="26.25" thickBot="1">
      <c r="A60" s="85"/>
      <c r="B60" s="145"/>
      <c r="C60" s="238" t="s">
        <v>339</v>
      </c>
      <c r="D60" s="239" t="s">
        <v>340</v>
      </c>
      <c r="E60" s="240" t="s">
        <v>341</v>
      </c>
      <c r="F60" s="238" t="s">
        <v>342</v>
      </c>
      <c r="G60" s="239" t="s">
        <v>343</v>
      </c>
      <c r="H60" s="239" t="s">
        <v>344</v>
      </c>
      <c r="I60" s="239" t="s">
        <v>345</v>
      </c>
      <c r="J60" s="239" t="s">
        <v>346</v>
      </c>
      <c r="K60" s="239" t="s">
        <v>347</v>
      </c>
      <c r="L60" s="239" t="s">
        <v>277</v>
      </c>
      <c r="M60" s="239" t="s">
        <v>348</v>
      </c>
      <c r="N60" s="240" t="s">
        <v>349</v>
      </c>
      <c r="O60" s="238" t="s">
        <v>350</v>
      </c>
      <c r="P60" s="239" t="s">
        <v>351</v>
      </c>
      <c r="Q60" s="239" t="s">
        <v>352</v>
      </c>
      <c r="R60" s="239" t="s">
        <v>277</v>
      </c>
      <c r="S60" s="240" t="s">
        <v>353</v>
      </c>
    </row>
    <row r="61" spans="1:25" s="58" customFormat="1" ht="9.75" hidden="1" customHeight="1">
      <c r="A61" s="93"/>
      <c r="B61" s="93"/>
      <c r="C61" s="146" t="s">
        <v>354</v>
      </c>
      <c r="D61" s="94" t="s">
        <v>355</v>
      </c>
      <c r="E61" s="146" t="s">
        <v>356</v>
      </c>
      <c r="F61" s="147" t="s">
        <v>357</v>
      </c>
      <c r="G61" s="96" t="s">
        <v>358</v>
      </c>
      <c r="H61" s="94" t="s">
        <v>359</v>
      </c>
      <c r="I61" s="96" t="s">
        <v>360</v>
      </c>
      <c r="J61" s="94" t="s">
        <v>361</v>
      </c>
      <c r="K61" s="96" t="s">
        <v>362</v>
      </c>
      <c r="L61" s="94" t="s">
        <v>363</v>
      </c>
      <c r="M61" s="96" t="s">
        <v>364</v>
      </c>
      <c r="N61" s="148" t="s">
        <v>365</v>
      </c>
      <c r="O61" s="148" t="s">
        <v>366</v>
      </c>
      <c r="P61" s="94" t="s">
        <v>367</v>
      </c>
      <c r="Q61" s="94" t="s">
        <v>368</v>
      </c>
      <c r="R61" s="96" t="s">
        <v>369</v>
      </c>
      <c r="S61" s="96" t="s">
        <v>370</v>
      </c>
    </row>
    <row r="62" spans="1:25" s="58" customFormat="1" ht="15.6" customHeight="1">
      <c r="A62" s="149" t="s">
        <v>254</v>
      </c>
      <c r="B62" s="150" t="s">
        <v>287</v>
      </c>
      <c r="C62" s="151"/>
      <c r="D62" s="16"/>
      <c r="E62" s="98"/>
      <c r="F62" s="151"/>
      <c r="G62" s="16"/>
      <c r="H62" s="16"/>
      <c r="I62" s="16"/>
      <c r="J62" s="16"/>
      <c r="K62" s="16"/>
      <c r="L62" s="16"/>
      <c r="M62" s="16"/>
      <c r="N62" s="17"/>
      <c r="O62" s="99"/>
      <c r="P62" s="99"/>
      <c r="Q62" s="16"/>
      <c r="R62" s="17"/>
      <c r="S62" s="17"/>
    </row>
    <row r="63" spans="1:25" s="58" customFormat="1" ht="15.6" customHeight="1">
      <c r="A63" s="152" t="s">
        <v>288</v>
      </c>
      <c r="B63" s="101" t="s">
        <v>289</v>
      </c>
      <c r="C63" s="151"/>
      <c r="D63" s="16"/>
      <c r="E63" s="98"/>
      <c r="F63" s="151"/>
      <c r="G63" s="16"/>
      <c r="H63" s="16"/>
      <c r="I63" s="16"/>
      <c r="J63" s="16"/>
      <c r="K63" s="16"/>
      <c r="L63" s="16"/>
      <c r="M63" s="16"/>
      <c r="N63" s="17"/>
      <c r="O63" s="99"/>
      <c r="P63" s="99"/>
      <c r="Q63" s="16"/>
      <c r="R63" s="17"/>
      <c r="S63" s="17"/>
    </row>
    <row r="64" spans="1:25" s="58" customFormat="1" ht="15.6" customHeight="1">
      <c r="A64" s="152" t="s">
        <v>256</v>
      </c>
      <c r="B64" s="101" t="s">
        <v>290</v>
      </c>
      <c r="C64" s="151"/>
      <c r="D64" s="16"/>
      <c r="E64" s="98"/>
      <c r="F64" s="151"/>
      <c r="G64" s="16"/>
      <c r="H64" s="16"/>
      <c r="I64" s="16"/>
      <c r="J64" s="16"/>
      <c r="K64" s="16"/>
      <c r="L64" s="16"/>
      <c r="M64" s="16"/>
      <c r="N64" s="17"/>
      <c r="O64" s="99"/>
      <c r="P64" s="99"/>
      <c r="Q64" s="16"/>
      <c r="R64" s="17"/>
      <c r="S64" s="17"/>
    </row>
    <row r="65" spans="1:19" s="58" customFormat="1" ht="15.6" customHeight="1">
      <c r="A65" s="152" t="s">
        <v>257</v>
      </c>
      <c r="B65" s="101" t="s">
        <v>291</v>
      </c>
      <c r="C65" s="151"/>
      <c r="D65" s="16"/>
      <c r="E65" s="98"/>
      <c r="F65" s="151"/>
      <c r="G65" s="16"/>
      <c r="H65" s="16"/>
      <c r="I65" s="16"/>
      <c r="J65" s="16"/>
      <c r="K65" s="16"/>
      <c r="L65" s="16"/>
      <c r="M65" s="16"/>
      <c r="N65" s="17"/>
      <c r="O65" s="99"/>
      <c r="P65" s="99"/>
      <c r="Q65" s="16"/>
      <c r="R65" s="17"/>
      <c r="S65" s="17"/>
    </row>
    <row r="66" spans="1:19" s="58" customFormat="1" ht="15.6" customHeight="1">
      <c r="A66" s="152" t="s">
        <v>258</v>
      </c>
      <c r="B66" s="101" t="s">
        <v>292</v>
      </c>
      <c r="C66" s="151"/>
      <c r="D66" s="16"/>
      <c r="E66" s="98"/>
      <c r="F66" s="151"/>
      <c r="G66" s="16"/>
      <c r="H66" s="16"/>
      <c r="I66" s="16"/>
      <c r="J66" s="16"/>
      <c r="K66" s="16"/>
      <c r="L66" s="16"/>
      <c r="M66" s="16"/>
      <c r="N66" s="17"/>
      <c r="O66" s="99"/>
      <c r="P66" s="99"/>
      <c r="Q66" s="16"/>
      <c r="R66" s="17"/>
      <c r="S66" s="17"/>
    </row>
    <row r="67" spans="1:19" s="58" customFormat="1" ht="15.6" customHeight="1">
      <c r="A67" s="152" t="s">
        <v>259</v>
      </c>
      <c r="B67" s="101" t="s">
        <v>293</v>
      </c>
      <c r="C67" s="151"/>
      <c r="D67" s="16"/>
      <c r="E67" s="98"/>
      <c r="F67" s="151"/>
      <c r="G67" s="16"/>
      <c r="H67" s="16"/>
      <c r="I67" s="16"/>
      <c r="J67" s="16"/>
      <c r="K67" s="16"/>
      <c r="L67" s="16"/>
      <c r="M67" s="16"/>
      <c r="N67" s="17"/>
      <c r="O67" s="99"/>
      <c r="P67" s="99"/>
      <c r="Q67" s="16"/>
      <c r="R67" s="17"/>
      <c r="S67" s="17"/>
    </row>
    <row r="68" spans="1:19" s="58" customFormat="1" ht="15.6" customHeight="1" thickBot="1">
      <c r="A68" s="153" t="s">
        <v>260</v>
      </c>
      <c r="B68" s="102" t="s">
        <v>294</v>
      </c>
      <c r="C68" s="53"/>
      <c r="D68" s="18"/>
      <c r="E68" s="103"/>
      <c r="F68" s="53"/>
      <c r="G68" s="18"/>
      <c r="H68" s="18"/>
      <c r="I68" s="18"/>
      <c r="J68" s="18"/>
      <c r="K68" s="18"/>
      <c r="L68" s="18"/>
      <c r="M68" s="18"/>
      <c r="N68" s="19"/>
      <c r="O68" s="114"/>
      <c r="P68" s="114"/>
      <c r="Q68" s="18"/>
      <c r="R68" s="19"/>
      <c r="S68" s="19"/>
    </row>
    <row r="69" spans="1:19" s="58" customFormat="1" ht="13.5" thickBot="1">
      <c r="A69" s="125" t="s">
        <v>261</v>
      </c>
      <c r="B69" s="154"/>
      <c r="C69" s="116">
        <f>SUM(C62:C68)</f>
        <v>0</v>
      </c>
      <c r="D69" s="116">
        <f t="shared" ref="D69:N69" si="22">SUM(D62:D68)</f>
        <v>0</v>
      </c>
      <c r="E69" s="155">
        <f t="shared" si="22"/>
        <v>0</v>
      </c>
      <c r="F69" s="116">
        <f t="shared" si="22"/>
        <v>0</v>
      </c>
      <c r="G69" s="116">
        <f t="shared" si="22"/>
        <v>0</v>
      </c>
      <c r="H69" s="116">
        <f t="shared" si="22"/>
        <v>0</v>
      </c>
      <c r="I69" s="116">
        <f t="shared" si="22"/>
        <v>0</v>
      </c>
      <c r="J69" s="116">
        <f t="shared" si="22"/>
        <v>0</v>
      </c>
      <c r="K69" s="116">
        <f t="shared" si="22"/>
        <v>0</v>
      </c>
      <c r="L69" s="116">
        <f t="shared" si="22"/>
        <v>0</v>
      </c>
      <c r="M69" s="116">
        <f t="shared" si="22"/>
        <v>0</v>
      </c>
      <c r="N69" s="116">
        <f t="shared" si="22"/>
        <v>0</v>
      </c>
      <c r="O69" s="156">
        <f>SUM(O62:O68)</f>
        <v>0</v>
      </c>
      <c r="P69" s="156">
        <f>SUM(P62:P68)</f>
        <v>0</v>
      </c>
      <c r="Q69" s="116">
        <f>SUM(Q62:Q68)</f>
        <v>0</v>
      </c>
      <c r="R69" s="116">
        <f>SUM(R62:R68)</f>
        <v>0</v>
      </c>
      <c r="S69" s="116">
        <f>SUM(S62:S68)</f>
        <v>0</v>
      </c>
    </row>
    <row r="70" spans="1:19" ht="16.149999999999999" customHeight="1"/>
    <row r="71" spans="1:19" ht="16.149999999999999" customHeight="1"/>
    <row r="72" spans="1:19" ht="16.149999999999999" customHeight="1"/>
    <row r="73" spans="1:19" ht="16.149999999999999" customHeight="1"/>
    <row r="74" spans="1:19" ht="16.149999999999999" customHeight="1"/>
    <row r="75" spans="1:19" ht="16.149999999999999" customHeight="1"/>
    <row r="76" spans="1:19" ht="16.149999999999999" customHeight="1"/>
    <row r="77" spans="1:19" ht="16.149999999999999" customHeight="1"/>
    <row r="78" spans="1:19" ht="16.149999999999999" customHeight="1"/>
    <row r="79" spans="1:19" ht="16.149999999999999" customHeight="1"/>
    <row r="80" spans="1:19"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row r="488" ht="16.149999999999999" customHeight="1"/>
    <row r="489" ht="16.149999999999999" customHeight="1"/>
    <row r="490" ht="16.149999999999999" customHeight="1"/>
    <row r="491" ht="16.149999999999999" customHeight="1"/>
    <row r="492" ht="16.149999999999999" customHeight="1"/>
    <row r="493" ht="16.149999999999999" customHeight="1"/>
    <row r="494" ht="16.149999999999999" customHeight="1"/>
    <row r="495" ht="16.149999999999999" customHeight="1"/>
    <row r="496" ht="16.149999999999999" customHeight="1"/>
    <row r="497" ht="16.149999999999999" customHeight="1"/>
    <row r="498" ht="16.149999999999999" customHeight="1"/>
    <row r="499" ht="16.149999999999999" customHeight="1"/>
    <row r="500" ht="16.149999999999999" customHeight="1"/>
    <row r="501" ht="16.149999999999999" customHeight="1"/>
    <row r="502" ht="16.149999999999999" customHeight="1"/>
    <row r="503" ht="16.149999999999999" customHeight="1"/>
    <row r="504" ht="16.149999999999999" customHeight="1"/>
    <row r="505" ht="16.149999999999999" customHeight="1"/>
    <row r="506" ht="16.149999999999999" customHeight="1"/>
    <row r="507" ht="16.149999999999999" customHeight="1"/>
    <row r="508" ht="16.149999999999999" customHeight="1"/>
    <row r="509" ht="16.149999999999999" customHeight="1"/>
    <row r="510" ht="16.149999999999999" customHeight="1"/>
    <row r="511" ht="16.149999999999999" customHeight="1"/>
    <row r="512" ht="16.149999999999999" customHeight="1"/>
    <row r="513" ht="16.149999999999999" customHeight="1"/>
    <row r="514" ht="16.149999999999999" customHeight="1"/>
    <row r="515" ht="16.149999999999999" customHeight="1"/>
    <row r="516" ht="16.149999999999999" customHeight="1"/>
    <row r="517" ht="16.149999999999999" customHeight="1"/>
    <row r="518" ht="16.149999999999999" customHeight="1"/>
    <row r="519" ht="16.149999999999999" customHeight="1"/>
    <row r="520" ht="16.149999999999999" customHeight="1"/>
    <row r="521" ht="16.149999999999999" customHeight="1"/>
    <row r="522" ht="16.149999999999999" customHeight="1"/>
    <row r="523" ht="16.149999999999999" customHeight="1"/>
    <row r="524" ht="16.149999999999999" customHeight="1"/>
    <row r="525" ht="16.149999999999999" customHeight="1"/>
    <row r="526" ht="16.149999999999999" customHeight="1"/>
    <row r="527" ht="16.149999999999999" customHeight="1"/>
    <row r="528" ht="16.149999999999999" customHeight="1"/>
    <row r="529" ht="16.149999999999999" customHeight="1"/>
    <row r="530" ht="16.149999999999999" customHeight="1"/>
    <row r="531" ht="16.149999999999999" customHeight="1"/>
    <row r="532" ht="16.149999999999999" customHeight="1"/>
    <row r="533" ht="16.149999999999999" customHeight="1"/>
    <row r="534" ht="16.149999999999999" customHeight="1"/>
    <row r="535" ht="16.149999999999999" customHeight="1"/>
    <row r="536" ht="16.149999999999999" customHeight="1"/>
    <row r="537" ht="16.149999999999999" customHeight="1"/>
    <row r="538" ht="16.149999999999999" customHeight="1"/>
    <row r="539" ht="16.149999999999999" customHeight="1"/>
    <row r="540" ht="16.149999999999999" customHeight="1"/>
    <row r="541" ht="16.149999999999999" customHeight="1"/>
    <row r="542" ht="16.149999999999999" customHeight="1"/>
    <row r="543" ht="16.149999999999999" customHeight="1"/>
    <row r="544" ht="16.149999999999999" customHeight="1"/>
    <row r="545" ht="16.149999999999999" customHeight="1"/>
    <row r="546" ht="16.149999999999999" customHeight="1"/>
    <row r="547" ht="16.149999999999999" customHeight="1"/>
    <row r="548" ht="16.149999999999999" customHeight="1"/>
    <row r="549" ht="16.149999999999999" customHeight="1"/>
    <row r="550" ht="16.149999999999999" customHeight="1"/>
    <row r="551" ht="16.149999999999999" customHeight="1"/>
    <row r="552" ht="16.149999999999999" customHeight="1"/>
    <row r="553" ht="16.149999999999999" customHeight="1"/>
    <row r="554" ht="16.149999999999999" customHeight="1"/>
    <row r="555" ht="16.149999999999999" customHeight="1"/>
    <row r="556" ht="16.149999999999999" customHeight="1"/>
    <row r="557" ht="16.149999999999999" customHeight="1"/>
    <row r="558" ht="16.149999999999999" customHeight="1"/>
    <row r="559" ht="16.149999999999999" customHeight="1"/>
    <row r="560" ht="16.149999999999999" customHeight="1"/>
    <row r="561" ht="16.149999999999999" customHeight="1"/>
    <row r="562" ht="16.149999999999999" customHeight="1"/>
    <row r="563" ht="16.149999999999999" customHeight="1"/>
    <row r="564" ht="16.149999999999999" customHeight="1"/>
    <row r="565" ht="16.149999999999999" customHeight="1"/>
    <row r="566" ht="16.149999999999999" customHeight="1"/>
    <row r="567" ht="16.149999999999999" customHeight="1"/>
    <row r="568" ht="16.149999999999999" customHeight="1"/>
    <row r="569" ht="16.149999999999999" customHeight="1"/>
    <row r="570" ht="16.149999999999999" customHeight="1"/>
    <row r="571" ht="16.149999999999999" customHeight="1"/>
    <row r="572" ht="16.149999999999999" customHeight="1"/>
    <row r="573" ht="16.149999999999999" customHeight="1"/>
    <row r="574" ht="16.149999999999999" customHeight="1"/>
    <row r="575" ht="16.149999999999999" customHeight="1"/>
    <row r="576" ht="16.149999999999999" customHeight="1"/>
    <row r="577" ht="16.149999999999999" customHeight="1"/>
    <row r="578" ht="16.149999999999999" customHeight="1"/>
    <row r="579" ht="16.149999999999999" customHeight="1"/>
    <row r="580" ht="16.149999999999999" customHeight="1"/>
    <row r="581" ht="16.149999999999999" customHeight="1"/>
    <row r="582" ht="16.149999999999999" customHeight="1"/>
    <row r="583" ht="16.149999999999999" customHeight="1"/>
    <row r="584" ht="16.149999999999999" customHeight="1"/>
    <row r="585" ht="16.149999999999999" customHeight="1"/>
    <row r="586" ht="16.149999999999999" customHeight="1"/>
    <row r="587" ht="16.149999999999999" customHeight="1"/>
    <row r="588" ht="16.149999999999999" customHeight="1"/>
    <row r="589" ht="16.149999999999999" customHeight="1"/>
    <row r="590" ht="16.149999999999999" customHeight="1"/>
    <row r="591" ht="16.149999999999999" customHeight="1"/>
    <row r="592" ht="16.149999999999999" customHeight="1"/>
    <row r="593" ht="16.149999999999999" customHeight="1"/>
    <row r="594" ht="16.149999999999999" customHeight="1"/>
    <row r="595" ht="16.149999999999999" customHeight="1"/>
    <row r="596" ht="16.149999999999999" customHeight="1"/>
    <row r="597" ht="16.149999999999999" customHeight="1"/>
    <row r="598" ht="16.149999999999999" customHeight="1"/>
    <row r="599" ht="16.149999999999999" customHeight="1"/>
    <row r="600" ht="16.149999999999999" customHeight="1"/>
    <row r="601" ht="16.149999999999999" customHeight="1"/>
    <row r="602" ht="16.149999999999999" customHeight="1"/>
    <row r="603" ht="16.149999999999999" customHeight="1"/>
    <row r="604" ht="16.149999999999999" customHeight="1"/>
    <row r="605" ht="16.149999999999999" customHeight="1"/>
    <row r="606" ht="16.149999999999999" customHeight="1"/>
    <row r="607" ht="16.149999999999999" customHeight="1"/>
    <row r="608" ht="16.149999999999999" customHeight="1"/>
    <row r="609" ht="16.149999999999999" customHeight="1"/>
    <row r="610" ht="16.149999999999999" customHeight="1"/>
    <row r="611" ht="16.149999999999999" customHeight="1"/>
    <row r="612" ht="16.149999999999999" customHeight="1"/>
    <row r="613" ht="16.149999999999999" customHeight="1"/>
    <row r="614" ht="16.149999999999999" customHeight="1"/>
    <row r="615" ht="16.149999999999999" customHeight="1"/>
    <row r="616" ht="16.149999999999999" customHeight="1"/>
    <row r="617" ht="16.149999999999999" customHeight="1"/>
    <row r="618" ht="16.149999999999999" customHeight="1"/>
    <row r="619" ht="16.149999999999999" customHeight="1"/>
    <row r="620" ht="16.149999999999999" customHeight="1"/>
    <row r="621" ht="16.149999999999999" customHeight="1"/>
    <row r="622" ht="16.149999999999999" customHeight="1"/>
    <row r="623" ht="16.149999999999999" customHeight="1"/>
    <row r="624" ht="16.149999999999999" customHeight="1"/>
    <row r="625" ht="16.149999999999999" customHeight="1"/>
    <row r="626" ht="16.149999999999999" customHeight="1"/>
    <row r="627" ht="16.149999999999999" customHeight="1"/>
    <row r="628" ht="16.149999999999999" customHeight="1"/>
    <row r="629" ht="16.149999999999999" customHeight="1"/>
    <row r="630" ht="16.149999999999999" customHeight="1"/>
    <row r="631" ht="16.149999999999999" customHeight="1"/>
    <row r="632" ht="16.149999999999999" customHeight="1"/>
    <row r="633" ht="16.149999999999999" customHeight="1"/>
    <row r="634" ht="16.149999999999999" customHeight="1"/>
    <row r="635" ht="16.149999999999999" customHeight="1"/>
    <row r="636" ht="16.149999999999999" customHeight="1"/>
    <row r="637" ht="16.149999999999999" customHeight="1"/>
    <row r="638" ht="16.149999999999999" customHeight="1"/>
    <row r="639" ht="16.149999999999999" customHeight="1"/>
    <row r="640" ht="16.149999999999999" customHeight="1"/>
    <row r="641" ht="16.149999999999999" customHeight="1"/>
    <row r="642" ht="16.149999999999999" customHeight="1"/>
    <row r="643" ht="16.149999999999999" customHeight="1"/>
    <row r="644" ht="16.149999999999999" customHeight="1"/>
    <row r="645" ht="16.149999999999999" customHeight="1"/>
    <row r="646" ht="16.149999999999999" customHeight="1"/>
    <row r="647" ht="16.149999999999999" customHeight="1"/>
    <row r="648" ht="16.149999999999999" customHeight="1"/>
    <row r="649" ht="16.149999999999999" customHeight="1"/>
    <row r="650" ht="16.149999999999999" customHeight="1"/>
    <row r="651" ht="16.149999999999999" customHeight="1"/>
    <row r="652" ht="16.149999999999999" customHeight="1"/>
    <row r="653" ht="16.149999999999999" customHeight="1"/>
    <row r="654" ht="16.149999999999999" customHeight="1"/>
    <row r="655" ht="16.149999999999999" customHeight="1"/>
    <row r="656" ht="16.149999999999999" customHeight="1"/>
    <row r="657" ht="16.149999999999999" customHeight="1"/>
    <row r="658" ht="16.149999999999999" customHeight="1"/>
    <row r="659" ht="16.149999999999999" customHeight="1"/>
    <row r="660" ht="16.149999999999999" customHeight="1"/>
    <row r="661" ht="16.149999999999999" customHeight="1"/>
    <row r="662" ht="16.149999999999999" customHeight="1"/>
    <row r="663" ht="16.149999999999999" customHeight="1"/>
    <row r="664" ht="16.149999999999999" customHeight="1"/>
    <row r="665" ht="16.149999999999999" customHeight="1"/>
    <row r="666" ht="16.149999999999999" customHeight="1"/>
    <row r="667" ht="16.149999999999999" customHeight="1"/>
    <row r="668" ht="16.149999999999999" customHeight="1"/>
    <row r="669" ht="16.149999999999999" customHeight="1"/>
    <row r="670" ht="16.149999999999999" customHeight="1"/>
    <row r="671" ht="16.149999999999999" customHeight="1"/>
    <row r="672" ht="16.149999999999999" customHeight="1"/>
    <row r="673" ht="16.149999999999999" customHeight="1"/>
    <row r="674" ht="16.149999999999999" customHeight="1"/>
    <row r="675" ht="16.149999999999999" customHeight="1"/>
    <row r="676" ht="16.149999999999999" customHeight="1"/>
    <row r="677" ht="16.149999999999999" customHeight="1"/>
    <row r="678" ht="16.149999999999999" customHeight="1"/>
    <row r="679" ht="16.149999999999999" customHeight="1"/>
    <row r="680" ht="16.149999999999999" customHeight="1"/>
    <row r="681" ht="16.149999999999999" customHeight="1"/>
    <row r="682" ht="16.149999999999999" customHeight="1"/>
    <row r="683" ht="16.149999999999999" customHeight="1"/>
    <row r="684" ht="16.149999999999999" customHeight="1"/>
    <row r="685" ht="16.149999999999999" customHeight="1"/>
    <row r="686" ht="16.149999999999999" customHeight="1"/>
    <row r="687" ht="16.149999999999999" customHeight="1"/>
    <row r="688" ht="16.149999999999999" customHeight="1"/>
    <row r="689" ht="16.149999999999999" customHeight="1"/>
    <row r="690" ht="16.149999999999999" customHeight="1"/>
    <row r="691" ht="16.149999999999999" customHeight="1"/>
    <row r="692" ht="16.149999999999999" customHeight="1"/>
    <row r="693" ht="16.149999999999999" customHeight="1"/>
    <row r="694" ht="16.149999999999999" customHeight="1"/>
    <row r="695" ht="16.149999999999999" customHeight="1"/>
    <row r="696" ht="16.149999999999999" customHeight="1"/>
    <row r="697" ht="16.149999999999999" customHeight="1"/>
    <row r="698" ht="16.149999999999999" customHeight="1"/>
    <row r="699" ht="16.149999999999999" customHeight="1"/>
    <row r="700" ht="16.149999999999999" customHeight="1"/>
    <row r="701" ht="16.149999999999999" customHeight="1"/>
    <row r="702" ht="16.149999999999999" customHeight="1"/>
    <row r="703" ht="16.149999999999999" customHeight="1"/>
    <row r="704" ht="16.149999999999999" customHeight="1"/>
    <row r="705" ht="16.149999999999999" customHeight="1"/>
    <row r="706" ht="16.149999999999999" customHeight="1"/>
    <row r="707" ht="16.149999999999999" customHeight="1"/>
    <row r="708" ht="16.149999999999999" customHeight="1"/>
    <row r="709" ht="16.149999999999999" customHeight="1"/>
    <row r="710" ht="16.149999999999999" customHeight="1"/>
    <row r="711" ht="16.149999999999999" customHeight="1"/>
    <row r="712" ht="16.149999999999999" customHeight="1"/>
    <row r="713" ht="16.149999999999999" customHeight="1"/>
    <row r="714" ht="16.149999999999999" customHeight="1"/>
    <row r="715" ht="16.149999999999999" customHeight="1"/>
    <row r="716" ht="16.149999999999999" customHeight="1"/>
    <row r="717" ht="16.149999999999999" customHeight="1"/>
    <row r="718" ht="16.149999999999999" customHeight="1"/>
    <row r="719" ht="16.149999999999999" customHeight="1"/>
    <row r="720" ht="16.149999999999999" customHeight="1"/>
    <row r="721" ht="16.149999999999999" customHeight="1"/>
    <row r="722" ht="16.149999999999999" customHeight="1"/>
    <row r="723" ht="16.149999999999999" customHeight="1"/>
    <row r="724" ht="16.149999999999999" customHeight="1"/>
    <row r="725" ht="16.149999999999999" customHeight="1"/>
    <row r="726" ht="16.149999999999999" customHeight="1"/>
    <row r="727" ht="16.149999999999999" customHeight="1"/>
    <row r="728" ht="16.149999999999999" customHeight="1"/>
    <row r="729" ht="16.149999999999999" customHeight="1"/>
    <row r="730" ht="16.149999999999999" customHeight="1"/>
    <row r="731" ht="16.149999999999999" customHeight="1"/>
    <row r="732" ht="16.149999999999999" customHeight="1"/>
    <row r="733" ht="16.149999999999999" customHeight="1"/>
    <row r="734" ht="16.149999999999999" customHeight="1"/>
    <row r="735" ht="16.149999999999999" customHeight="1"/>
    <row r="736" ht="16.149999999999999" customHeight="1"/>
    <row r="737" ht="16.149999999999999" customHeight="1"/>
    <row r="738" ht="16.149999999999999" customHeight="1"/>
    <row r="739" ht="16.149999999999999" customHeight="1"/>
    <row r="740" ht="16.149999999999999" customHeight="1"/>
    <row r="741" ht="16.149999999999999" customHeight="1"/>
    <row r="742" ht="16.149999999999999" customHeight="1"/>
    <row r="743" ht="16.149999999999999" customHeight="1"/>
    <row r="744" ht="16.149999999999999" customHeight="1"/>
    <row r="745" ht="16.149999999999999" customHeight="1"/>
    <row r="746" ht="16.149999999999999" customHeight="1"/>
    <row r="747" ht="16.149999999999999" customHeight="1"/>
    <row r="748" ht="16.149999999999999" customHeight="1"/>
    <row r="749" ht="16.149999999999999" customHeight="1"/>
    <row r="750" ht="16.149999999999999" customHeight="1"/>
    <row r="751" ht="16.149999999999999" customHeight="1"/>
    <row r="752" ht="16.149999999999999" customHeight="1"/>
    <row r="753" ht="16.149999999999999" customHeight="1"/>
    <row r="754" ht="16.149999999999999" customHeight="1"/>
    <row r="755" ht="16.149999999999999" customHeight="1"/>
    <row r="756" ht="16.149999999999999" customHeight="1"/>
    <row r="757" ht="16.149999999999999" customHeight="1"/>
    <row r="758" ht="16.149999999999999" customHeight="1"/>
    <row r="759" ht="16.149999999999999" customHeight="1"/>
    <row r="760" ht="16.149999999999999" customHeight="1"/>
    <row r="761" ht="16.149999999999999" customHeight="1"/>
    <row r="762" ht="16.149999999999999" customHeight="1"/>
    <row r="763" ht="16.149999999999999" customHeight="1"/>
    <row r="764" ht="16.149999999999999" customHeight="1"/>
    <row r="765" ht="16.149999999999999" customHeight="1"/>
    <row r="766" ht="16.149999999999999" customHeight="1"/>
    <row r="767" ht="16.149999999999999" customHeight="1"/>
    <row r="768" ht="16.149999999999999" customHeight="1"/>
    <row r="769" ht="16.149999999999999" customHeight="1"/>
    <row r="770" ht="16.149999999999999" customHeight="1"/>
    <row r="771" ht="16.149999999999999" customHeight="1"/>
    <row r="772" ht="16.149999999999999" customHeight="1"/>
    <row r="773" ht="16.149999999999999" customHeight="1"/>
    <row r="774" ht="16.149999999999999" customHeight="1"/>
    <row r="775" ht="16.149999999999999" customHeight="1"/>
    <row r="776" ht="16.149999999999999" customHeight="1"/>
    <row r="777" ht="16.149999999999999" customHeight="1"/>
    <row r="778" ht="16.149999999999999" customHeight="1"/>
    <row r="779" ht="16.149999999999999" customHeight="1"/>
    <row r="780" ht="16.149999999999999" customHeight="1"/>
    <row r="781" ht="16.149999999999999" customHeight="1"/>
    <row r="782" ht="16.149999999999999" customHeight="1"/>
    <row r="783" ht="16.149999999999999" customHeight="1"/>
    <row r="784" ht="16.149999999999999" customHeight="1"/>
    <row r="785" ht="16.149999999999999" customHeight="1"/>
    <row r="786" ht="16.149999999999999" customHeight="1"/>
    <row r="787" ht="16.149999999999999" customHeight="1"/>
    <row r="788" ht="16.149999999999999" customHeight="1"/>
    <row r="789" ht="16.149999999999999" customHeight="1"/>
    <row r="790" ht="16.149999999999999" customHeight="1"/>
    <row r="791" ht="16.149999999999999" customHeight="1"/>
    <row r="792" ht="16.149999999999999" customHeight="1"/>
    <row r="793" ht="16.149999999999999" customHeight="1"/>
    <row r="794" ht="16.149999999999999" customHeight="1"/>
    <row r="795" ht="16.149999999999999" customHeight="1"/>
    <row r="796" ht="16.149999999999999" customHeight="1"/>
    <row r="797" ht="16.149999999999999" customHeight="1"/>
    <row r="798" ht="16.149999999999999" customHeight="1"/>
    <row r="799" ht="16.149999999999999" customHeight="1"/>
    <row r="800" ht="16.149999999999999" customHeight="1"/>
    <row r="801" ht="16.149999999999999" customHeight="1"/>
    <row r="802" ht="16.149999999999999" customHeight="1"/>
    <row r="803" ht="16.149999999999999" customHeight="1"/>
    <row r="804" ht="16.149999999999999" customHeight="1"/>
    <row r="805" ht="16.149999999999999" customHeight="1"/>
    <row r="806" ht="16.149999999999999" customHeight="1"/>
    <row r="807" ht="16.149999999999999" customHeight="1"/>
    <row r="808" ht="16.149999999999999" customHeight="1"/>
    <row r="809" ht="16.149999999999999" customHeight="1"/>
    <row r="810" ht="16.149999999999999" customHeight="1"/>
    <row r="811" ht="16.149999999999999" customHeight="1"/>
    <row r="812" ht="16.149999999999999" customHeight="1"/>
    <row r="813" ht="16.149999999999999" customHeight="1"/>
    <row r="814" ht="16.149999999999999" customHeight="1"/>
    <row r="815" ht="16.149999999999999" customHeight="1"/>
    <row r="816" ht="16.149999999999999" customHeight="1"/>
    <row r="817" ht="16.149999999999999" customHeight="1"/>
    <row r="818" ht="16.149999999999999" customHeight="1"/>
    <row r="819" ht="16.149999999999999" customHeight="1"/>
    <row r="820" ht="16.149999999999999" customHeight="1"/>
    <row r="821" ht="16.149999999999999" customHeight="1"/>
    <row r="822" ht="16.149999999999999" customHeight="1"/>
    <row r="823" ht="16.149999999999999" customHeight="1"/>
    <row r="824" ht="16.149999999999999" customHeight="1"/>
    <row r="825" ht="16.149999999999999" customHeight="1"/>
    <row r="826" ht="16.149999999999999" customHeight="1"/>
    <row r="827" ht="16.149999999999999" customHeight="1"/>
    <row r="828" ht="16.149999999999999" customHeight="1"/>
    <row r="829" ht="16.149999999999999" customHeight="1"/>
    <row r="830" ht="16.149999999999999" customHeight="1"/>
    <row r="831" ht="16.149999999999999" customHeight="1"/>
    <row r="832" ht="16.149999999999999" customHeight="1"/>
    <row r="833" ht="16.149999999999999" customHeight="1"/>
    <row r="834" ht="16.149999999999999" customHeight="1"/>
    <row r="835" ht="16.149999999999999" customHeight="1"/>
    <row r="836" ht="16.149999999999999" customHeight="1"/>
    <row r="837" ht="16.149999999999999" customHeight="1"/>
    <row r="838" ht="16.149999999999999" customHeight="1"/>
    <row r="839" ht="16.149999999999999" customHeight="1"/>
    <row r="840" ht="16.149999999999999" customHeight="1"/>
    <row r="841" ht="16.149999999999999" customHeight="1"/>
    <row r="842" ht="16.149999999999999" customHeight="1"/>
    <row r="843" ht="16.149999999999999" customHeight="1"/>
    <row r="844" ht="16.149999999999999" customHeight="1"/>
    <row r="845" ht="16.149999999999999" customHeight="1"/>
    <row r="846" ht="16.149999999999999" customHeight="1"/>
    <row r="847" ht="16.149999999999999" customHeight="1"/>
    <row r="848" ht="16.149999999999999" customHeight="1"/>
    <row r="849" ht="16.149999999999999" customHeight="1"/>
    <row r="850" ht="16.149999999999999" customHeight="1"/>
    <row r="851" ht="16.149999999999999" customHeight="1"/>
    <row r="852" ht="16.149999999999999" customHeight="1"/>
    <row r="853" ht="16.149999999999999" customHeight="1"/>
    <row r="854" ht="16.149999999999999" customHeight="1"/>
    <row r="855" ht="16.149999999999999" customHeight="1"/>
    <row r="856" ht="16.149999999999999" customHeight="1"/>
    <row r="857" ht="16.149999999999999" customHeight="1"/>
    <row r="858" ht="16.149999999999999" customHeight="1"/>
    <row r="859" ht="16.149999999999999" customHeight="1"/>
    <row r="860" ht="16.149999999999999" customHeight="1"/>
    <row r="861" ht="16.149999999999999" customHeight="1"/>
    <row r="862" ht="16.149999999999999" customHeight="1"/>
  </sheetData>
  <sheetProtection selectLockedCells="1"/>
  <mergeCells count="26">
    <mergeCell ref="S50:X52"/>
    <mergeCell ref="S53:Y56"/>
    <mergeCell ref="A59:E59"/>
    <mergeCell ref="F59:N59"/>
    <mergeCell ref="O59:S59"/>
    <mergeCell ref="S48:U48"/>
    <mergeCell ref="H22:L22"/>
    <mergeCell ref="M22:Q22"/>
    <mergeCell ref="S25:U25"/>
    <mergeCell ref="S26:U26"/>
    <mergeCell ref="S27:U27"/>
    <mergeCell ref="S28:U28"/>
    <mergeCell ref="S29:U29"/>
    <mergeCell ref="S33:V35"/>
    <mergeCell ref="A35:M35"/>
    <mergeCell ref="A47:P47"/>
    <mergeCell ref="S47:U47"/>
    <mergeCell ref="C22:G22"/>
    <mergeCell ref="S36:V39"/>
    <mergeCell ref="B2:I2"/>
    <mergeCell ref="A8:V8"/>
    <mergeCell ref="C9:G9"/>
    <mergeCell ref="H9:L9"/>
    <mergeCell ref="M9:Q9"/>
    <mergeCell ref="R9:V9"/>
    <mergeCell ref="A5:Q5"/>
  </mergeCells>
  <conditionalFormatting sqref="V25:V31">
    <cfRule type="duplicateValues" dxfId="31" priority="3"/>
  </conditionalFormatting>
  <conditionalFormatting sqref="V31">
    <cfRule type="containsText" dxfId="30" priority="1" operator="containsText" text="No">
      <formula>NOT(ISERROR(SEARCH("No",V31)))</formula>
    </cfRule>
    <cfRule type="containsText" dxfId="29" priority="2" operator="containsText" text="Yes">
      <formula>NOT(ISERROR(SEARCH("Yes",V31)))</formula>
    </cfRule>
  </conditionalFormatting>
  <dataValidations count="1">
    <dataValidation type="whole" allowBlank="1" showInputMessage="1" showErrorMessage="1" errorTitle="Error" error="Please enter a whole number greater than zero and less than 10,000." sqref="R12:U18 C12:F18 G25:G32 M12:P18 H12:K18 C25:F31 H25:K31 L12:L19 M25:P31 W12:AC18 G12:G19 L25:L32 Q12:Q19 V12:V19 Q25:Q32 C62:S68 D49:H55 J49:L55 N49:P55 J37:M43 D37:H43" xr:uid="{E99309DC-C1A2-45EE-B04D-EADA3C8405B6}">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colBreaks count="1" manualBreakCount="1">
    <brk id="10"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7799A-DE15-4837-89D8-FEFCE98B590F}">
  <sheetPr codeName="Sheet8">
    <tabColor rgb="FFFF0000"/>
  </sheetPr>
  <dimension ref="A4:G27"/>
  <sheetViews>
    <sheetView workbookViewId="0"/>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371</v>
      </c>
      <c r="D4" s="253" t="str">
        <f>VLOOKUP(Cover!A6,Cover!B319:D331,2,FALSE)</f>
        <v>2024/25</v>
      </c>
      <c r="E4" s="254" t="str">
        <f>Cover!A10</f>
        <v>Shropshire</v>
      </c>
    </row>
    <row r="7" spans="1:7">
      <c r="B7" t="s">
        <v>256</v>
      </c>
      <c r="C7" t="s">
        <v>257</v>
      </c>
      <c r="D7" t="s">
        <v>258</v>
      </c>
      <c r="E7" t="s">
        <v>259</v>
      </c>
      <c r="F7" t="s">
        <v>260</v>
      </c>
      <c r="G7" t="s">
        <v>261</v>
      </c>
    </row>
    <row r="8" spans="1:7">
      <c r="A8" t="s">
        <v>136</v>
      </c>
      <c r="B8" cm="1">
        <f t="array" ref="B8">SUMPRODUCT(('LE - PY data'!$A$2:$A$10000='LE2a PY'!$C$4)*('LE - PY data'!$B$2:$B$10000='LE2a PY'!$D$4)*('LE - PY data'!$C$2:$C$10000='LE2a PY'!$E$4)*('LE - PY data'!$E$2:$E$10000='LE2a PY'!B$7)*('LE - PY data'!$F$2:$F$10000='LE2a PY'!$A8)*('LE - PY data'!$G$2:$G$10000))</f>
        <v>0</v>
      </c>
      <c r="C8" cm="1">
        <f t="array" ref="C8">SUMPRODUCT(('LE - PY data'!$A$2:$A$10000='LE2a PY'!$C$4)*('LE - PY data'!$B$2:$B$10000='LE2a PY'!$D$4)*('LE - PY data'!$C$2:$C$10000='LE2a PY'!$E$4)*('LE - PY data'!$E$2:$E$10000='LE2a PY'!C$7)*('LE - PY data'!$F$2:$F$10000='LE2a PY'!$A8)*('LE - PY data'!$G$2:$G$10000))</f>
        <v>0</v>
      </c>
      <c r="D8" cm="1">
        <f t="array" ref="D8">SUMPRODUCT(('LE - PY data'!$A$2:$A$10000='LE2a PY'!$C$4)*('LE - PY data'!$B$2:$B$10000='LE2a PY'!$D$4)*('LE - PY data'!$C$2:$C$10000='LE2a PY'!$E$4)*('LE - PY data'!$E$2:$E$10000='LE2a PY'!D$7)*('LE - PY data'!$F$2:$F$10000='LE2a PY'!$A8)*('LE - PY data'!$G$2:$G$10000))</f>
        <v>0</v>
      </c>
      <c r="E8" cm="1">
        <f t="array" ref="E8">SUMPRODUCT(('LE - PY data'!$A$2:$A$10000='LE2a PY'!$C$4)*('LE - PY data'!$B$2:$B$10000='LE2a PY'!$D$4)*('LE - PY data'!$C$2:$C$10000='LE2a PY'!$E$4)*('LE - PY data'!$E$2:$E$10000='LE2a PY'!E$7)*('LE - PY data'!$F$2:$F$10000='LE2a PY'!$A8)*('LE - PY data'!$G$2:$G$10000))</f>
        <v>0</v>
      </c>
      <c r="F8" cm="1">
        <f t="array" ref="F8">SUMPRODUCT(('LE - PY data'!$A$2:$A$10000='LE2a PY'!$C$4)*('LE - PY data'!$B$2:$B$10000='LE2a PY'!$D$4)*('LE - PY data'!$C$2:$C$10000='LE2a PY'!$E$4)*('LE - PY data'!$E$2:$E$10000='LE2a PY'!F$7)*('LE - PY data'!$F$2:$F$10000='LE2a PY'!$A8)*('LE - PY data'!$G$2:$G$10000))</f>
        <v>0</v>
      </c>
      <c r="G8" cm="1">
        <f t="array" ref="G8">SUMPRODUCT(('LE - PY data'!$A$2:$A$10000='LE2a PY'!$C$4)*('LE - PY data'!$B$2:$B$10000='LE2a PY'!$D$4)*('LE - PY data'!$C$2:$C$10000='LE2a PY'!$E$4)*('LE - PY data'!$F$2:$F$10000='LE2a PY'!$A8)*('LE - PY data'!$G$2:$G$10000))</f>
        <v>0</v>
      </c>
    </row>
    <row r="9" spans="1:7">
      <c r="A9" t="s">
        <v>137</v>
      </c>
      <c r="B9" cm="1">
        <f t="array" ref="B9">SUMPRODUCT(('LE - PY data'!$A$2:$A$10000='LE2a PY'!$C$4)*('LE - PY data'!$B$2:$B$10000='LE2a PY'!$D$4)*('LE - PY data'!$C$2:$C$10000='LE2a PY'!$E$4)*('LE - PY data'!$E$2:$E$10000='LE2a PY'!B$7)*('LE - PY data'!$F$2:$F$10000='LE2a PY'!$A9)*('LE - PY data'!$G$2:$G$10000))</f>
        <v>0</v>
      </c>
      <c r="C9" cm="1">
        <f t="array" ref="C9">SUMPRODUCT(('LE - PY data'!$A$2:$A$10000='LE2a PY'!$C$4)*('LE - PY data'!$B$2:$B$10000='LE2a PY'!$D$4)*('LE - PY data'!$C$2:$C$10000='LE2a PY'!$E$4)*('LE - PY data'!$E$2:$E$10000='LE2a PY'!C$7)*('LE - PY data'!$F$2:$F$10000='LE2a PY'!$A9)*('LE - PY data'!$G$2:$G$10000))</f>
        <v>0</v>
      </c>
      <c r="D9" cm="1">
        <f t="array" ref="D9">SUMPRODUCT(('LE - PY data'!$A$2:$A$10000='LE2a PY'!$C$4)*('LE - PY data'!$B$2:$B$10000='LE2a PY'!$D$4)*('LE - PY data'!$C$2:$C$10000='LE2a PY'!$E$4)*('LE - PY data'!$E$2:$E$10000='LE2a PY'!D$7)*('LE - PY data'!$F$2:$F$10000='LE2a PY'!$A9)*('LE - PY data'!$G$2:$G$10000))</f>
        <v>0</v>
      </c>
      <c r="E9" cm="1">
        <f t="array" ref="E9">SUMPRODUCT(('LE - PY data'!$A$2:$A$10000='LE2a PY'!$C$4)*('LE - PY data'!$B$2:$B$10000='LE2a PY'!$D$4)*('LE - PY data'!$C$2:$C$10000='LE2a PY'!$E$4)*('LE - PY data'!$E$2:$E$10000='LE2a PY'!E$7)*('LE - PY data'!$F$2:$F$10000='LE2a PY'!$A9)*('LE - PY data'!$G$2:$G$10000))</f>
        <v>0</v>
      </c>
      <c r="F9" cm="1">
        <f t="array" ref="F9">SUMPRODUCT(('LE - PY data'!$A$2:$A$10000='LE2a PY'!$C$4)*('LE - PY data'!$B$2:$B$10000='LE2a PY'!$D$4)*('LE - PY data'!$C$2:$C$10000='LE2a PY'!$E$4)*('LE - PY data'!$E$2:$E$10000='LE2a PY'!F$7)*('LE - PY data'!$F$2:$F$10000='LE2a PY'!$A9)*('LE - PY data'!$G$2:$G$10000))</f>
        <v>0</v>
      </c>
      <c r="G9" cm="1">
        <f t="array" ref="G9">SUMPRODUCT(('LE - PY data'!$A$2:$A$10000='LE2a PY'!$C$4)*('LE - PY data'!$B$2:$B$10000='LE2a PY'!$D$4)*('LE - PY data'!$C$2:$C$10000='LE2a PY'!$E$4)*('LE - PY data'!$F$2:$F$10000='LE2a PY'!$A9)*('LE - PY data'!$G$2:$G$10000))</f>
        <v>0</v>
      </c>
    </row>
    <row r="10" spans="1:7">
      <c r="A10" t="s">
        <v>262</v>
      </c>
      <c r="B10" cm="1">
        <f t="array" ref="B10">SUMPRODUCT(('LE - PY data'!$A$2:$A$10000='LE2a PY'!$C$4)*('LE - PY data'!$B$2:$B$10000='LE2a PY'!$D$4)*('LE - PY data'!$C$2:$C$10000='LE2a PY'!$E$4)*('LE - PY data'!$E$2:$E$10000='LE2a PY'!B$7)*('LE - PY data'!$F$2:$F$10000='LE2a PY'!$A10)*('LE - PY data'!$G$2:$G$10000))</f>
        <v>0</v>
      </c>
      <c r="C10" cm="1">
        <f t="array" ref="C10">SUMPRODUCT(('LE - PY data'!$A$2:$A$10000='LE2a PY'!$C$4)*('LE - PY data'!$B$2:$B$10000='LE2a PY'!$D$4)*('LE - PY data'!$C$2:$C$10000='LE2a PY'!$E$4)*('LE - PY data'!$E$2:$E$10000='LE2a PY'!C$7)*('LE - PY data'!$F$2:$F$10000='LE2a PY'!$A10)*('LE - PY data'!$G$2:$G$10000))</f>
        <v>0</v>
      </c>
      <c r="D10" cm="1">
        <f t="array" ref="D10">SUMPRODUCT(('LE - PY data'!$A$2:$A$10000='LE2a PY'!$C$4)*('LE - PY data'!$B$2:$B$10000='LE2a PY'!$D$4)*('LE - PY data'!$C$2:$C$10000='LE2a PY'!$E$4)*('LE - PY data'!$E$2:$E$10000='LE2a PY'!D$7)*('LE - PY data'!$F$2:$F$10000='LE2a PY'!$A10)*('LE - PY data'!$G$2:$G$10000))</f>
        <v>0</v>
      </c>
      <c r="E10" cm="1">
        <f t="array" ref="E10">SUMPRODUCT(('LE - PY data'!$A$2:$A$10000='LE2a PY'!$C$4)*('LE - PY data'!$B$2:$B$10000='LE2a PY'!$D$4)*('LE - PY data'!$C$2:$C$10000='LE2a PY'!$E$4)*('LE - PY data'!$E$2:$E$10000='LE2a PY'!E$7)*('LE - PY data'!$F$2:$F$10000='LE2a PY'!$A10)*('LE - PY data'!$G$2:$G$10000))</f>
        <v>0</v>
      </c>
      <c r="F10" cm="1">
        <f t="array" ref="F10">SUMPRODUCT(('LE - PY data'!$A$2:$A$10000='LE2a PY'!$C$4)*('LE - PY data'!$B$2:$B$10000='LE2a PY'!$D$4)*('LE - PY data'!$C$2:$C$10000='LE2a PY'!$E$4)*('LE - PY data'!$E$2:$E$10000='LE2a PY'!F$7)*('LE - PY data'!$F$2:$F$10000='LE2a PY'!$A10)*('LE - PY data'!$G$2:$G$10000))</f>
        <v>0</v>
      </c>
      <c r="G10" cm="1">
        <f t="array" ref="G10">SUMPRODUCT(('LE - PY data'!$A$2:$A$10000='LE2a PY'!$C$4)*('LE - PY data'!$B$2:$B$10000='LE2a PY'!$D$4)*('LE - PY data'!$C$2:$C$10000='LE2a PY'!$E$4)*('LE - PY data'!$F$2:$F$10000='LE2a PY'!$A10)*('LE - PY data'!$G$2:$G$10000))</f>
        <v>0</v>
      </c>
    </row>
    <row r="11" spans="1:7">
      <c r="A11" t="s">
        <v>139</v>
      </c>
      <c r="B11" cm="1">
        <f t="array" ref="B11">SUMPRODUCT(('LE - PY data'!$A$2:$A$10000='LE2a PY'!$C$4)*('LE - PY data'!$B$2:$B$10000='LE2a PY'!$D$4)*('LE - PY data'!$C$2:$C$10000='LE2a PY'!$E$4)*('LE - PY data'!$E$2:$E$10000='LE2a PY'!B$7)*('LE - PY data'!$F$2:$F$10000='LE2a PY'!$A11)*('LE - PY data'!$G$2:$G$10000))</f>
        <v>0</v>
      </c>
      <c r="C11" cm="1">
        <f t="array" ref="C11">SUMPRODUCT(('LE - PY data'!$A$2:$A$10000='LE2a PY'!$C$4)*('LE - PY data'!$B$2:$B$10000='LE2a PY'!$D$4)*('LE - PY data'!$C$2:$C$10000='LE2a PY'!$E$4)*('LE - PY data'!$E$2:$E$10000='LE2a PY'!C$7)*('LE - PY data'!$F$2:$F$10000='LE2a PY'!$A11)*('LE - PY data'!$G$2:$G$10000))</f>
        <v>0</v>
      </c>
      <c r="D11" cm="1">
        <f t="array" ref="D11">SUMPRODUCT(('LE - PY data'!$A$2:$A$10000='LE2a PY'!$C$4)*('LE - PY data'!$B$2:$B$10000='LE2a PY'!$D$4)*('LE - PY data'!$C$2:$C$10000='LE2a PY'!$E$4)*('LE - PY data'!$E$2:$E$10000='LE2a PY'!D$7)*('LE - PY data'!$F$2:$F$10000='LE2a PY'!$A11)*('LE - PY data'!$G$2:$G$10000))</f>
        <v>0</v>
      </c>
      <c r="E11" cm="1">
        <f t="array" ref="E11">SUMPRODUCT(('LE - PY data'!$A$2:$A$10000='LE2a PY'!$C$4)*('LE - PY data'!$B$2:$B$10000='LE2a PY'!$D$4)*('LE - PY data'!$C$2:$C$10000='LE2a PY'!$E$4)*('LE - PY data'!$E$2:$E$10000='LE2a PY'!E$7)*('LE - PY data'!$F$2:$F$10000='LE2a PY'!$A11)*('LE - PY data'!$G$2:$G$10000))</f>
        <v>0</v>
      </c>
      <c r="F11" cm="1">
        <f t="array" ref="F11">SUMPRODUCT(('LE - PY data'!$A$2:$A$10000='LE2a PY'!$C$4)*('LE - PY data'!$B$2:$B$10000='LE2a PY'!$D$4)*('LE - PY data'!$C$2:$C$10000='LE2a PY'!$E$4)*('LE - PY data'!$E$2:$E$10000='LE2a PY'!F$7)*('LE - PY data'!$F$2:$F$10000='LE2a PY'!$A11)*('LE - PY data'!$G$2:$G$10000))</f>
        <v>0</v>
      </c>
      <c r="G11" cm="1">
        <f t="array" ref="G11">SUMPRODUCT(('LE - PY data'!$A$2:$A$10000='LE2a PY'!$C$4)*('LE - PY data'!$B$2:$B$10000='LE2a PY'!$D$4)*('LE - PY data'!$C$2:$C$10000='LE2a PY'!$E$4)*('LE - PY data'!$F$2:$F$10000='LE2a PY'!$A11)*('LE - PY data'!$G$2:$G$10000))</f>
        <v>0</v>
      </c>
    </row>
    <row r="12" spans="1:7">
      <c r="A12" t="s">
        <v>140</v>
      </c>
      <c r="B12" cm="1">
        <f t="array" ref="B12">SUMPRODUCT(('LE - PY data'!$A$2:$A$10000='LE2a PY'!$C$4)*('LE - PY data'!$B$2:$B$10000='LE2a PY'!$D$4)*('LE - PY data'!$C$2:$C$10000='LE2a PY'!$E$4)*('LE - PY data'!$E$2:$E$10000='LE2a PY'!B$7)*('LE - PY data'!$F$2:$F$10000='LE2a PY'!$A12)*('LE - PY data'!$G$2:$G$10000))</f>
        <v>0</v>
      </c>
      <c r="C12" cm="1">
        <f t="array" ref="C12">SUMPRODUCT(('LE - PY data'!$A$2:$A$10000='LE2a PY'!$C$4)*('LE - PY data'!$B$2:$B$10000='LE2a PY'!$D$4)*('LE - PY data'!$C$2:$C$10000='LE2a PY'!$E$4)*('LE - PY data'!$E$2:$E$10000='LE2a PY'!C$7)*('LE - PY data'!$F$2:$F$10000='LE2a PY'!$A12)*('LE - PY data'!$G$2:$G$10000))</f>
        <v>0</v>
      </c>
      <c r="D12" cm="1">
        <f t="array" ref="D12">SUMPRODUCT(('LE - PY data'!$A$2:$A$10000='LE2a PY'!$C$4)*('LE - PY data'!$B$2:$B$10000='LE2a PY'!$D$4)*('LE - PY data'!$C$2:$C$10000='LE2a PY'!$E$4)*('LE - PY data'!$E$2:$E$10000='LE2a PY'!D$7)*('LE - PY data'!$F$2:$F$10000='LE2a PY'!$A12)*('LE - PY data'!$G$2:$G$10000))</f>
        <v>0</v>
      </c>
      <c r="E12" cm="1">
        <f t="array" ref="E12">SUMPRODUCT(('LE - PY data'!$A$2:$A$10000='LE2a PY'!$C$4)*('LE - PY data'!$B$2:$B$10000='LE2a PY'!$D$4)*('LE - PY data'!$C$2:$C$10000='LE2a PY'!$E$4)*('LE - PY data'!$E$2:$E$10000='LE2a PY'!E$7)*('LE - PY data'!$F$2:$F$10000='LE2a PY'!$A12)*('LE - PY data'!$G$2:$G$10000))</f>
        <v>0</v>
      </c>
      <c r="F12" cm="1">
        <f t="array" ref="F12">SUMPRODUCT(('LE - PY data'!$A$2:$A$10000='LE2a PY'!$C$4)*('LE - PY data'!$B$2:$B$10000='LE2a PY'!$D$4)*('LE - PY data'!$C$2:$C$10000='LE2a PY'!$E$4)*('LE - PY data'!$E$2:$E$10000='LE2a PY'!F$7)*('LE - PY data'!$F$2:$F$10000='LE2a PY'!$A12)*('LE - PY data'!$G$2:$G$10000))</f>
        <v>0</v>
      </c>
      <c r="G12" cm="1">
        <f t="array" ref="G12">SUMPRODUCT(('LE - PY data'!$A$2:$A$10000='LE2a PY'!$C$4)*('LE - PY data'!$B$2:$B$10000='LE2a PY'!$D$4)*('LE - PY data'!$C$2:$C$10000='LE2a PY'!$E$4)*('LE - PY data'!$F$2:$F$10000='LE2a PY'!$A12)*('LE - PY data'!$G$2:$G$10000))</f>
        <v>0</v>
      </c>
    </row>
    <row r="13" spans="1:7">
      <c r="A13" t="s">
        <v>141</v>
      </c>
      <c r="B13" cm="1">
        <f t="array" ref="B13">SUMPRODUCT(('LE - PY data'!$A$2:$A$10000='LE2a PY'!$C$4)*('LE - PY data'!$B$2:$B$10000='LE2a PY'!$D$4)*('LE - PY data'!$C$2:$C$10000='LE2a PY'!$E$4)*('LE - PY data'!$E$2:$E$10000='LE2a PY'!B$7)*('LE - PY data'!$F$2:$F$10000='LE2a PY'!$A13)*('LE - PY data'!$G$2:$G$10000))</f>
        <v>0</v>
      </c>
      <c r="C13" cm="1">
        <f t="array" ref="C13">SUMPRODUCT(('LE - PY data'!$A$2:$A$10000='LE2a PY'!$C$4)*('LE - PY data'!$B$2:$B$10000='LE2a PY'!$D$4)*('LE - PY data'!$C$2:$C$10000='LE2a PY'!$E$4)*('LE - PY data'!$E$2:$E$10000='LE2a PY'!C$7)*('LE - PY data'!$F$2:$F$10000='LE2a PY'!$A13)*('LE - PY data'!$G$2:$G$10000))</f>
        <v>0</v>
      </c>
      <c r="D13" cm="1">
        <f t="array" ref="D13">SUMPRODUCT(('LE - PY data'!$A$2:$A$10000='LE2a PY'!$C$4)*('LE - PY data'!$B$2:$B$10000='LE2a PY'!$D$4)*('LE - PY data'!$C$2:$C$10000='LE2a PY'!$E$4)*('LE - PY data'!$E$2:$E$10000='LE2a PY'!D$7)*('LE - PY data'!$F$2:$F$10000='LE2a PY'!$A13)*('LE - PY data'!$G$2:$G$10000))</f>
        <v>0</v>
      </c>
      <c r="E13" cm="1">
        <f t="array" ref="E13">SUMPRODUCT(('LE - PY data'!$A$2:$A$10000='LE2a PY'!$C$4)*('LE - PY data'!$B$2:$B$10000='LE2a PY'!$D$4)*('LE - PY data'!$C$2:$C$10000='LE2a PY'!$E$4)*('LE - PY data'!$E$2:$E$10000='LE2a PY'!E$7)*('LE - PY data'!$F$2:$F$10000='LE2a PY'!$A13)*('LE - PY data'!$G$2:$G$10000))</f>
        <v>0</v>
      </c>
      <c r="F13" cm="1">
        <f t="array" ref="F13">SUMPRODUCT(('LE - PY data'!$A$2:$A$10000='LE2a PY'!$C$4)*('LE - PY data'!$B$2:$B$10000='LE2a PY'!$D$4)*('LE - PY data'!$C$2:$C$10000='LE2a PY'!$E$4)*('LE - PY data'!$E$2:$E$10000='LE2a PY'!F$7)*('LE - PY data'!$F$2:$F$10000='LE2a PY'!$A13)*('LE - PY data'!$G$2:$G$10000))</f>
        <v>0</v>
      </c>
      <c r="G13" cm="1">
        <f t="array" ref="G13">SUMPRODUCT(('LE - PY data'!$A$2:$A$10000='LE2a PY'!$C$4)*('LE - PY data'!$B$2:$B$10000='LE2a PY'!$D$4)*('LE - PY data'!$C$2:$C$10000='LE2a PY'!$E$4)*('LE - PY data'!$F$2:$F$10000='LE2a PY'!$A13)*('LE - PY data'!$G$2:$G$10000))</f>
        <v>0</v>
      </c>
    </row>
    <row r="14" spans="1:7">
      <c r="A14" t="s">
        <v>263</v>
      </c>
      <c r="B14" cm="1">
        <f t="array" ref="B14">SUMPRODUCT(('LE - PY data'!$A$2:$A$10000='LE2a PY'!$C$4)*('LE - PY data'!$B$2:$B$10000='LE2a PY'!$D$4)*('LE - PY data'!$C$2:$C$10000='LE2a PY'!$E$4)*('LE - PY data'!$E$2:$E$10000='LE2a PY'!B$7)*('LE - PY data'!$F$2:$F$10000='LE2a PY'!$A14)*('LE - PY data'!$G$2:$G$10000))</f>
        <v>0</v>
      </c>
      <c r="C14" cm="1">
        <f t="array" ref="C14">SUMPRODUCT(('LE - PY data'!$A$2:$A$10000='LE2a PY'!$C$4)*('LE - PY data'!$B$2:$B$10000='LE2a PY'!$D$4)*('LE - PY data'!$C$2:$C$10000='LE2a PY'!$E$4)*('LE - PY data'!$E$2:$E$10000='LE2a PY'!C$7)*('LE - PY data'!$F$2:$F$10000='LE2a PY'!$A14)*('LE - PY data'!$G$2:$G$10000))</f>
        <v>0</v>
      </c>
      <c r="D14" cm="1">
        <f t="array" ref="D14">SUMPRODUCT(('LE - PY data'!$A$2:$A$10000='LE2a PY'!$C$4)*('LE - PY data'!$B$2:$B$10000='LE2a PY'!$D$4)*('LE - PY data'!$C$2:$C$10000='LE2a PY'!$E$4)*('LE - PY data'!$E$2:$E$10000='LE2a PY'!D$7)*('LE - PY data'!$F$2:$F$10000='LE2a PY'!$A14)*('LE - PY data'!$G$2:$G$10000))</f>
        <v>0</v>
      </c>
      <c r="E14" cm="1">
        <f t="array" ref="E14">SUMPRODUCT(('LE - PY data'!$A$2:$A$10000='LE2a PY'!$C$4)*('LE - PY data'!$B$2:$B$10000='LE2a PY'!$D$4)*('LE - PY data'!$C$2:$C$10000='LE2a PY'!$E$4)*('LE - PY data'!$E$2:$E$10000='LE2a PY'!E$7)*('LE - PY data'!$F$2:$F$10000='LE2a PY'!$A14)*('LE - PY data'!$G$2:$G$10000))</f>
        <v>0</v>
      </c>
      <c r="F14" cm="1">
        <f t="array" ref="F14">SUMPRODUCT(('LE - PY data'!$A$2:$A$10000='LE2a PY'!$C$4)*('LE - PY data'!$B$2:$B$10000='LE2a PY'!$D$4)*('LE - PY data'!$C$2:$C$10000='LE2a PY'!$E$4)*('LE - PY data'!$E$2:$E$10000='LE2a PY'!F$7)*('LE - PY data'!$F$2:$F$10000='LE2a PY'!$A14)*('LE - PY data'!$G$2:$G$10000))</f>
        <v>0</v>
      </c>
      <c r="G14" cm="1">
        <f t="array" ref="G14">SUMPRODUCT(('LE - PY data'!$A$2:$A$10000='LE2a PY'!$C$4)*('LE - PY data'!$B$2:$B$10000='LE2a PY'!$D$4)*('LE - PY data'!$C$2:$C$10000='LE2a PY'!$E$4)*('LE - PY data'!$F$2:$F$10000='LE2a PY'!$A14)*('LE - PY data'!$G$2:$G$10000))</f>
        <v>0</v>
      </c>
    </row>
    <row r="15" spans="1:7">
      <c r="A15" t="s">
        <v>145</v>
      </c>
      <c r="B15" cm="1">
        <f t="array" ref="B15">SUMPRODUCT(('LE - PY data'!$A$2:$A$10000='LE2a PY'!$C$4)*('LE - PY data'!$B$2:$B$10000='LE2a PY'!$D$4)*('LE - PY data'!$C$2:$C$10000='LE2a PY'!$E$4)*('LE - PY data'!$E$2:$E$10000='LE2a PY'!B$7)*('LE - PY data'!$F$2:$F$10000='LE2a PY'!$A15)*('LE - PY data'!$G$2:$G$10000))</f>
        <v>0</v>
      </c>
      <c r="C15" cm="1">
        <f t="array" ref="C15">SUMPRODUCT(('LE - PY data'!$A$2:$A$10000='LE2a PY'!$C$4)*('LE - PY data'!$B$2:$B$10000='LE2a PY'!$D$4)*('LE - PY data'!$C$2:$C$10000='LE2a PY'!$E$4)*('LE - PY data'!$E$2:$E$10000='LE2a PY'!C$7)*('LE - PY data'!$F$2:$F$10000='LE2a PY'!$A15)*('LE - PY data'!$G$2:$G$10000))</f>
        <v>0</v>
      </c>
      <c r="D15" cm="1">
        <f t="array" ref="D15">SUMPRODUCT(('LE - PY data'!$A$2:$A$10000='LE2a PY'!$C$4)*('LE - PY data'!$B$2:$B$10000='LE2a PY'!$D$4)*('LE - PY data'!$C$2:$C$10000='LE2a PY'!$E$4)*('LE - PY data'!$E$2:$E$10000='LE2a PY'!D$7)*('LE - PY data'!$F$2:$F$10000='LE2a PY'!$A15)*('LE - PY data'!$G$2:$G$10000))</f>
        <v>0</v>
      </c>
      <c r="E15" cm="1">
        <f t="array" ref="E15">SUMPRODUCT(('LE - PY data'!$A$2:$A$10000='LE2a PY'!$C$4)*('LE - PY data'!$B$2:$B$10000='LE2a PY'!$D$4)*('LE - PY data'!$C$2:$C$10000='LE2a PY'!$E$4)*('LE - PY data'!$E$2:$E$10000='LE2a PY'!E$7)*('LE - PY data'!$F$2:$F$10000='LE2a PY'!$A15)*('LE - PY data'!$G$2:$G$10000))</f>
        <v>0</v>
      </c>
      <c r="F15" cm="1">
        <f t="array" ref="F15">SUMPRODUCT(('LE - PY data'!$A$2:$A$10000='LE2a PY'!$C$4)*('LE - PY data'!$B$2:$B$10000='LE2a PY'!$D$4)*('LE - PY data'!$C$2:$C$10000='LE2a PY'!$E$4)*('LE - PY data'!$E$2:$E$10000='LE2a PY'!F$7)*('LE - PY data'!$F$2:$F$10000='LE2a PY'!$A15)*('LE - PY data'!$G$2:$G$10000))</f>
        <v>0</v>
      </c>
      <c r="G15" cm="1">
        <f t="array" ref="G15">SUMPRODUCT(('LE - PY data'!$A$2:$A$10000='LE2a PY'!$C$4)*('LE - PY data'!$B$2:$B$10000='LE2a PY'!$D$4)*('LE - PY data'!$C$2:$C$10000='LE2a PY'!$E$4)*('LE - PY data'!$F$2:$F$10000='LE2a PY'!$A15)*('LE - PY data'!$G$2:$G$10000))</f>
        <v>0</v>
      </c>
    </row>
    <row r="16" spans="1:7">
      <c r="A16" t="s">
        <v>146</v>
      </c>
      <c r="B16" cm="1">
        <f t="array" ref="B16">SUMPRODUCT(('LE - PY data'!$A$2:$A$10000='LE2a PY'!$C$4)*('LE - PY data'!$B$2:$B$10000='LE2a PY'!$D$4)*('LE - PY data'!$C$2:$C$10000='LE2a PY'!$E$4)*('LE - PY data'!$E$2:$E$10000='LE2a PY'!B$7)*('LE - PY data'!$F$2:$F$10000='LE2a PY'!$A16)*('LE - PY data'!$G$2:$G$10000))</f>
        <v>0</v>
      </c>
      <c r="C16" cm="1">
        <f t="array" ref="C16">SUMPRODUCT(('LE - PY data'!$A$2:$A$10000='LE2a PY'!$C$4)*('LE - PY data'!$B$2:$B$10000='LE2a PY'!$D$4)*('LE - PY data'!$C$2:$C$10000='LE2a PY'!$E$4)*('LE - PY data'!$E$2:$E$10000='LE2a PY'!C$7)*('LE - PY data'!$F$2:$F$10000='LE2a PY'!$A16)*('LE - PY data'!$G$2:$G$10000))</f>
        <v>0</v>
      </c>
      <c r="D16" cm="1">
        <f t="array" ref="D16">SUMPRODUCT(('LE - PY data'!$A$2:$A$10000='LE2a PY'!$C$4)*('LE - PY data'!$B$2:$B$10000='LE2a PY'!$D$4)*('LE - PY data'!$C$2:$C$10000='LE2a PY'!$E$4)*('LE - PY data'!$E$2:$E$10000='LE2a PY'!D$7)*('LE - PY data'!$F$2:$F$10000='LE2a PY'!$A16)*('LE - PY data'!$G$2:$G$10000))</f>
        <v>0</v>
      </c>
      <c r="E16" cm="1">
        <f t="array" ref="E16">SUMPRODUCT(('LE - PY data'!$A$2:$A$10000='LE2a PY'!$C$4)*('LE - PY data'!$B$2:$B$10000='LE2a PY'!$D$4)*('LE - PY data'!$C$2:$C$10000='LE2a PY'!$E$4)*('LE - PY data'!$E$2:$E$10000='LE2a PY'!E$7)*('LE - PY data'!$F$2:$F$10000='LE2a PY'!$A16)*('LE - PY data'!$G$2:$G$10000))</f>
        <v>0</v>
      </c>
      <c r="F16" cm="1">
        <f t="array" ref="F16">SUMPRODUCT(('LE - PY data'!$A$2:$A$10000='LE2a PY'!$C$4)*('LE - PY data'!$B$2:$B$10000='LE2a PY'!$D$4)*('LE - PY data'!$C$2:$C$10000='LE2a PY'!$E$4)*('LE - PY data'!$E$2:$E$10000='LE2a PY'!F$7)*('LE - PY data'!$F$2:$F$10000='LE2a PY'!$A16)*('LE - PY data'!$G$2:$G$10000))</f>
        <v>0</v>
      </c>
      <c r="G16" cm="1">
        <f t="array" ref="G16">SUMPRODUCT(('LE - PY data'!$A$2:$A$10000='LE2a PY'!$C$4)*('LE - PY data'!$B$2:$B$10000='LE2a PY'!$D$4)*('LE - PY data'!$C$2:$C$10000='LE2a PY'!$E$4)*('LE - PY data'!$F$2:$F$10000='LE2a PY'!$A16)*('LE - PY data'!$G$2:$G$10000))</f>
        <v>0</v>
      </c>
    </row>
    <row r="17" spans="1:7">
      <c r="A17" t="s">
        <v>264</v>
      </c>
      <c r="B17" cm="1">
        <f t="array" ref="B17">SUMPRODUCT(('LE - PY data'!$A$2:$A$10000='LE2a PY'!$C$4)*('LE - PY data'!$B$2:$B$10000='LE2a PY'!$D$4)*('LE - PY data'!$C$2:$C$10000='LE2a PY'!$E$4)*('LE - PY data'!$E$2:$E$10000='LE2a PY'!B$7)*('LE - PY data'!$F$2:$F$10000='LE2a PY'!$A17)*('LE - PY data'!$G$2:$G$10000))</f>
        <v>0</v>
      </c>
      <c r="C17" cm="1">
        <f t="array" ref="C17">SUMPRODUCT(('LE - PY data'!$A$2:$A$10000='LE2a PY'!$C$4)*('LE - PY data'!$B$2:$B$10000='LE2a PY'!$D$4)*('LE - PY data'!$C$2:$C$10000='LE2a PY'!$E$4)*('LE - PY data'!$E$2:$E$10000='LE2a PY'!C$7)*('LE - PY data'!$F$2:$F$10000='LE2a PY'!$A17)*('LE - PY data'!$G$2:$G$10000))</f>
        <v>0</v>
      </c>
      <c r="D17" cm="1">
        <f t="array" ref="D17">SUMPRODUCT(('LE - PY data'!$A$2:$A$10000='LE2a PY'!$C$4)*('LE - PY data'!$B$2:$B$10000='LE2a PY'!$D$4)*('LE - PY data'!$C$2:$C$10000='LE2a PY'!$E$4)*('LE - PY data'!$E$2:$E$10000='LE2a PY'!D$7)*('LE - PY data'!$F$2:$F$10000='LE2a PY'!$A17)*('LE - PY data'!$G$2:$G$10000))</f>
        <v>0</v>
      </c>
      <c r="E17" cm="1">
        <f t="array" ref="E17">SUMPRODUCT(('LE - PY data'!$A$2:$A$10000='LE2a PY'!$C$4)*('LE - PY data'!$B$2:$B$10000='LE2a PY'!$D$4)*('LE - PY data'!$C$2:$C$10000='LE2a PY'!$E$4)*('LE - PY data'!$E$2:$E$10000='LE2a PY'!E$7)*('LE - PY data'!$F$2:$F$10000='LE2a PY'!$A17)*('LE - PY data'!$G$2:$G$10000))</f>
        <v>0</v>
      </c>
      <c r="F17" cm="1">
        <f t="array" ref="F17">SUMPRODUCT(('LE - PY data'!$A$2:$A$10000='LE2a PY'!$C$4)*('LE - PY data'!$B$2:$B$10000='LE2a PY'!$D$4)*('LE - PY data'!$C$2:$C$10000='LE2a PY'!$E$4)*('LE - PY data'!$E$2:$E$10000='LE2a PY'!F$7)*('LE - PY data'!$F$2:$F$10000='LE2a PY'!$A17)*('LE - PY data'!$G$2:$G$10000))</f>
        <v>0</v>
      </c>
      <c r="G17" cm="1">
        <f t="array" ref="G17">SUMPRODUCT(('LE - PY data'!$A$2:$A$10000='LE2a PY'!$C$4)*('LE - PY data'!$B$2:$B$10000='LE2a PY'!$D$4)*('LE - PY data'!$C$2:$C$10000='LE2a PY'!$E$4)*('LE - PY data'!$F$2:$F$10000='LE2a PY'!$A17)*('LE - PY data'!$G$2:$G$10000))</f>
        <v>0</v>
      </c>
    </row>
    <row r="18" spans="1:7">
      <c r="A18" t="s">
        <v>147</v>
      </c>
      <c r="B18" cm="1">
        <f t="array" ref="B18">SUMPRODUCT(('LE - PY data'!$A$2:$A$10000='LE2a PY'!$C$4)*('LE - PY data'!$B$2:$B$10000='LE2a PY'!$D$4)*('LE - PY data'!$C$2:$C$10000='LE2a PY'!$E$4)*('LE - PY data'!$E$2:$E$10000='LE2a PY'!B$7)*('LE - PY data'!$F$2:$F$10000='LE2a PY'!$A18)*('LE - PY data'!$G$2:$G$10000))</f>
        <v>0</v>
      </c>
      <c r="C18" cm="1">
        <f t="array" ref="C18">SUMPRODUCT(('LE - PY data'!$A$2:$A$10000='LE2a PY'!$C$4)*('LE - PY data'!$B$2:$B$10000='LE2a PY'!$D$4)*('LE - PY data'!$C$2:$C$10000='LE2a PY'!$E$4)*('LE - PY data'!$E$2:$E$10000='LE2a PY'!C$7)*('LE - PY data'!$F$2:$F$10000='LE2a PY'!$A18)*('LE - PY data'!$G$2:$G$10000))</f>
        <v>0</v>
      </c>
      <c r="D18" cm="1">
        <f t="array" ref="D18">SUMPRODUCT(('LE - PY data'!$A$2:$A$10000='LE2a PY'!$C$4)*('LE - PY data'!$B$2:$B$10000='LE2a PY'!$D$4)*('LE - PY data'!$C$2:$C$10000='LE2a PY'!$E$4)*('LE - PY data'!$E$2:$E$10000='LE2a PY'!D$7)*('LE - PY data'!$F$2:$F$10000='LE2a PY'!$A18)*('LE - PY data'!$G$2:$G$10000))</f>
        <v>0</v>
      </c>
      <c r="E18" cm="1">
        <f t="array" ref="E18">SUMPRODUCT(('LE - PY data'!$A$2:$A$10000='LE2a PY'!$C$4)*('LE - PY data'!$B$2:$B$10000='LE2a PY'!$D$4)*('LE - PY data'!$C$2:$C$10000='LE2a PY'!$E$4)*('LE - PY data'!$E$2:$E$10000='LE2a PY'!E$7)*('LE - PY data'!$F$2:$F$10000='LE2a PY'!$A18)*('LE - PY data'!$G$2:$G$10000))</f>
        <v>0</v>
      </c>
      <c r="F18" cm="1">
        <f t="array" ref="F18">SUMPRODUCT(('LE - PY data'!$A$2:$A$10000='LE2a PY'!$C$4)*('LE - PY data'!$B$2:$B$10000='LE2a PY'!$D$4)*('LE - PY data'!$C$2:$C$10000='LE2a PY'!$E$4)*('LE - PY data'!$E$2:$E$10000='LE2a PY'!F$7)*('LE - PY data'!$F$2:$F$10000='LE2a PY'!$A18)*('LE - PY data'!$G$2:$G$10000))</f>
        <v>0</v>
      </c>
      <c r="G18" cm="1">
        <f t="array" ref="G18">SUMPRODUCT(('LE - PY data'!$A$2:$A$10000='LE2a PY'!$C$4)*('LE - PY data'!$B$2:$B$10000='LE2a PY'!$D$4)*('LE - PY data'!$C$2:$C$10000='LE2a PY'!$E$4)*('LE - PY data'!$F$2:$F$10000='LE2a PY'!$A18)*('LE - PY data'!$G$2:$G$10000))</f>
        <v>0</v>
      </c>
    </row>
    <row r="19" spans="1:7">
      <c r="A19" t="s">
        <v>148</v>
      </c>
      <c r="B19" cm="1">
        <f t="array" ref="B19">SUMPRODUCT(('LE - PY data'!$A$2:$A$10000='LE2a PY'!$C$4)*('LE - PY data'!$B$2:$B$10000='LE2a PY'!$D$4)*('LE - PY data'!$C$2:$C$10000='LE2a PY'!$E$4)*('LE - PY data'!$E$2:$E$10000='LE2a PY'!B$7)*('LE - PY data'!$F$2:$F$10000='LE2a PY'!$A19)*('LE - PY data'!$G$2:$G$10000))</f>
        <v>0</v>
      </c>
      <c r="C19" cm="1">
        <f t="array" ref="C19">SUMPRODUCT(('LE - PY data'!$A$2:$A$10000='LE2a PY'!$C$4)*('LE - PY data'!$B$2:$B$10000='LE2a PY'!$D$4)*('LE - PY data'!$C$2:$C$10000='LE2a PY'!$E$4)*('LE - PY data'!$E$2:$E$10000='LE2a PY'!C$7)*('LE - PY data'!$F$2:$F$10000='LE2a PY'!$A19)*('LE - PY data'!$G$2:$G$10000))</f>
        <v>0</v>
      </c>
      <c r="D19" cm="1">
        <f t="array" ref="D19">SUMPRODUCT(('LE - PY data'!$A$2:$A$10000='LE2a PY'!$C$4)*('LE - PY data'!$B$2:$B$10000='LE2a PY'!$D$4)*('LE - PY data'!$C$2:$C$10000='LE2a PY'!$E$4)*('LE - PY data'!$E$2:$E$10000='LE2a PY'!D$7)*('LE - PY data'!$F$2:$F$10000='LE2a PY'!$A19)*('LE - PY data'!$G$2:$G$10000))</f>
        <v>0</v>
      </c>
      <c r="E19" cm="1">
        <f t="array" ref="E19">SUMPRODUCT(('LE - PY data'!$A$2:$A$10000='LE2a PY'!$C$4)*('LE - PY data'!$B$2:$B$10000='LE2a PY'!$D$4)*('LE - PY data'!$C$2:$C$10000='LE2a PY'!$E$4)*('LE - PY data'!$E$2:$E$10000='LE2a PY'!E$7)*('LE - PY data'!$F$2:$F$10000='LE2a PY'!$A19)*('LE - PY data'!$G$2:$G$10000))</f>
        <v>0</v>
      </c>
      <c r="F19" cm="1">
        <f t="array" ref="F19">SUMPRODUCT(('LE - PY data'!$A$2:$A$10000='LE2a PY'!$C$4)*('LE - PY data'!$B$2:$B$10000='LE2a PY'!$D$4)*('LE - PY data'!$C$2:$C$10000='LE2a PY'!$E$4)*('LE - PY data'!$E$2:$E$10000='LE2a PY'!F$7)*('LE - PY data'!$F$2:$F$10000='LE2a PY'!$A19)*('LE - PY data'!$G$2:$G$10000))</f>
        <v>0</v>
      </c>
      <c r="G19" cm="1">
        <f t="array" ref="G19">SUMPRODUCT(('LE - PY data'!$A$2:$A$10000='LE2a PY'!$C$4)*('LE - PY data'!$B$2:$B$10000='LE2a PY'!$D$4)*('LE - PY data'!$C$2:$C$10000='LE2a PY'!$E$4)*('LE - PY data'!$F$2:$F$10000='LE2a PY'!$A19)*('LE - PY data'!$G$2:$G$10000))</f>
        <v>0</v>
      </c>
    </row>
    <row r="20" spans="1:7">
      <c r="A20" t="s">
        <v>265</v>
      </c>
      <c r="B20" cm="1">
        <f t="array" ref="B20">SUMPRODUCT(('LE - PY data'!$A$2:$A$10000='LE2a PY'!$C$4)*('LE - PY data'!$B$2:$B$10000='LE2a PY'!$D$4)*('LE - PY data'!$C$2:$C$10000='LE2a PY'!$E$4)*('LE - PY data'!$E$2:$E$10000='LE2a PY'!B$7)*('LE - PY data'!$F$2:$F$10000='LE2a PY'!$A20)*('LE - PY data'!$G$2:$G$10000))</f>
        <v>0</v>
      </c>
      <c r="C20" cm="1">
        <f t="array" ref="C20">SUMPRODUCT(('LE - PY data'!$A$2:$A$10000='LE2a PY'!$C$4)*('LE - PY data'!$B$2:$B$10000='LE2a PY'!$D$4)*('LE - PY data'!$C$2:$C$10000='LE2a PY'!$E$4)*('LE - PY data'!$E$2:$E$10000='LE2a PY'!C$7)*('LE - PY data'!$F$2:$F$10000='LE2a PY'!$A20)*('LE - PY data'!$G$2:$G$10000))</f>
        <v>0</v>
      </c>
      <c r="D20" cm="1">
        <f t="array" ref="D20">SUMPRODUCT(('LE - PY data'!$A$2:$A$10000='LE2a PY'!$C$4)*('LE - PY data'!$B$2:$B$10000='LE2a PY'!$D$4)*('LE - PY data'!$C$2:$C$10000='LE2a PY'!$E$4)*('LE - PY data'!$E$2:$E$10000='LE2a PY'!D$7)*('LE - PY data'!$F$2:$F$10000='LE2a PY'!$A20)*('LE - PY data'!$G$2:$G$10000))</f>
        <v>0</v>
      </c>
      <c r="E20" cm="1">
        <f t="array" ref="E20">SUMPRODUCT(('LE - PY data'!$A$2:$A$10000='LE2a PY'!$C$4)*('LE - PY data'!$B$2:$B$10000='LE2a PY'!$D$4)*('LE - PY data'!$C$2:$C$10000='LE2a PY'!$E$4)*('LE - PY data'!$E$2:$E$10000='LE2a PY'!E$7)*('LE - PY data'!$F$2:$F$10000='LE2a PY'!$A20)*('LE - PY data'!$G$2:$G$10000))</f>
        <v>0</v>
      </c>
      <c r="F20" cm="1">
        <f t="array" ref="F20">SUMPRODUCT(('LE - PY data'!$A$2:$A$10000='LE2a PY'!$C$4)*('LE - PY data'!$B$2:$B$10000='LE2a PY'!$D$4)*('LE - PY data'!$C$2:$C$10000='LE2a PY'!$E$4)*('LE - PY data'!$E$2:$E$10000='LE2a PY'!F$7)*('LE - PY data'!$F$2:$F$10000='LE2a PY'!$A20)*('LE - PY data'!$G$2:$G$10000))</f>
        <v>0</v>
      </c>
      <c r="G20" cm="1">
        <f t="array" ref="G20">SUMPRODUCT(('LE - PY data'!$A$2:$A$10000='LE2a PY'!$C$4)*('LE - PY data'!$B$2:$B$10000='LE2a PY'!$D$4)*('LE - PY data'!$C$2:$C$10000='LE2a PY'!$E$4)*('LE - PY data'!$F$2:$F$10000='LE2a PY'!$A20)*('LE - PY data'!$G$2:$G$10000))</f>
        <v>0</v>
      </c>
    </row>
    <row r="21" spans="1:7">
      <c r="A21" t="s">
        <v>149</v>
      </c>
      <c r="B21" cm="1">
        <f t="array" ref="B21">SUMPRODUCT(('LE - PY data'!$A$2:$A$10000='LE2a PY'!$C$4)*('LE - PY data'!$B$2:$B$10000='LE2a PY'!$D$4)*('LE - PY data'!$C$2:$C$10000='LE2a PY'!$E$4)*('LE - PY data'!$E$2:$E$10000='LE2a PY'!B$7)*('LE - PY data'!$F$2:$F$10000='LE2a PY'!$A21)*('LE - PY data'!$G$2:$G$10000))</f>
        <v>0</v>
      </c>
      <c r="C21" cm="1">
        <f t="array" ref="C21">SUMPRODUCT(('LE - PY data'!$A$2:$A$10000='LE2a PY'!$C$4)*('LE - PY data'!$B$2:$B$10000='LE2a PY'!$D$4)*('LE - PY data'!$C$2:$C$10000='LE2a PY'!$E$4)*('LE - PY data'!$E$2:$E$10000='LE2a PY'!C$7)*('LE - PY data'!$F$2:$F$10000='LE2a PY'!$A21)*('LE - PY data'!$G$2:$G$10000))</f>
        <v>0</v>
      </c>
      <c r="D21" cm="1">
        <f t="array" ref="D21">SUMPRODUCT(('LE - PY data'!$A$2:$A$10000='LE2a PY'!$C$4)*('LE - PY data'!$B$2:$B$10000='LE2a PY'!$D$4)*('LE - PY data'!$C$2:$C$10000='LE2a PY'!$E$4)*('LE - PY data'!$E$2:$E$10000='LE2a PY'!D$7)*('LE - PY data'!$F$2:$F$10000='LE2a PY'!$A21)*('LE - PY data'!$G$2:$G$10000))</f>
        <v>0</v>
      </c>
      <c r="E21" cm="1">
        <f t="array" ref="E21">SUMPRODUCT(('LE - PY data'!$A$2:$A$10000='LE2a PY'!$C$4)*('LE - PY data'!$B$2:$B$10000='LE2a PY'!$D$4)*('LE - PY data'!$C$2:$C$10000='LE2a PY'!$E$4)*('LE - PY data'!$E$2:$E$10000='LE2a PY'!E$7)*('LE - PY data'!$F$2:$F$10000='LE2a PY'!$A21)*('LE - PY data'!$G$2:$G$10000))</f>
        <v>0</v>
      </c>
      <c r="F21" cm="1">
        <f t="array" ref="F21">SUMPRODUCT(('LE - PY data'!$A$2:$A$10000='LE2a PY'!$C$4)*('LE - PY data'!$B$2:$B$10000='LE2a PY'!$D$4)*('LE - PY data'!$C$2:$C$10000='LE2a PY'!$E$4)*('LE - PY data'!$E$2:$E$10000='LE2a PY'!F$7)*('LE - PY data'!$F$2:$F$10000='LE2a PY'!$A21)*('LE - PY data'!$G$2:$G$10000))</f>
        <v>0</v>
      </c>
      <c r="G21" cm="1">
        <f t="array" ref="G21">SUMPRODUCT(('LE - PY data'!$A$2:$A$10000='LE2a PY'!$C$4)*('LE - PY data'!$B$2:$B$10000='LE2a PY'!$D$4)*('LE - PY data'!$C$2:$C$10000='LE2a PY'!$E$4)*('LE - PY data'!$F$2:$F$10000='LE2a PY'!$A21)*('LE - PY data'!$G$2:$G$10000))</f>
        <v>0</v>
      </c>
    </row>
    <row r="22" spans="1:7">
      <c r="A22" t="s">
        <v>150</v>
      </c>
      <c r="B22" cm="1">
        <f t="array" ref="B22">SUMPRODUCT(('LE - PY data'!$A$2:$A$10000='LE2a PY'!$C$4)*('LE - PY data'!$B$2:$B$10000='LE2a PY'!$D$4)*('LE - PY data'!$C$2:$C$10000='LE2a PY'!$E$4)*('LE - PY data'!$E$2:$E$10000='LE2a PY'!B$7)*('LE - PY data'!$F$2:$F$10000='LE2a PY'!$A22)*('LE - PY data'!$G$2:$G$10000))</f>
        <v>0</v>
      </c>
      <c r="C22" cm="1">
        <f t="array" ref="C22">SUMPRODUCT(('LE - PY data'!$A$2:$A$10000='LE2a PY'!$C$4)*('LE - PY data'!$B$2:$B$10000='LE2a PY'!$D$4)*('LE - PY data'!$C$2:$C$10000='LE2a PY'!$E$4)*('LE - PY data'!$E$2:$E$10000='LE2a PY'!C$7)*('LE - PY data'!$F$2:$F$10000='LE2a PY'!$A22)*('LE - PY data'!$G$2:$G$10000))</f>
        <v>0</v>
      </c>
      <c r="D22" cm="1">
        <f t="array" ref="D22">SUMPRODUCT(('LE - PY data'!$A$2:$A$10000='LE2a PY'!$C$4)*('LE - PY data'!$B$2:$B$10000='LE2a PY'!$D$4)*('LE - PY data'!$C$2:$C$10000='LE2a PY'!$E$4)*('LE - PY data'!$E$2:$E$10000='LE2a PY'!D$7)*('LE - PY data'!$F$2:$F$10000='LE2a PY'!$A22)*('LE - PY data'!$G$2:$G$10000))</f>
        <v>0</v>
      </c>
      <c r="E22" cm="1">
        <f t="array" ref="E22">SUMPRODUCT(('LE - PY data'!$A$2:$A$10000='LE2a PY'!$C$4)*('LE - PY data'!$B$2:$B$10000='LE2a PY'!$D$4)*('LE - PY data'!$C$2:$C$10000='LE2a PY'!$E$4)*('LE - PY data'!$E$2:$E$10000='LE2a PY'!E$7)*('LE - PY data'!$F$2:$F$10000='LE2a PY'!$A22)*('LE - PY data'!$G$2:$G$10000))</f>
        <v>0</v>
      </c>
      <c r="F22" cm="1">
        <f t="array" ref="F22">SUMPRODUCT(('LE - PY data'!$A$2:$A$10000='LE2a PY'!$C$4)*('LE - PY data'!$B$2:$B$10000='LE2a PY'!$D$4)*('LE - PY data'!$C$2:$C$10000='LE2a PY'!$E$4)*('LE - PY data'!$E$2:$E$10000='LE2a PY'!F$7)*('LE - PY data'!$F$2:$F$10000='LE2a PY'!$A22)*('LE - PY data'!$G$2:$G$10000))</f>
        <v>0</v>
      </c>
      <c r="G22" cm="1">
        <f t="array" ref="G22">SUMPRODUCT(('LE - PY data'!$A$2:$A$10000='LE2a PY'!$C$4)*('LE - PY data'!$B$2:$B$10000='LE2a PY'!$D$4)*('LE - PY data'!$C$2:$C$10000='LE2a PY'!$E$4)*('LE - PY data'!$F$2:$F$10000='LE2a PY'!$A22)*('LE - PY data'!$G$2:$G$10000))</f>
        <v>0</v>
      </c>
    </row>
    <row r="23" spans="1:7">
      <c r="A23" t="s">
        <v>266</v>
      </c>
      <c r="B23" cm="1">
        <f t="array" ref="B23">SUMPRODUCT(('LE - PY data'!$A$2:$A$10000='LE2a PY'!$C$4)*('LE - PY data'!$B$2:$B$10000='LE2a PY'!$D$4)*('LE - PY data'!$C$2:$C$10000='LE2a PY'!$E$4)*('LE - PY data'!$E$2:$E$10000='LE2a PY'!B$7)*('LE - PY data'!$F$2:$F$10000='LE2a PY'!$A23)*('LE - PY data'!$G$2:$G$10000))</f>
        <v>0</v>
      </c>
      <c r="C23" cm="1">
        <f t="array" ref="C23">SUMPRODUCT(('LE - PY data'!$A$2:$A$10000='LE2a PY'!$C$4)*('LE - PY data'!$B$2:$B$10000='LE2a PY'!$D$4)*('LE - PY data'!$C$2:$C$10000='LE2a PY'!$E$4)*('LE - PY data'!$E$2:$E$10000='LE2a PY'!C$7)*('LE - PY data'!$F$2:$F$10000='LE2a PY'!$A23)*('LE - PY data'!$G$2:$G$10000))</f>
        <v>0</v>
      </c>
      <c r="D23" cm="1">
        <f t="array" ref="D23">SUMPRODUCT(('LE - PY data'!$A$2:$A$10000='LE2a PY'!$C$4)*('LE - PY data'!$B$2:$B$10000='LE2a PY'!$D$4)*('LE - PY data'!$C$2:$C$10000='LE2a PY'!$E$4)*('LE - PY data'!$E$2:$E$10000='LE2a PY'!D$7)*('LE - PY data'!$F$2:$F$10000='LE2a PY'!$A23)*('LE - PY data'!$G$2:$G$10000))</f>
        <v>0</v>
      </c>
      <c r="E23" cm="1">
        <f t="array" ref="E23">SUMPRODUCT(('LE - PY data'!$A$2:$A$10000='LE2a PY'!$C$4)*('LE - PY data'!$B$2:$B$10000='LE2a PY'!$D$4)*('LE - PY data'!$C$2:$C$10000='LE2a PY'!$E$4)*('LE - PY data'!$E$2:$E$10000='LE2a PY'!E$7)*('LE - PY data'!$F$2:$F$10000='LE2a PY'!$A23)*('LE - PY data'!$G$2:$G$10000))</f>
        <v>0</v>
      </c>
      <c r="F23" cm="1">
        <f t="array" ref="F23">SUMPRODUCT(('LE - PY data'!$A$2:$A$10000='LE2a PY'!$C$4)*('LE - PY data'!$B$2:$B$10000='LE2a PY'!$D$4)*('LE - PY data'!$C$2:$C$10000='LE2a PY'!$E$4)*('LE - PY data'!$E$2:$E$10000='LE2a PY'!F$7)*('LE - PY data'!$F$2:$F$10000='LE2a PY'!$A23)*('LE - PY data'!$G$2:$G$10000))</f>
        <v>0</v>
      </c>
      <c r="G23" cm="1">
        <f t="array" ref="G23">SUMPRODUCT(('LE - PY data'!$A$2:$A$10000='LE2a PY'!$C$4)*('LE - PY data'!$B$2:$B$10000='LE2a PY'!$D$4)*('LE - PY data'!$C$2:$C$10000='LE2a PY'!$E$4)*('LE - PY data'!$F$2:$F$10000='LE2a PY'!$A23)*('LE - PY data'!$G$2:$G$10000))</f>
        <v>0</v>
      </c>
    </row>
    <row r="24" spans="1:7">
      <c r="A24" t="s">
        <v>151</v>
      </c>
      <c r="B24" cm="1">
        <f t="array" ref="B24">SUMPRODUCT(('LE - PY data'!$A$2:$A$10000='LE2a PY'!$C$4)*('LE - PY data'!$B$2:$B$10000='LE2a PY'!$D$4)*('LE - PY data'!$C$2:$C$10000='LE2a PY'!$E$4)*('LE - PY data'!$E$2:$E$10000='LE2a PY'!B$7)*('LE - PY data'!$F$2:$F$10000='LE2a PY'!$A24)*('LE - PY data'!$G$2:$G$10000))</f>
        <v>0</v>
      </c>
      <c r="C24" cm="1">
        <f t="array" ref="C24">SUMPRODUCT(('LE - PY data'!$A$2:$A$10000='LE2a PY'!$C$4)*('LE - PY data'!$B$2:$B$10000='LE2a PY'!$D$4)*('LE - PY data'!$C$2:$C$10000='LE2a PY'!$E$4)*('LE - PY data'!$E$2:$E$10000='LE2a PY'!C$7)*('LE - PY data'!$F$2:$F$10000='LE2a PY'!$A24)*('LE - PY data'!$G$2:$G$10000))</f>
        <v>0</v>
      </c>
      <c r="D24" cm="1">
        <f t="array" ref="D24">SUMPRODUCT(('LE - PY data'!$A$2:$A$10000='LE2a PY'!$C$4)*('LE - PY data'!$B$2:$B$10000='LE2a PY'!$D$4)*('LE - PY data'!$C$2:$C$10000='LE2a PY'!$E$4)*('LE - PY data'!$E$2:$E$10000='LE2a PY'!D$7)*('LE - PY data'!$F$2:$F$10000='LE2a PY'!$A24)*('LE - PY data'!$G$2:$G$10000))</f>
        <v>0</v>
      </c>
      <c r="E24" cm="1">
        <f t="array" ref="E24">SUMPRODUCT(('LE - PY data'!$A$2:$A$10000='LE2a PY'!$C$4)*('LE - PY data'!$B$2:$B$10000='LE2a PY'!$D$4)*('LE - PY data'!$C$2:$C$10000='LE2a PY'!$E$4)*('LE - PY data'!$E$2:$E$10000='LE2a PY'!E$7)*('LE - PY data'!$F$2:$F$10000='LE2a PY'!$A24)*('LE - PY data'!$G$2:$G$10000))</f>
        <v>0</v>
      </c>
      <c r="F24" cm="1">
        <f t="array" ref="F24">SUMPRODUCT(('LE - PY data'!$A$2:$A$10000='LE2a PY'!$C$4)*('LE - PY data'!$B$2:$B$10000='LE2a PY'!$D$4)*('LE - PY data'!$C$2:$C$10000='LE2a PY'!$E$4)*('LE - PY data'!$E$2:$E$10000='LE2a PY'!F$7)*('LE - PY data'!$F$2:$F$10000='LE2a PY'!$A24)*('LE - PY data'!$G$2:$G$10000))</f>
        <v>0</v>
      </c>
      <c r="G24" cm="1">
        <f t="array" ref="G24">SUMPRODUCT(('LE - PY data'!$A$2:$A$10000='LE2a PY'!$C$4)*('LE - PY data'!$B$2:$B$10000='LE2a PY'!$D$4)*('LE - PY data'!$C$2:$C$10000='LE2a PY'!$E$4)*('LE - PY data'!$F$2:$F$10000='LE2a PY'!$A24)*('LE - PY data'!$G$2:$G$10000))</f>
        <v>0</v>
      </c>
    </row>
    <row r="25" spans="1:7">
      <c r="A25" t="s">
        <v>152</v>
      </c>
      <c r="B25" cm="1">
        <f t="array" ref="B25">SUMPRODUCT(('LE - PY data'!$A$2:$A$10000='LE2a PY'!$C$4)*('LE - PY data'!$B$2:$B$10000='LE2a PY'!$D$4)*('LE - PY data'!$C$2:$C$10000='LE2a PY'!$E$4)*('LE - PY data'!$E$2:$E$10000='LE2a PY'!B$7)*('LE - PY data'!$F$2:$F$10000='LE2a PY'!$A25)*('LE - PY data'!$G$2:$G$10000))</f>
        <v>0</v>
      </c>
      <c r="C25" cm="1">
        <f t="array" ref="C25">SUMPRODUCT(('LE - PY data'!$A$2:$A$10000='LE2a PY'!$C$4)*('LE - PY data'!$B$2:$B$10000='LE2a PY'!$D$4)*('LE - PY data'!$C$2:$C$10000='LE2a PY'!$E$4)*('LE - PY data'!$E$2:$E$10000='LE2a PY'!C$7)*('LE - PY data'!$F$2:$F$10000='LE2a PY'!$A25)*('LE - PY data'!$G$2:$G$10000))</f>
        <v>0</v>
      </c>
      <c r="D25" cm="1">
        <f t="array" ref="D25">SUMPRODUCT(('LE - PY data'!$A$2:$A$10000='LE2a PY'!$C$4)*('LE - PY data'!$B$2:$B$10000='LE2a PY'!$D$4)*('LE - PY data'!$C$2:$C$10000='LE2a PY'!$E$4)*('LE - PY data'!$E$2:$E$10000='LE2a PY'!D$7)*('LE - PY data'!$F$2:$F$10000='LE2a PY'!$A25)*('LE - PY data'!$G$2:$G$10000))</f>
        <v>0</v>
      </c>
      <c r="E25" cm="1">
        <f t="array" ref="E25">SUMPRODUCT(('LE - PY data'!$A$2:$A$10000='LE2a PY'!$C$4)*('LE - PY data'!$B$2:$B$10000='LE2a PY'!$D$4)*('LE - PY data'!$C$2:$C$10000='LE2a PY'!$E$4)*('LE - PY data'!$E$2:$E$10000='LE2a PY'!E$7)*('LE - PY data'!$F$2:$F$10000='LE2a PY'!$A25)*('LE - PY data'!$G$2:$G$10000))</f>
        <v>0</v>
      </c>
      <c r="F25" cm="1">
        <f t="array" ref="F25">SUMPRODUCT(('LE - PY data'!$A$2:$A$10000='LE2a PY'!$C$4)*('LE - PY data'!$B$2:$B$10000='LE2a PY'!$D$4)*('LE - PY data'!$C$2:$C$10000='LE2a PY'!$E$4)*('LE - PY data'!$E$2:$E$10000='LE2a PY'!F$7)*('LE - PY data'!$F$2:$F$10000='LE2a PY'!$A25)*('LE - PY data'!$G$2:$G$10000))</f>
        <v>0</v>
      </c>
      <c r="G25" cm="1">
        <f t="array" ref="G25">SUMPRODUCT(('LE - PY data'!$A$2:$A$10000='LE2a PY'!$C$4)*('LE - PY data'!$B$2:$B$10000='LE2a PY'!$D$4)*('LE - PY data'!$C$2:$C$10000='LE2a PY'!$E$4)*('LE - PY data'!$F$2:$F$10000='LE2a PY'!$A25)*('LE - PY data'!$G$2:$G$10000))</f>
        <v>0</v>
      </c>
    </row>
    <row r="26" spans="1:7">
      <c r="A26" t="s">
        <v>153</v>
      </c>
      <c r="B26" cm="1">
        <f t="array" ref="B26">SUMPRODUCT(('LE - PY data'!$A$2:$A$10000='LE2a PY'!$C$4)*('LE - PY data'!$B$2:$B$10000='LE2a PY'!$D$4)*('LE - PY data'!$C$2:$C$10000='LE2a PY'!$E$4)*('LE - PY data'!$E$2:$E$10000='LE2a PY'!B$7)*('LE - PY data'!$F$2:$F$10000='LE2a PY'!$A26)*('LE - PY data'!$G$2:$G$10000))</f>
        <v>0</v>
      </c>
      <c r="C26" cm="1">
        <f t="array" ref="C26">SUMPRODUCT(('LE - PY data'!$A$2:$A$10000='LE2a PY'!$C$4)*('LE - PY data'!$B$2:$B$10000='LE2a PY'!$D$4)*('LE - PY data'!$C$2:$C$10000='LE2a PY'!$E$4)*('LE - PY data'!$E$2:$E$10000='LE2a PY'!C$7)*('LE - PY data'!$F$2:$F$10000='LE2a PY'!$A26)*('LE - PY data'!$G$2:$G$10000))</f>
        <v>0</v>
      </c>
      <c r="D26" cm="1">
        <f t="array" ref="D26">SUMPRODUCT(('LE - PY data'!$A$2:$A$10000='LE2a PY'!$C$4)*('LE - PY data'!$B$2:$B$10000='LE2a PY'!$D$4)*('LE - PY data'!$C$2:$C$10000='LE2a PY'!$E$4)*('LE - PY data'!$E$2:$E$10000='LE2a PY'!D$7)*('LE - PY data'!$F$2:$F$10000='LE2a PY'!$A26)*('LE - PY data'!$G$2:$G$10000))</f>
        <v>0</v>
      </c>
      <c r="E26" cm="1">
        <f t="array" ref="E26">SUMPRODUCT(('LE - PY data'!$A$2:$A$10000='LE2a PY'!$C$4)*('LE - PY data'!$B$2:$B$10000='LE2a PY'!$D$4)*('LE - PY data'!$C$2:$C$10000='LE2a PY'!$E$4)*('LE - PY data'!$E$2:$E$10000='LE2a PY'!E$7)*('LE - PY data'!$F$2:$F$10000='LE2a PY'!$A26)*('LE - PY data'!$G$2:$G$10000))</f>
        <v>0</v>
      </c>
      <c r="F26" cm="1">
        <f t="array" ref="F26">SUMPRODUCT(('LE - PY data'!$A$2:$A$10000='LE2a PY'!$C$4)*('LE - PY data'!$B$2:$B$10000='LE2a PY'!$D$4)*('LE - PY data'!$C$2:$C$10000='LE2a PY'!$E$4)*('LE - PY data'!$E$2:$E$10000='LE2a PY'!F$7)*('LE - PY data'!$F$2:$F$10000='LE2a PY'!$A26)*('LE - PY data'!$G$2:$G$10000))</f>
        <v>0</v>
      </c>
      <c r="G26" cm="1">
        <f t="array" ref="G26">SUMPRODUCT(('LE - PY data'!$A$2:$A$10000='LE2a PY'!$C$4)*('LE - PY data'!$B$2:$B$10000='LE2a PY'!$D$4)*('LE - PY data'!$C$2:$C$10000='LE2a PY'!$E$4)*('LE - PY data'!$F$2:$F$10000='LE2a PY'!$A26)*('LE - PY data'!$G$2:$G$10000))</f>
        <v>0</v>
      </c>
    </row>
    <row r="27" spans="1:7">
      <c r="A27" t="s">
        <v>261</v>
      </c>
      <c r="B27" cm="1">
        <f t="array" ref="B27">SUMPRODUCT(('LE - PY data'!$A$2:$A$10000='LE2a PY'!$C$4)*('LE - PY data'!$B$2:$B$10000='LE2a PY'!$D$4)*('LE - PY data'!$C$2:$C$10000='LE2a PY'!$E$4)*('LE - PY data'!$E$2:$E$10000='LE2a PY'!B$7)*('LE - PY data'!$G$2:$G$10000))</f>
        <v>0</v>
      </c>
      <c r="C27" cm="1">
        <f t="array" ref="C27">SUMPRODUCT(('LE - PY data'!$A$2:$A$10000='LE2a PY'!$C$4)*('LE - PY data'!$B$2:$B$10000='LE2a PY'!$D$4)*('LE - PY data'!$C$2:$C$10000='LE2a PY'!$E$4)*('LE - PY data'!$E$2:$E$10000='LE2a PY'!C$7)*('LE - PY data'!$G$2:$G$10000))</f>
        <v>0</v>
      </c>
      <c r="D27" cm="1">
        <f t="array" ref="D27">SUMPRODUCT(('LE - PY data'!$A$2:$A$10000='LE2a PY'!$C$4)*('LE - PY data'!$B$2:$B$10000='LE2a PY'!$D$4)*('LE - PY data'!$C$2:$C$10000='LE2a PY'!$E$4)*('LE - PY data'!$E$2:$E$10000='LE2a PY'!D$7)*('LE - PY data'!$G$2:$G$10000))</f>
        <v>0</v>
      </c>
      <c r="E27" cm="1">
        <f t="array" ref="E27">SUMPRODUCT(('LE - PY data'!$A$2:$A$10000='LE2a PY'!$C$4)*('LE - PY data'!$B$2:$B$10000='LE2a PY'!$D$4)*('LE - PY data'!$C$2:$C$10000='LE2a PY'!$E$4)*('LE - PY data'!$E$2:$E$10000='LE2a PY'!E$7)*('LE - PY data'!$G$2:$G$10000))</f>
        <v>0</v>
      </c>
      <c r="F27" cm="1">
        <f t="array" ref="F27">SUMPRODUCT(('LE - PY data'!$A$2:$A$10000='LE2a PY'!$C$4)*('LE - PY data'!$B$2:$B$10000='LE2a PY'!$D$4)*('LE - PY data'!$C$2:$C$10000='LE2a PY'!$E$4)*('LE - PY data'!$E$2:$E$10000='LE2a PY'!F$7)*('LE - PY data'!$G$2:$G$10000))</f>
        <v>0</v>
      </c>
      <c r="G27" cm="1">
        <f t="array" ref="G27">SUMPRODUCT(('LE - PY data'!$A$2:$A$10000='LE2a PY'!$C$4)*('LE - PY data'!$B$2:$B$10000='LE2a PY'!$D$4)*('LE - PY data'!$C$2:$C$10000='LE2a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2:I33"/>
  <sheetViews>
    <sheetView showGridLines="0" zoomScale="70" zoomScaleNormal="70" workbookViewId="0">
      <selection activeCell="J20" sqref="J20"/>
    </sheetView>
  </sheetViews>
  <sheetFormatPr defaultColWidth="24.28515625" defaultRowHeight="27" customHeight="1"/>
  <cols>
    <col min="1" max="1" width="74.28515625" style="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372</v>
      </c>
      <c r="B5" s="317"/>
      <c r="C5" s="317"/>
      <c r="D5" s="317"/>
      <c r="E5" s="317"/>
      <c r="F5" s="317"/>
      <c r="G5" s="318"/>
    </row>
    <row r="6" spans="1:9" customFormat="1" ht="13.5" thickBot="1"/>
    <row r="7" spans="1:9" ht="38.25" customHeight="1" thickBot="1">
      <c r="A7" s="60"/>
      <c r="B7" s="241" t="s">
        <v>256</v>
      </c>
      <c r="C7" s="242" t="s">
        <v>257</v>
      </c>
      <c r="D7" s="242" t="s">
        <v>258</v>
      </c>
      <c r="E7" s="242" t="s">
        <v>259</v>
      </c>
      <c r="F7" s="243" t="s">
        <v>260</v>
      </c>
      <c r="G7" s="26" t="s">
        <v>261</v>
      </c>
    </row>
    <row r="8" spans="1:9" ht="23.25" customHeight="1" thickBot="1">
      <c r="A8" s="10" t="s">
        <v>136</v>
      </c>
      <c r="B8" s="16"/>
      <c r="C8" s="16"/>
      <c r="D8" s="16"/>
      <c r="E8" s="16"/>
      <c r="F8" s="15"/>
      <c r="G8" s="13">
        <f>SUM(B8:F8)</f>
        <v>0</v>
      </c>
    </row>
    <row r="9" spans="1:9" ht="23.25" customHeight="1" thickBot="1">
      <c r="A9" s="20" t="s">
        <v>137</v>
      </c>
      <c r="B9" s="16"/>
      <c r="C9" s="16"/>
      <c r="D9" s="16"/>
      <c r="E9" s="16"/>
      <c r="F9" s="17"/>
      <c r="G9" s="13">
        <f t="shared" ref="G9:G29" si="0">SUM(B9:F9)</f>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11" t="s">
        <v>141</v>
      </c>
      <c r="B13" s="16"/>
      <c r="C13" s="16"/>
      <c r="D13" s="16"/>
      <c r="E13" s="16"/>
      <c r="F13" s="17"/>
      <c r="G13" s="13">
        <f t="shared" si="0"/>
        <v>0</v>
      </c>
      <c r="H13" s="83"/>
    </row>
    <row r="14" spans="1:9" ht="23.25" customHeight="1" thickBot="1">
      <c r="A14" s="11" t="s">
        <v>373</v>
      </c>
      <c r="B14" s="16"/>
      <c r="C14" s="16"/>
      <c r="D14" s="16"/>
      <c r="E14" s="16"/>
      <c r="F14" s="17"/>
      <c r="G14" s="13">
        <f t="shared" si="0"/>
        <v>0</v>
      </c>
      <c r="H14" s="84"/>
    </row>
    <row r="15" spans="1:9" ht="23.25" customHeight="1" thickBot="1">
      <c r="A15" s="11" t="s">
        <v>374</v>
      </c>
      <c r="B15" s="16"/>
      <c r="C15" s="16"/>
      <c r="D15" s="16"/>
      <c r="E15" s="16"/>
      <c r="F15" s="17"/>
      <c r="G15" s="13">
        <f t="shared" si="0"/>
        <v>0</v>
      </c>
      <c r="I15" s="45"/>
    </row>
    <row r="16" spans="1:9" ht="23.25" customHeight="1" thickBot="1">
      <c r="A16" s="20" t="s">
        <v>375</v>
      </c>
      <c r="B16" s="16"/>
      <c r="C16" s="16"/>
      <c r="D16" s="16"/>
      <c r="E16" s="16"/>
      <c r="F16" s="17"/>
      <c r="G16" s="13">
        <f t="shared" si="0"/>
        <v>0</v>
      </c>
    </row>
    <row r="17" spans="1:9" ht="23.25" customHeight="1" thickBot="1">
      <c r="A17" s="23" t="s">
        <v>263</v>
      </c>
      <c r="B17" s="13">
        <f>SUM(B11:B16)</f>
        <v>0</v>
      </c>
      <c r="C17" s="13">
        <f t="shared" ref="C17:F17" si="2">SUM(C11:C16)</f>
        <v>0</v>
      </c>
      <c r="D17" s="13">
        <f t="shared" si="2"/>
        <v>0</v>
      </c>
      <c r="E17" s="13">
        <f t="shared" si="2"/>
        <v>0</v>
      </c>
      <c r="F17" s="13">
        <f t="shared" si="2"/>
        <v>0</v>
      </c>
      <c r="G17" s="13">
        <f t="shared" si="0"/>
        <v>0</v>
      </c>
    </row>
    <row r="18" spans="1:9" ht="23.25" customHeight="1" thickBot="1">
      <c r="A18" s="22" t="s">
        <v>145</v>
      </c>
      <c r="B18" s="16"/>
      <c r="C18" s="16"/>
      <c r="D18" s="16"/>
      <c r="E18" s="16"/>
      <c r="F18" s="15"/>
      <c r="G18" s="13">
        <f t="shared" si="0"/>
        <v>0</v>
      </c>
    </row>
    <row r="19" spans="1:9" ht="23.25" customHeight="1" thickBot="1">
      <c r="A19" s="20" t="s">
        <v>146</v>
      </c>
      <c r="B19" s="16"/>
      <c r="C19" s="16"/>
      <c r="D19" s="16"/>
      <c r="E19" s="16"/>
      <c r="F19" s="17"/>
      <c r="G19" s="13">
        <f t="shared" si="0"/>
        <v>0</v>
      </c>
    </row>
    <row r="20" spans="1:9" ht="23.25" customHeight="1" thickBot="1">
      <c r="A20" s="23" t="s">
        <v>264</v>
      </c>
      <c r="B20" s="13">
        <f>SUM(B18:B19)</f>
        <v>0</v>
      </c>
      <c r="C20" s="13">
        <f t="shared" ref="C20:F20" si="3">SUM(C18:C19)</f>
        <v>0</v>
      </c>
      <c r="D20" s="13">
        <f t="shared" si="3"/>
        <v>0</v>
      </c>
      <c r="E20" s="13">
        <f t="shared" si="3"/>
        <v>0</v>
      </c>
      <c r="F20" s="13">
        <f t="shared" si="3"/>
        <v>0</v>
      </c>
      <c r="G20" s="13">
        <f t="shared" si="0"/>
        <v>0</v>
      </c>
    </row>
    <row r="21" spans="1:9" ht="23.25" customHeight="1" thickBot="1">
      <c r="A21" s="22" t="s">
        <v>147</v>
      </c>
      <c r="B21" s="16"/>
      <c r="C21" s="16"/>
      <c r="D21" s="16"/>
      <c r="E21" s="16"/>
      <c r="F21" s="15"/>
      <c r="G21" s="13">
        <f t="shared" si="0"/>
        <v>0</v>
      </c>
    </row>
    <row r="22" spans="1:9" ht="23.25" customHeight="1" thickBot="1">
      <c r="A22" s="20" t="s">
        <v>148</v>
      </c>
      <c r="B22" s="16"/>
      <c r="C22" s="16"/>
      <c r="D22" s="16"/>
      <c r="E22" s="16"/>
      <c r="F22" s="17"/>
      <c r="G22" s="13">
        <f t="shared" si="0"/>
        <v>0</v>
      </c>
    </row>
    <row r="23" spans="1:9" ht="23.25" customHeight="1" thickBot="1">
      <c r="A23" s="23" t="s">
        <v>265</v>
      </c>
      <c r="B23" s="13">
        <f>SUM(B21:B22)</f>
        <v>0</v>
      </c>
      <c r="C23" s="13">
        <f t="shared" ref="C23:F23" si="4">SUM(C21:C22)</f>
        <v>0</v>
      </c>
      <c r="D23" s="13">
        <f t="shared" si="4"/>
        <v>0</v>
      </c>
      <c r="E23" s="13">
        <f t="shared" si="4"/>
        <v>0</v>
      </c>
      <c r="F23" s="13">
        <f t="shared" si="4"/>
        <v>0</v>
      </c>
      <c r="G23" s="13">
        <f t="shared" si="0"/>
        <v>0</v>
      </c>
    </row>
    <row r="24" spans="1:9" ht="23.25" customHeight="1" thickBot="1">
      <c r="A24" s="22" t="s">
        <v>149</v>
      </c>
      <c r="B24" s="16"/>
      <c r="C24" s="16"/>
      <c r="D24" s="16"/>
      <c r="E24" s="16"/>
      <c r="F24" s="15"/>
      <c r="G24" s="13">
        <f t="shared" si="0"/>
        <v>0</v>
      </c>
    </row>
    <row r="25" spans="1:9" ht="23.25" customHeight="1" thickBot="1">
      <c r="A25" s="20" t="s">
        <v>150</v>
      </c>
      <c r="B25" s="16"/>
      <c r="C25" s="16"/>
      <c r="D25" s="16"/>
      <c r="E25" s="16"/>
      <c r="F25" s="17"/>
      <c r="G25" s="13">
        <f t="shared" si="0"/>
        <v>0</v>
      </c>
    </row>
    <row r="26" spans="1:9" ht="23.25" customHeight="1" thickBot="1">
      <c r="A26" s="23" t="s">
        <v>266</v>
      </c>
      <c r="B26" s="13">
        <f>SUM(B24:B25)</f>
        <v>0</v>
      </c>
      <c r="C26" s="13">
        <f t="shared" ref="C26:F26" si="5">SUM(C24:C25)</f>
        <v>0</v>
      </c>
      <c r="D26" s="13">
        <f t="shared" si="5"/>
        <v>0</v>
      </c>
      <c r="E26" s="13">
        <f t="shared" si="5"/>
        <v>0</v>
      </c>
      <c r="F26" s="13">
        <f t="shared" si="5"/>
        <v>0</v>
      </c>
      <c r="G26" s="13">
        <f t="shared" si="0"/>
        <v>0</v>
      </c>
    </row>
    <row r="27" spans="1:9" ht="23.25" customHeight="1" thickBot="1">
      <c r="A27" s="23" t="s">
        <v>151</v>
      </c>
      <c r="B27" s="16"/>
      <c r="C27" s="16"/>
      <c r="D27" s="16"/>
      <c r="E27" s="16"/>
      <c r="F27" s="15"/>
      <c r="G27" s="13">
        <f t="shared" si="0"/>
        <v>0</v>
      </c>
    </row>
    <row r="28" spans="1:9" ht="23.25" customHeight="1" thickBot="1">
      <c r="A28" s="23" t="s">
        <v>152</v>
      </c>
      <c r="B28" s="16"/>
      <c r="C28" s="16"/>
      <c r="D28" s="16"/>
      <c r="E28" s="16"/>
      <c r="F28" s="17"/>
      <c r="G28" s="13">
        <f t="shared" si="0"/>
        <v>0</v>
      </c>
    </row>
    <row r="29" spans="1:9" ht="23.25" customHeight="1" thickBot="1">
      <c r="A29" s="23" t="s">
        <v>153</v>
      </c>
      <c r="B29" s="18"/>
      <c r="C29" s="16"/>
      <c r="D29" s="16"/>
      <c r="E29" s="16"/>
      <c r="F29" s="19"/>
      <c r="G29" s="13">
        <f t="shared" si="0"/>
        <v>0</v>
      </c>
    </row>
    <row r="30" spans="1:9" ht="24" customHeight="1" thickBot="1">
      <c r="A30" s="12" t="s">
        <v>261</v>
      </c>
      <c r="B30" s="13">
        <f>SUM(B10,B17,B20,B23,B26,B27:B29)</f>
        <v>0</v>
      </c>
      <c r="C30" s="13">
        <f t="shared" ref="C30:F30" si="6">SUM(C10,C17,C20,C23,C26,C27:C29)</f>
        <v>0</v>
      </c>
      <c r="D30" s="13">
        <f t="shared" si="6"/>
        <v>0</v>
      </c>
      <c r="E30" s="13">
        <f t="shared" si="6"/>
        <v>0</v>
      </c>
      <c r="F30" s="13">
        <f t="shared" si="6"/>
        <v>0</v>
      </c>
      <c r="G30" s="13">
        <f>SUM(B30:F30)</f>
        <v>0</v>
      </c>
    </row>
    <row r="32" spans="1:9" ht="27" customHeight="1">
      <c r="A32" s="350" t="s">
        <v>268</v>
      </c>
      <c r="B32" s="350"/>
      <c r="C32" s="350"/>
      <c r="D32" s="350"/>
      <c r="E32" s="350"/>
      <c r="F32" s="350"/>
      <c r="G32" s="350"/>
      <c r="H32" s="41"/>
      <c r="I32" s="41"/>
    </row>
    <row r="33" spans="1:9" ht="89.65" customHeight="1">
      <c r="A33" s="351"/>
      <c r="B33" s="351"/>
      <c r="C33" s="351"/>
      <c r="D33" s="351"/>
      <c r="E33" s="351"/>
      <c r="F33" s="351"/>
      <c r="G33" s="351"/>
      <c r="H33" s="45"/>
      <c r="I33" s="45"/>
    </row>
  </sheetData>
  <sheetProtection selectLockedCells="1"/>
  <mergeCells count="4">
    <mergeCell ref="B2:G2"/>
    <mergeCell ref="A5:G5"/>
    <mergeCell ref="A32:G32"/>
    <mergeCell ref="A33:G33"/>
  </mergeCells>
  <dataValidations count="2">
    <dataValidation errorStyle="warning" operator="lessThanOrEqual" allowBlank="1" showInputMessage="1" showErrorMessage="1" errorTitle="Large number" error="The number you entered is very large or non numeric, is this correct?" sqref="A1:A1048576 B10:F10 B34:G1048576 H15:H1048576 B26:F26 B23:F23 B20:F20 B17:F17 I1:XFD1048576 H1:H8 B1:G7 B31:G31" xr:uid="{00000000-0002-0000-0200-000000000000}"/>
    <dataValidation type="whole" allowBlank="1" showInputMessage="1" showErrorMessage="1" errorTitle="Error" error="Please enter a whole number greater than zero and less than 1,000." sqref="B8:F9 B11:F16 B18:F19 B21:F22 B24:F25 B27:F29" xr:uid="{00000000-0002-0000-02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C17:F17 B20:F20 B23:F23 B26:F26"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912D1356-39B1-4A48-94C0-8A4D88381AC6}">
            <xm:f>IF(AND(G27&gt;'LE2a PY'!G27+'QA check thresholds'!$A$4,G27&gt;'LE2a PY'!G27*'QA check thresholds'!$C$4),TRUE,FALSE)</xm:f>
            <x14:dxf>
              <font>
                <b/>
                <i val="0"/>
                <color rgb="FFFF0000"/>
              </font>
              <fill>
                <patternFill>
                  <bgColor rgb="FFFFC000"/>
                </patternFill>
              </fill>
            </x14:dxf>
          </x14:cfRule>
          <x14:cfRule type="expression" priority="2" id="{F724F66B-F05C-4C9C-89FB-7DA6E5D8AFD8}">
            <xm:f>IF(AND(G27&lt;'LE2a PY'!G27-'QA check thresholds'!$A$4,G27&lt;'LE2a PY'!G27*'QA check thresholds'!$C$2),TRUE,FALSE)</xm:f>
            <x14:dxf>
              <font>
                <b/>
                <i val="0"/>
                <color rgb="FFFF0000"/>
              </font>
              <fill>
                <patternFill>
                  <bgColor rgb="FFFFC000"/>
                </patternFill>
              </fill>
            </x14:dxf>
          </x14:cfRule>
          <xm:sqref>G30</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93A0A6-79E7-421D-99B9-DA5575FD3D1D}">
  <sheetPr codeName="Sheet13"/>
  <dimension ref="A2:V85"/>
  <sheetViews>
    <sheetView showGridLines="0" zoomScale="70" zoomScaleNormal="70" workbookViewId="0">
      <selection activeCell="G3" sqref="G3"/>
    </sheetView>
  </sheetViews>
  <sheetFormatPr defaultColWidth="16.7109375" defaultRowHeight="27" customHeight="1"/>
  <cols>
    <col min="1" max="1" width="16.7109375" style="1"/>
    <col min="2" max="2" width="0" style="2" hidden="1" customWidth="1"/>
    <col min="3" max="16384" width="16.7109375" style="2"/>
  </cols>
  <sheetData>
    <row r="2" spans="1:22" ht="36" customHeight="1">
      <c r="B2" s="315"/>
      <c r="C2" s="315"/>
      <c r="D2" s="315"/>
      <c r="E2" s="315"/>
      <c r="F2" s="315"/>
      <c r="G2" s="315"/>
    </row>
    <row r="3" spans="1:22" ht="33.75" customHeight="1"/>
    <row r="4" spans="1:22" ht="13.5" customHeight="1" thickBot="1">
      <c r="A4" s="3"/>
      <c r="B4" s="4"/>
      <c r="C4" s="4"/>
      <c r="D4" s="4"/>
      <c r="E4" s="4"/>
      <c r="F4" s="4"/>
      <c r="G4" s="4"/>
    </row>
    <row r="5" spans="1:22" ht="18.75" customHeight="1" thickBot="1">
      <c r="A5" s="316" t="s">
        <v>376</v>
      </c>
      <c r="B5" s="317"/>
      <c r="C5" s="317"/>
      <c r="D5" s="317"/>
      <c r="E5" s="317"/>
      <c r="F5" s="317"/>
      <c r="G5" s="317"/>
      <c r="H5" s="317"/>
      <c r="I5" s="317"/>
      <c r="J5" s="317"/>
      <c r="K5" s="317"/>
      <c r="L5" s="317"/>
      <c r="M5" s="317"/>
      <c r="N5" s="317"/>
      <c r="O5" s="317"/>
      <c r="P5" s="317"/>
      <c r="Q5" s="318"/>
    </row>
    <row r="6" spans="1:22" customFormat="1" ht="12.75"/>
    <row r="7" spans="1:22" ht="16.149999999999999" customHeight="1" thickBot="1">
      <c r="A7" s="158"/>
      <c r="B7" s="202"/>
      <c r="C7" s="202"/>
      <c r="D7" s="202"/>
      <c r="E7" s="202"/>
      <c r="F7" s="202"/>
      <c r="G7" s="159"/>
    </row>
    <row r="8" spans="1:22" ht="16.149999999999999" customHeight="1" thickBot="1">
      <c r="A8" s="352" t="s">
        <v>377</v>
      </c>
      <c r="B8" s="353"/>
      <c r="C8" s="353"/>
      <c r="D8" s="353"/>
      <c r="E8" s="353"/>
      <c r="F8" s="353"/>
      <c r="G8" s="353"/>
      <c r="H8" s="353"/>
      <c r="I8" s="353"/>
      <c r="J8" s="353"/>
      <c r="K8" s="353"/>
      <c r="L8" s="353"/>
      <c r="M8" s="353"/>
      <c r="N8" s="353"/>
      <c r="O8" s="353"/>
      <c r="P8" s="353"/>
      <c r="Q8" s="353"/>
      <c r="R8" s="353"/>
      <c r="S8" s="353"/>
      <c r="T8" s="353"/>
      <c r="U8" s="353"/>
      <c r="V8" s="354"/>
    </row>
    <row r="9" spans="1:22" ht="16.149999999999999" customHeight="1" thickBot="1">
      <c r="A9" s="160"/>
      <c r="B9" s="161"/>
      <c r="C9" s="355" t="s">
        <v>271</v>
      </c>
      <c r="D9" s="356"/>
      <c r="E9" s="356"/>
      <c r="F9" s="356"/>
      <c r="G9" s="357"/>
      <c r="H9" s="355" t="s">
        <v>272</v>
      </c>
      <c r="I9" s="356"/>
      <c r="J9" s="356"/>
      <c r="K9" s="356"/>
      <c r="L9" s="357"/>
      <c r="M9" s="355" t="s">
        <v>273</v>
      </c>
      <c r="N9" s="356"/>
      <c r="O9" s="356"/>
      <c r="P9" s="356"/>
      <c r="Q9" s="357"/>
      <c r="R9" s="355" t="s">
        <v>274</v>
      </c>
      <c r="S9" s="356"/>
      <c r="T9" s="356"/>
      <c r="U9" s="356"/>
      <c r="V9" s="357"/>
    </row>
    <row r="10" spans="1:22"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row>
    <row r="11" spans="1:22"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row>
    <row r="12" spans="1:22" ht="16.149999999999999" customHeight="1">
      <c r="A12" s="203" t="s">
        <v>256</v>
      </c>
      <c r="B12" s="204" t="s">
        <v>287</v>
      </c>
      <c r="C12" s="205"/>
      <c r="D12" s="206"/>
      <c r="E12" s="206"/>
      <c r="F12" s="206"/>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row>
    <row r="13" spans="1:22" ht="16.149999999999999" customHeight="1">
      <c r="A13" s="209" t="s">
        <v>257</v>
      </c>
      <c r="B13" s="210" t="s">
        <v>289</v>
      </c>
      <c r="C13" s="205"/>
      <c r="D13" s="206"/>
      <c r="E13" s="206"/>
      <c r="F13" s="206"/>
      <c r="G13" s="207">
        <f t="shared" si="0"/>
        <v>0</v>
      </c>
      <c r="H13" s="205"/>
      <c r="I13" s="205"/>
      <c r="J13" s="205"/>
      <c r="K13" s="205"/>
      <c r="L13" s="208">
        <f t="shared" si="1"/>
        <v>0</v>
      </c>
      <c r="M13" s="205"/>
      <c r="N13" s="205"/>
      <c r="O13" s="205"/>
      <c r="P13" s="205"/>
      <c r="Q13" s="208">
        <f t="shared" si="2"/>
        <v>0</v>
      </c>
      <c r="R13" s="205"/>
      <c r="S13" s="205"/>
      <c r="T13" s="205"/>
      <c r="U13" s="205"/>
      <c r="V13" s="208">
        <f t="shared" si="3"/>
        <v>0</v>
      </c>
    </row>
    <row r="14" spans="1:22" ht="16.149999999999999" customHeight="1">
      <c r="A14" s="209" t="s">
        <v>258</v>
      </c>
      <c r="B14" s="210" t="s">
        <v>290</v>
      </c>
      <c r="C14" s="205"/>
      <c r="D14" s="206"/>
      <c r="E14" s="206"/>
      <c r="F14" s="206"/>
      <c r="G14" s="207">
        <f t="shared" si="0"/>
        <v>0</v>
      </c>
      <c r="H14" s="205"/>
      <c r="I14" s="205"/>
      <c r="J14" s="205"/>
      <c r="K14" s="205"/>
      <c r="L14" s="208">
        <f t="shared" si="1"/>
        <v>0</v>
      </c>
      <c r="M14" s="205"/>
      <c r="N14" s="205"/>
      <c r="O14" s="205"/>
      <c r="P14" s="205"/>
      <c r="Q14" s="208">
        <f t="shared" si="2"/>
        <v>0</v>
      </c>
      <c r="R14" s="205"/>
      <c r="S14" s="205"/>
      <c r="T14" s="205"/>
      <c r="U14" s="205"/>
      <c r="V14" s="208">
        <f t="shared" si="3"/>
        <v>0</v>
      </c>
    </row>
    <row r="15" spans="1:22" ht="16.149999999999999" customHeight="1">
      <c r="A15" s="209" t="s">
        <v>259</v>
      </c>
      <c r="B15" s="210" t="s">
        <v>291</v>
      </c>
      <c r="C15" s="205"/>
      <c r="D15" s="206"/>
      <c r="E15" s="206"/>
      <c r="F15" s="206"/>
      <c r="G15" s="207">
        <f t="shared" si="0"/>
        <v>0</v>
      </c>
      <c r="H15" s="205"/>
      <c r="I15" s="205"/>
      <c r="J15" s="205"/>
      <c r="K15" s="205"/>
      <c r="L15" s="208">
        <f t="shared" si="1"/>
        <v>0</v>
      </c>
      <c r="M15" s="205"/>
      <c r="N15" s="205"/>
      <c r="O15" s="205"/>
      <c r="P15" s="205"/>
      <c r="Q15" s="208">
        <f t="shared" si="2"/>
        <v>0</v>
      </c>
      <c r="R15" s="205"/>
      <c r="S15" s="205"/>
      <c r="T15" s="205"/>
      <c r="U15" s="205"/>
      <c r="V15" s="208">
        <f t="shared" si="3"/>
        <v>0</v>
      </c>
    </row>
    <row r="16" spans="1:22" ht="16.149999999999999" customHeight="1" thickBot="1">
      <c r="A16" s="209" t="s">
        <v>260</v>
      </c>
      <c r="B16" s="210" t="s">
        <v>292</v>
      </c>
      <c r="C16" s="211"/>
      <c r="D16" s="212"/>
      <c r="E16" s="212"/>
      <c r="F16" s="212"/>
      <c r="G16" s="213">
        <f t="shared" si="0"/>
        <v>0</v>
      </c>
      <c r="H16" s="211"/>
      <c r="I16" s="211"/>
      <c r="J16" s="211"/>
      <c r="K16" s="211"/>
      <c r="L16" s="214">
        <f t="shared" si="1"/>
        <v>0</v>
      </c>
      <c r="M16" s="211"/>
      <c r="N16" s="211"/>
      <c r="O16" s="211"/>
      <c r="P16" s="211"/>
      <c r="Q16" s="214">
        <f t="shared" si="2"/>
        <v>0</v>
      </c>
      <c r="R16" s="211"/>
      <c r="S16" s="211"/>
      <c r="T16" s="211"/>
      <c r="U16" s="211"/>
      <c r="V16" s="214">
        <f t="shared" si="3"/>
        <v>0</v>
      </c>
    </row>
    <row r="17" spans="1:22"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row>
    <row r="18" spans="1:22" ht="16.149999999999999" customHeight="1">
      <c r="A18" s="110"/>
      <c r="B18" s="110"/>
      <c r="C18" s="111"/>
      <c r="D18" s="111"/>
      <c r="E18" s="111"/>
      <c r="F18" s="111"/>
      <c r="G18" s="111"/>
      <c r="H18" s="111"/>
      <c r="I18" s="111"/>
      <c r="J18" s="111"/>
      <c r="K18" s="111"/>
      <c r="L18" s="111"/>
      <c r="M18" s="111"/>
      <c r="N18" s="111"/>
    </row>
    <row r="19" spans="1:22" ht="16.149999999999999" customHeight="1" thickBot="1">
      <c r="A19" s="110"/>
      <c r="B19" s="110"/>
      <c r="C19" s="111"/>
      <c r="D19" s="111"/>
      <c r="E19" s="111"/>
      <c r="F19" s="111"/>
      <c r="G19" s="111"/>
      <c r="H19" s="111"/>
      <c r="I19" s="111"/>
      <c r="J19" s="111"/>
      <c r="K19" s="111"/>
      <c r="L19" s="111"/>
      <c r="M19" s="111"/>
      <c r="N19" s="111"/>
    </row>
    <row r="20" spans="1:22"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row>
    <row r="21" spans="1:22"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row>
    <row r="22" spans="1:22"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row>
    <row r="23" spans="1:22" ht="16.149999999999999" customHeight="1">
      <c r="A23" s="11" t="s">
        <v>256</v>
      </c>
      <c r="B23" s="204" t="s">
        <v>287</v>
      </c>
      <c r="C23" s="16"/>
      <c r="D23" s="16"/>
      <c r="E23" s="16"/>
      <c r="F23" s="98"/>
      <c r="G23" s="217">
        <f>SUM(C23:F23)</f>
        <v>0</v>
      </c>
      <c r="H23" s="99"/>
      <c r="I23" s="16"/>
      <c r="J23" s="16"/>
      <c r="K23" s="98"/>
      <c r="L23" s="218">
        <f t="shared" ref="L23:L27" si="4">SUM(H23:K23)</f>
        <v>0</v>
      </c>
      <c r="M23" s="16"/>
      <c r="N23" s="16"/>
      <c r="O23" s="16"/>
      <c r="P23" s="16"/>
      <c r="Q23" s="217">
        <f t="shared" ref="Q23:Q27" si="5">SUM(M23:P23)</f>
        <v>0</v>
      </c>
      <c r="R23" s="113"/>
      <c r="T23" s="58"/>
      <c r="U23" s="58"/>
      <c r="V23" s="52"/>
    </row>
    <row r="24" spans="1:22" ht="16.149999999999999" customHeight="1">
      <c r="A24" s="11" t="s">
        <v>257</v>
      </c>
      <c r="B24" s="210" t="s">
        <v>289</v>
      </c>
      <c r="C24" s="16"/>
      <c r="D24" s="16"/>
      <c r="E24" s="16"/>
      <c r="F24" s="98"/>
      <c r="G24" s="217">
        <f t="shared" ref="G24:G26" si="6">SUM(C24:F24)</f>
        <v>0</v>
      </c>
      <c r="H24" s="99"/>
      <c r="I24" s="16"/>
      <c r="J24" s="16"/>
      <c r="K24" s="98"/>
      <c r="L24" s="218">
        <f t="shared" si="4"/>
        <v>0</v>
      </c>
      <c r="M24" s="16"/>
      <c r="N24" s="16"/>
      <c r="O24" s="16"/>
      <c r="P24" s="16"/>
      <c r="Q24" s="217">
        <f t="shared" si="5"/>
        <v>0</v>
      </c>
      <c r="R24" s="113"/>
      <c r="S24" s="112" t="s">
        <v>298</v>
      </c>
      <c r="T24" s="58"/>
      <c r="U24" s="58"/>
      <c r="V24" s="58"/>
    </row>
    <row r="25" spans="1:22" ht="16.149999999999999" customHeight="1">
      <c r="A25" s="11" t="s">
        <v>258</v>
      </c>
      <c r="B25" s="210" t="s">
        <v>290</v>
      </c>
      <c r="C25" s="16"/>
      <c r="D25" s="16"/>
      <c r="E25" s="16"/>
      <c r="F25" s="98"/>
      <c r="G25" s="217">
        <f t="shared" si="6"/>
        <v>0</v>
      </c>
      <c r="H25" s="99"/>
      <c r="I25" s="16"/>
      <c r="J25" s="16"/>
      <c r="K25" s="98"/>
      <c r="L25" s="218">
        <f t="shared" si="4"/>
        <v>0</v>
      </c>
      <c r="M25" s="16"/>
      <c r="N25" s="16"/>
      <c r="O25" s="16"/>
      <c r="P25" s="16"/>
      <c r="Q25" s="217">
        <f t="shared" si="5"/>
        <v>0</v>
      </c>
      <c r="R25" s="113"/>
      <c r="S25" s="58" t="s">
        <v>378</v>
      </c>
      <c r="T25" s="58"/>
      <c r="U25" s="58"/>
      <c r="V25" s="113">
        <f>SUM($G$17+$L$17+$Q$17+$V$17+$G$28+$L$28+$Q$28)</f>
        <v>0</v>
      </c>
    </row>
    <row r="26" spans="1:22" ht="16.149999999999999" customHeight="1">
      <c r="A26" s="11" t="s">
        <v>259</v>
      </c>
      <c r="B26" s="210" t="s">
        <v>291</v>
      </c>
      <c r="C26" s="16"/>
      <c r="D26" s="16"/>
      <c r="E26" s="16"/>
      <c r="F26" s="98"/>
      <c r="G26" s="217">
        <f t="shared" si="6"/>
        <v>0</v>
      </c>
      <c r="H26" s="99"/>
      <c r="I26" s="16"/>
      <c r="J26" s="16"/>
      <c r="K26" s="98"/>
      <c r="L26" s="218">
        <f t="shared" si="4"/>
        <v>0</v>
      </c>
      <c r="M26" s="16"/>
      <c r="N26" s="16"/>
      <c r="O26" s="16"/>
      <c r="P26" s="16"/>
      <c r="Q26" s="217">
        <f t="shared" si="5"/>
        <v>0</v>
      </c>
      <c r="R26" s="113"/>
      <c r="S26" s="58" t="s">
        <v>379</v>
      </c>
      <c r="T26" s="58"/>
      <c r="U26" s="58"/>
      <c r="V26" s="113">
        <f>SUM(C38+I38+C48+I48+M48+P48)</f>
        <v>0</v>
      </c>
    </row>
    <row r="27" spans="1:22" ht="16.149999999999999" customHeight="1" thickBot="1">
      <c r="A27" s="20" t="s">
        <v>260</v>
      </c>
      <c r="B27" s="210" t="s">
        <v>292</v>
      </c>
      <c r="C27" s="18"/>
      <c r="D27" s="18"/>
      <c r="E27" s="18"/>
      <c r="F27" s="104"/>
      <c r="G27" s="217">
        <f>SUM(C27:F27)</f>
        <v>0</v>
      </c>
      <c r="H27" s="114"/>
      <c r="I27" s="18"/>
      <c r="J27" s="18"/>
      <c r="K27" s="104"/>
      <c r="L27" s="219">
        <f t="shared" si="4"/>
        <v>0</v>
      </c>
      <c r="M27" s="18"/>
      <c r="N27" s="18"/>
      <c r="O27" s="18"/>
      <c r="P27" s="106"/>
      <c r="Q27" s="220">
        <f t="shared" si="5"/>
        <v>0</v>
      </c>
      <c r="R27" s="113"/>
      <c r="S27" s="58" t="s">
        <v>380</v>
      </c>
      <c r="T27" s="58"/>
      <c r="U27" s="58"/>
      <c r="V27" s="113">
        <f>SUM($O$59:$S$59)</f>
        <v>0</v>
      </c>
    </row>
    <row r="28" spans="1:22" ht="16.149999999999999" customHeight="1" thickBot="1">
      <c r="A28" s="23" t="s">
        <v>261</v>
      </c>
      <c r="B28" s="215"/>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58" t="s">
        <v>381</v>
      </c>
      <c r="T28" s="58"/>
      <c r="U28" s="58"/>
      <c r="V28" s="113">
        <f>SUM($C$59:$E$59)</f>
        <v>0</v>
      </c>
    </row>
    <row r="29" spans="1:22" ht="16.149999999999999" customHeight="1">
      <c r="A29" s="110"/>
      <c r="B29" s="110"/>
      <c r="C29" s="111"/>
      <c r="D29" s="111"/>
      <c r="E29" s="111"/>
      <c r="F29" s="111"/>
      <c r="G29" s="111"/>
      <c r="H29" s="111"/>
      <c r="I29" s="111"/>
      <c r="J29" s="111"/>
      <c r="K29" s="111"/>
      <c r="L29" s="111"/>
      <c r="M29" s="111"/>
      <c r="N29" s="111"/>
      <c r="O29" s="111"/>
      <c r="P29" s="111"/>
      <c r="Q29" s="111"/>
      <c r="R29" s="58"/>
      <c r="S29" s="58" t="s">
        <v>382</v>
      </c>
      <c r="T29" s="58"/>
      <c r="U29" s="58"/>
      <c r="V29" s="113">
        <f>SUM($F$59:$N$59)</f>
        <v>0</v>
      </c>
    </row>
    <row r="30" spans="1:22" ht="16.149999999999999" customHeight="1" thickBot="1">
      <c r="A30" s="110"/>
      <c r="B30" s="110"/>
      <c r="C30" s="111"/>
      <c r="D30" s="111"/>
      <c r="E30" s="111"/>
      <c r="F30" s="111"/>
      <c r="G30" s="111"/>
      <c r="H30" s="111"/>
      <c r="I30" s="111"/>
      <c r="J30" s="111"/>
      <c r="K30" s="111"/>
      <c r="L30" s="111"/>
      <c r="M30" s="111"/>
      <c r="N30" s="111"/>
      <c r="O30" s="111"/>
      <c r="P30" s="111"/>
      <c r="Q30" s="111"/>
      <c r="R30" s="118"/>
      <c r="S30" s="58"/>
      <c r="T30" s="58"/>
      <c r="U30" s="58"/>
      <c r="V30" s="113"/>
    </row>
    <row r="31" spans="1:22" ht="16.149999999999999" customHeight="1" thickBot="1">
      <c r="A31" s="336" t="s">
        <v>383</v>
      </c>
      <c r="B31" s="337"/>
      <c r="C31" s="337"/>
      <c r="D31" s="337"/>
      <c r="E31" s="337"/>
      <c r="F31" s="337"/>
      <c r="G31" s="337"/>
      <c r="H31" s="337"/>
      <c r="I31" s="337"/>
      <c r="J31" s="337"/>
      <c r="K31" s="337"/>
      <c r="L31" s="337"/>
      <c r="M31" s="338"/>
      <c r="N31" s="58"/>
      <c r="O31" s="111"/>
      <c r="P31" s="118"/>
      <c r="Q31" s="118"/>
      <c r="R31" s="118"/>
      <c r="S31" s="58" t="s">
        <v>308</v>
      </c>
      <c r="T31" s="58"/>
      <c r="U31" s="58"/>
      <c r="V31" s="115" t="str">
        <f>IF(AND(V25=V26, V25=V27, V25=V28, V25=V29), "Yes", "No")</f>
        <v>Yes</v>
      </c>
    </row>
    <row r="32" spans="1:22" ht="63.4"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58"/>
      <c r="T32" s="44"/>
      <c r="U32" s="44"/>
      <c r="V32" s="58"/>
    </row>
    <row r="33" spans="1:22" ht="16.149999999999999" customHeight="1">
      <c r="A33" s="121" t="s">
        <v>256</v>
      </c>
      <c r="B33" s="204" t="s">
        <v>287</v>
      </c>
      <c r="C33" s="67">
        <f t="shared" ref="C33:C37" si="7">SUM(D33:H33)</f>
        <v>0</v>
      </c>
      <c r="D33" s="267"/>
      <c r="E33" s="268"/>
      <c r="F33" s="268"/>
      <c r="G33" s="269"/>
      <c r="H33" s="269"/>
      <c r="I33" s="67">
        <f>SUM(J33:M33)</f>
        <v>0</v>
      </c>
      <c r="J33" s="270"/>
      <c r="K33" s="268"/>
      <c r="L33" s="268"/>
      <c r="M33" s="271"/>
      <c r="N33" s="58"/>
      <c r="O33" s="111"/>
      <c r="P33" s="58"/>
      <c r="Q33" s="58"/>
      <c r="R33" s="58"/>
      <c r="S33" s="118" t="s">
        <v>384</v>
      </c>
      <c r="T33" s="118"/>
      <c r="U33" s="118"/>
      <c r="V33" s="118"/>
    </row>
    <row r="34" spans="1:22" ht="16.149999999999999" customHeight="1">
      <c r="A34" s="121" t="s">
        <v>257</v>
      </c>
      <c r="B34" s="210" t="s">
        <v>289</v>
      </c>
      <c r="C34" s="67">
        <f t="shared" si="7"/>
        <v>0</v>
      </c>
      <c r="D34" s="267"/>
      <c r="E34" s="268"/>
      <c r="F34" s="268"/>
      <c r="G34" s="269"/>
      <c r="H34" s="269"/>
      <c r="I34" s="67">
        <f>SUM(J34:M34)</f>
        <v>0</v>
      </c>
      <c r="J34" s="270"/>
      <c r="K34" s="268"/>
      <c r="L34" s="268"/>
      <c r="M34" s="271"/>
      <c r="N34" s="58"/>
      <c r="O34" s="111"/>
      <c r="P34" s="58"/>
      <c r="Q34" s="58"/>
      <c r="R34" s="58"/>
      <c r="S34" s="118"/>
      <c r="T34" s="118"/>
      <c r="U34" s="118"/>
      <c r="V34" s="118"/>
    </row>
    <row r="35" spans="1:22" ht="16.149999999999999" customHeight="1">
      <c r="A35" s="121" t="s">
        <v>258</v>
      </c>
      <c r="B35" s="210" t="s">
        <v>290</v>
      </c>
      <c r="C35" s="67">
        <f t="shared" si="7"/>
        <v>0</v>
      </c>
      <c r="D35" s="267"/>
      <c r="E35" s="268"/>
      <c r="F35" s="268"/>
      <c r="G35" s="269"/>
      <c r="H35" s="269"/>
      <c r="I35" s="67">
        <f>SUM(J35:M35)</f>
        <v>0</v>
      </c>
      <c r="J35" s="270"/>
      <c r="K35" s="268"/>
      <c r="L35" s="268"/>
      <c r="M35" s="271"/>
      <c r="N35" s="58"/>
      <c r="O35" s="111"/>
      <c r="P35" s="58"/>
      <c r="Q35" s="58"/>
      <c r="R35" s="58"/>
      <c r="S35" s="118"/>
      <c r="T35" s="118"/>
      <c r="U35" s="118"/>
      <c r="V35" s="118"/>
    </row>
    <row r="36" spans="1:22" ht="16.149999999999999" customHeight="1">
      <c r="A36" s="121" t="s">
        <v>259</v>
      </c>
      <c r="B36" s="210" t="s">
        <v>291</v>
      </c>
      <c r="C36" s="67">
        <f t="shared" si="7"/>
        <v>0</v>
      </c>
      <c r="D36" s="267"/>
      <c r="E36" s="268"/>
      <c r="F36" s="268"/>
      <c r="G36" s="269"/>
      <c r="H36" s="269"/>
      <c r="I36" s="67">
        <f>SUM(J36:M36)</f>
        <v>0</v>
      </c>
      <c r="J36" s="270"/>
      <c r="K36" s="268"/>
      <c r="L36" s="268"/>
      <c r="M36" s="271"/>
      <c r="N36" s="58"/>
      <c r="O36" s="111"/>
      <c r="P36" s="113"/>
      <c r="Q36" s="58"/>
      <c r="R36" s="58"/>
      <c r="S36" s="358"/>
      <c r="T36" s="359"/>
      <c r="U36" s="359"/>
      <c r="V36" s="360"/>
    </row>
    <row r="37" spans="1:22" ht="16.149999999999999" customHeight="1" thickBot="1">
      <c r="A37" s="121" t="s">
        <v>260</v>
      </c>
      <c r="B37" s="210" t="s">
        <v>292</v>
      </c>
      <c r="C37" s="124">
        <f t="shared" si="7"/>
        <v>0</v>
      </c>
      <c r="D37" s="267"/>
      <c r="E37" s="268"/>
      <c r="F37" s="268"/>
      <c r="G37" s="269"/>
      <c r="H37" s="269"/>
      <c r="I37" s="124">
        <f>SUM(J37:M37)</f>
        <v>0</v>
      </c>
      <c r="J37" s="270"/>
      <c r="K37" s="268"/>
      <c r="L37" s="268"/>
      <c r="M37" s="271"/>
      <c r="N37" s="58"/>
      <c r="O37" s="111"/>
      <c r="P37" s="113"/>
      <c r="Q37" s="58"/>
      <c r="R37" s="58"/>
      <c r="S37" s="361"/>
      <c r="T37" s="362"/>
      <c r="U37" s="362"/>
      <c r="V37" s="363"/>
    </row>
    <row r="38" spans="1:22" ht="16.149999999999999" customHeight="1" thickBot="1">
      <c r="A38" s="125" t="s">
        <v>261</v>
      </c>
      <c r="B38" s="215"/>
      <c r="C38" s="109">
        <f t="shared" ref="C38:M38" si="8">SUM(C33:C37)</f>
        <v>0</v>
      </c>
      <c r="D38" s="126">
        <f t="shared" si="8"/>
        <v>0</v>
      </c>
      <c r="E38" s="127">
        <f t="shared" si="8"/>
        <v>0</v>
      </c>
      <c r="F38" s="127">
        <f t="shared" si="8"/>
        <v>0</v>
      </c>
      <c r="G38" s="127">
        <f t="shared" si="8"/>
        <v>0</v>
      </c>
      <c r="H38" s="127">
        <f t="shared" si="8"/>
        <v>0</v>
      </c>
      <c r="I38" s="128">
        <f t="shared" si="8"/>
        <v>0</v>
      </c>
      <c r="J38" s="127">
        <f t="shared" si="8"/>
        <v>0</v>
      </c>
      <c r="K38" s="127">
        <f t="shared" si="8"/>
        <v>0</v>
      </c>
      <c r="L38" s="127">
        <f t="shared" si="8"/>
        <v>0</v>
      </c>
      <c r="M38" s="128">
        <f t="shared" si="8"/>
        <v>0</v>
      </c>
      <c r="N38" s="58"/>
      <c r="O38" s="111"/>
      <c r="P38" s="58"/>
      <c r="Q38" s="58"/>
      <c r="R38" s="58"/>
      <c r="S38" s="361"/>
      <c r="T38" s="362"/>
      <c r="U38" s="362"/>
      <c r="V38" s="363"/>
    </row>
    <row r="39" spans="1:22" ht="16.149999999999999" customHeight="1">
      <c r="A39" s="129"/>
      <c r="B39" s="129"/>
      <c r="C39" s="129"/>
      <c r="D39" s="129"/>
      <c r="E39" s="129"/>
      <c r="F39" s="129"/>
      <c r="G39" s="129"/>
      <c r="H39" s="129"/>
      <c r="I39" s="129"/>
      <c r="J39" s="129"/>
      <c r="K39" s="129"/>
      <c r="L39" s="129"/>
      <c r="M39" s="58"/>
      <c r="N39" s="58"/>
      <c r="O39" s="111"/>
      <c r="P39" s="58"/>
      <c r="Q39" s="58"/>
      <c r="R39" s="58"/>
      <c r="S39" s="361"/>
      <c r="T39" s="362"/>
      <c r="U39" s="362"/>
      <c r="V39" s="363"/>
    </row>
    <row r="40" spans="1:22" ht="16.149999999999999" customHeight="1" thickBot="1">
      <c r="A40" s="2"/>
      <c r="S40" s="364"/>
      <c r="T40" s="365"/>
      <c r="U40" s="365"/>
      <c r="V40" s="366"/>
    </row>
    <row r="41" spans="1:22" ht="16.149999999999999" customHeight="1" thickBot="1">
      <c r="A41" s="336" t="s">
        <v>383</v>
      </c>
      <c r="B41" s="337"/>
      <c r="C41" s="337"/>
      <c r="D41" s="337"/>
      <c r="E41" s="337"/>
      <c r="F41" s="337"/>
      <c r="G41" s="337"/>
      <c r="H41" s="337"/>
      <c r="I41" s="337"/>
      <c r="J41" s="337"/>
      <c r="K41" s="337"/>
      <c r="L41" s="337"/>
      <c r="M41" s="337"/>
      <c r="N41" s="337"/>
      <c r="O41" s="337"/>
      <c r="P41" s="338"/>
      <c r="S41" s="225"/>
      <c r="T41" s="157"/>
      <c r="U41" s="157"/>
      <c r="V41" s="157"/>
    </row>
    <row r="42" spans="1:22" ht="65.650000000000006" customHeight="1" thickBot="1">
      <c r="A42" s="160"/>
      <c r="B42" s="133" t="s">
        <v>385</v>
      </c>
      <c r="C42" s="134" t="s">
        <v>322</v>
      </c>
      <c r="D42" s="261" t="s">
        <v>323</v>
      </c>
      <c r="E42" s="261" t="s">
        <v>324</v>
      </c>
      <c r="F42" s="261" t="s">
        <v>325</v>
      </c>
      <c r="G42" s="262" t="s">
        <v>326</v>
      </c>
      <c r="H42" s="262" t="s">
        <v>327</v>
      </c>
      <c r="I42" s="134" t="s">
        <v>328</v>
      </c>
      <c r="J42" s="88" t="s">
        <v>329</v>
      </c>
      <c r="K42" s="88" t="s">
        <v>330</v>
      </c>
      <c r="L42" s="88" t="s">
        <v>331</v>
      </c>
      <c r="M42" s="134" t="s">
        <v>332</v>
      </c>
      <c r="N42" s="88" t="s">
        <v>333</v>
      </c>
      <c r="O42" s="88" t="s">
        <v>334</v>
      </c>
      <c r="P42" s="134" t="s">
        <v>335</v>
      </c>
      <c r="S42" s="175"/>
      <c r="T42" s="175"/>
      <c r="U42" s="175"/>
      <c r="V42" s="175"/>
    </row>
    <row r="43" spans="1:22" ht="16.149999999999999" customHeight="1">
      <c r="A43" s="121" t="s">
        <v>256</v>
      </c>
      <c r="B43" s="204" t="s">
        <v>287</v>
      </c>
      <c r="C43" s="258">
        <f t="shared" ref="C43:C47" si="9">SUM(D43:H43)</f>
        <v>0</v>
      </c>
      <c r="D43" s="16"/>
      <c r="E43" s="16"/>
      <c r="F43" s="16"/>
      <c r="G43" s="16"/>
      <c r="H43" s="16"/>
      <c r="I43" s="64">
        <f t="shared" ref="I43:I47" si="10">SUM(J43:L43)</f>
        <v>0</v>
      </c>
      <c r="J43" s="16"/>
      <c r="K43" s="16"/>
      <c r="L43" s="16"/>
      <c r="M43" s="67">
        <f t="shared" ref="M43:M47" si="11">SUM(N43:O43)</f>
        <v>0</v>
      </c>
      <c r="N43" s="16"/>
      <c r="O43" s="16"/>
      <c r="P43" s="16"/>
      <c r="Q43" s="58"/>
      <c r="R43" s="58"/>
      <c r="S43" s="175"/>
      <c r="T43" s="175"/>
      <c r="U43" s="221"/>
      <c r="V43" s="221"/>
    </row>
    <row r="44" spans="1:22" ht="16.149999999999999" customHeight="1">
      <c r="A44" s="121" t="s">
        <v>257</v>
      </c>
      <c r="B44" s="210" t="s">
        <v>289</v>
      </c>
      <c r="C44" s="258">
        <f t="shared" si="9"/>
        <v>0</v>
      </c>
      <c r="D44" s="16"/>
      <c r="E44" s="16"/>
      <c r="F44" s="16"/>
      <c r="G44" s="16"/>
      <c r="H44" s="16"/>
      <c r="I44" s="64">
        <f t="shared" si="10"/>
        <v>0</v>
      </c>
      <c r="J44" s="16"/>
      <c r="K44" s="16"/>
      <c r="L44" s="16"/>
      <c r="M44" s="67">
        <f t="shared" si="11"/>
        <v>0</v>
      </c>
      <c r="N44" s="16"/>
      <c r="O44" s="16"/>
      <c r="P44" s="16"/>
      <c r="Q44" s="58"/>
      <c r="R44" s="58"/>
      <c r="S44" s="175"/>
      <c r="T44" s="175"/>
      <c r="U44" s="176"/>
      <c r="V44" s="176"/>
    </row>
    <row r="45" spans="1:22" ht="16.149999999999999" customHeight="1">
      <c r="A45" s="121" t="s">
        <v>258</v>
      </c>
      <c r="B45" s="210" t="s">
        <v>290</v>
      </c>
      <c r="C45" s="258">
        <f t="shared" si="9"/>
        <v>0</v>
      </c>
      <c r="D45" s="16"/>
      <c r="E45" s="16"/>
      <c r="F45" s="16"/>
      <c r="G45" s="16"/>
      <c r="H45" s="16"/>
      <c r="I45" s="64">
        <f t="shared" si="10"/>
        <v>0</v>
      </c>
      <c r="J45" s="16"/>
      <c r="K45" s="16"/>
      <c r="L45" s="16"/>
      <c r="M45" s="67">
        <f t="shared" si="11"/>
        <v>0</v>
      </c>
      <c r="N45" s="16"/>
      <c r="O45" s="16"/>
      <c r="P45" s="16"/>
      <c r="Q45" s="58"/>
      <c r="R45" s="58"/>
      <c r="S45" s="175"/>
      <c r="T45" s="175"/>
      <c r="U45" s="175"/>
      <c r="V45" s="175"/>
    </row>
    <row r="46" spans="1:22" ht="16.149999999999999" customHeight="1">
      <c r="A46" s="121" t="s">
        <v>259</v>
      </c>
      <c r="B46" s="210" t="s">
        <v>291</v>
      </c>
      <c r="C46" s="258">
        <f t="shared" si="9"/>
        <v>0</v>
      </c>
      <c r="D46" s="16"/>
      <c r="E46" s="16"/>
      <c r="F46" s="16"/>
      <c r="G46" s="16"/>
      <c r="H46" s="16"/>
      <c r="I46" s="64">
        <f t="shared" si="10"/>
        <v>0</v>
      </c>
      <c r="J46" s="16"/>
      <c r="K46" s="16"/>
      <c r="L46" s="16"/>
      <c r="M46" s="67">
        <f t="shared" si="11"/>
        <v>0</v>
      </c>
      <c r="N46" s="16"/>
      <c r="O46" s="16"/>
      <c r="P46" s="16"/>
      <c r="Q46" s="58"/>
      <c r="R46" s="58"/>
      <c r="S46" s="175"/>
      <c r="T46" s="175"/>
      <c r="U46" s="175"/>
      <c r="V46" s="175"/>
    </row>
    <row r="47" spans="1:22" ht="16.149999999999999" customHeight="1" thickBot="1">
      <c r="A47" s="136" t="s">
        <v>260</v>
      </c>
      <c r="B47" s="210" t="s">
        <v>292</v>
      </c>
      <c r="C47" s="259">
        <f t="shared" si="9"/>
        <v>0</v>
      </c>
      <c r="D47" s="16"/>
      <c r="E47" s="16"/>
      <c r="F47" s="16"/>
      <c r="G47" s="16"/>
      <c r="H47" s="16"/>
      <c r="I47" s="260">
        <f t="shared" si="10"/>
        <v>0</v>
      </c>
      <c r="J47" s="16"/>
      <c r="K47" s="16"/>
      <c r="L47" s="16"/>
      <c r="M47" s="124">
        <f t="shared" si="11"/>
        <v>0</v>
      </c>
      <c r="N47" s="16"/>
      <c r="O47" s="16"/>
      <c r="P47" s="16"/>
      <c r="Q47" s="58"/>
      <c r="R47" s="58"/>
      <c r="S47" s="222"/>
      <c r="T47" s="222"/>
      <c r="U47" s="175"/>
      <c r="V47" s="175"/>
    </row>
    <row r="48" spans="1:22" ht="16.149999999999999" customHeight="1" thickBot="1">
      <c r="A48" s="138" t="s">
        <v>261</v>
      </c>
      <c r="B48" s="215"/>
      <c r="C48" s="140">
        <f t="shared" ref="C48:P48" si="12">SUM(C43:C47)</f>
        <v>0</v>
      </c>
      <c r="D48" s="263">
        <f t="shared" si="12"/>
        <v>0</v>
      </c>
      <c r="E48" s="263">
        <f t="shared" si="12"/>
        <v>0</v>
      </c>
      <c r="F48" s="263">
        <f t="shared" si="12"/>
        <v>0</v>
      </c>
      <c r="G48" s="263">
        <f t="shared" si="12"/>
        <v>0</v>
      </c>
      <c r="H48" s="263">
        <f t="shared" si="12"/>
        <v>0</v>
      </c>
      <c r="I48" s="140">
        <f t="shared" si="12"/>
        <v>0</v>
      </c>
      <c r="J48" s="140">
        <f t="shared" si="12"/>
        <v>0</v>
      </c>
      <c r="K48" s="140">
        <f t="shared" si="12"/>
        <v>0</v>
      </c>
      <c r="L48" s="140">
        <f t="shared" si="12"/>
        <v>0</v>
      </c>
      <c r="M48" s="140">
        <f t="shared" si="12"/>
        <v>0</v>
      </c>
      <c r="N48" s="141">
        <f t="shared" si="12"/>
        <v>0</v>
      </c>
      <c r="O48" s="142">
        <f t="shared" si="12"/>
        <v>0</v>
      </c>
      <c r="P48" s="140">
        <f t="shared" si="12"/>
        <v>0</v>
      </c>
      <c r="Q48" s="58"/>
      <c r="R48" s="58"/>
      <c r="S48" s="222"/>
      <c r="T48" s="222"/>
      <c r="U48" s="157"/>
      <c r="V48" s="157"/>
    </row>
    <row r="49" spans="1:22" ht="16.149999999999999" customHeight="1">
      <c r="A49" s="110"/>
      <c r="B49" s="110"/>
      <c r="C49" s="111"/>
      <c r="D49" s="111"/>
      <c r="E49" s="111"/>
      <c r="F49" s="111"/>
      <c r="G49" s="111"/>
      <c r="H49" s="111"/>
      <c r="I49" s="111"/>
      <c r="J49" s="111"/>
      <c r="K49" s="111"/>
      <c r="L49" s="111"/>
      <c r="M49" s="111"/>
      <c r="N49" s="111"/>
      <c r="O49" s="111"/>
      <c r="P49" s="58"/>
      <c r="Q49" s="58"/>
      <c r="R49" s="58"/>
      <c r="S49" s="222"/>
      <c r="T49" s="222"/>
      <c r="U49" s="157"/>
      <c r="V49" s="157"/>
    </row>
    <row r="50" spans="1:22" ht="16.149999999999999" customHeight="1" thickBot="1">
      <c r="A50" s="110"/>
      <c r="B50" s="110"/>
      <c r="C50" s="144"/>
      <c r="D50" s="144"/>
      <c r="E50" s="144"/>
      <c r="F50" s="144"/>
      <c r="G50" s="144"/>
      <c r="H50" s="144"/>
      <c r="I50" s="144"/>
      <c r="J50" s="144"/>
      <c r="K50" s="144"/>
      <c r="L50" s="144"/>
      <c r="M50" s="144"/>
      <c r="N50" s="144"/>
      <c r="O50" s="144"/>
      <c r="P50" s="58"/>
      <c r="Q50" s="58"/>
      <c r="R50" s="58"/>
      <c r="S50" s="58"/>
      <c r="T50" s="58"/>
      <c r="U50" s="135"/>
      <c r="V50" s="135"/>
    </row>
    <row r="51" spans="1:22" ht="34.15" customHeight="1" thickBot="1">
      <c r="A51" s="325" t="s">
        <v>386</v>
      </c>
      <c r="B51" s="326"/>
      <c r="C51" s="326"/>
      <c r="D51" s="326"/>
      <c r="E51" s="326"/>
      <c r="F51" s="336" t="s">
        <v>387</v>
      </c>
      <c r="G51" s="337"/>
      <c r="H51" s="337"/>
      <c r="I51" s="337"/>
      <c r="J51" s="337"/>
      <c r="K51" s="337"/>
      <c r="L51" s="337"/>
      <c r="M51" s="337"/>
      <c r="N51" s="338"/>
      <c r="O51" s="336" t="s">
        <v>388</v>
      </c>
      <c r="P51" s="337"/>
      <c r="Q51" s="337"/>
      <c r="R51" s="337"/>
      <c r="S51" s="338"/>
      <c r="T51" s="44"/>
      <c r="U51" s="135"/>
      <c r="V51" s="135"/>
    </row>
    <row r="52" spans="1:22" ht="33.4"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52"/>
      <c r="U52" s="135"/>
      <c r="V52" s="135"/>
    </row>
    <row r="53" spans="1:22"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58"/>
      <c r="U53" s="135"/>
      <c r="V53" s="135"/>
    </row>
    <row r="54" spans="1:22" ht="16.149999999999999" customHeight="1">
      <c r="A54" s="152" t="s">
        <v>256</v>
      </c>
      <c r="B54" s="101" t="s">
        <v>290</v>
      </c>
      <c r="C54" s="16"/>
      <c r="D54" s="16"/>
      <c r="E54" s="16"/>
      <c r="F54" s="16"/>
      <c r="G54" s="16"/>
      <c r="H54" s="16"/>
      <c r="I54" s="16"/>
      <c r="J54" s="16"/>
      <c r="K54" s="16"/>
      <c r="L54" s="16"/>
      <c r="M54" s="16"/>
      <c r="N54" s="16"/>
      <c r="O54" s="16"/>
      <c r="P54" s="16"/>
      <c r="Q54" s="16"/>
      <c r="R54" s="16"/>
      <c r="S54" s="16"/>
      <c r="T54" s="58"/>
      <c r="U54" s="135"/>
      <c r="V54" s="135"/>
    </row>
    <row r="55" spans="1:22" ht="16.149999999999999" customHeight="1">
      <c r="A55" s="152" t="s">
        <v>257</v>
      </c>
      <c r="B55" s="101" t="s">
        <v>291</v>
      </c>
      <c r="C55" s="16"/>
      <c r="D55" s="16"/>
      <c r="E55" s="16"/>
      <c r="F55" s="16"/>
      <c r="G55" s="16"/>
      <c r="H55" s="16"/>
      <c r="I55" s="16"/>
      <c r="J55" s="16"/>
      <c r="K55" s="16"/>
      <c r="L55" s="16"/>
      <c r="M55" s="16"/>
      <c r="N55" s="16"/>
      <c r="O55" s="16"/>
      <c r="P55" s="16"/>
      <c r="Q55" s="16"/>
      <c r="R55" s="16"/>
      <c r="S55" s="16"/>
      <c r="T55" s="58"/>
      <c r="U55" s="58"/>
      <c r="V55" s="58"/>
    </row>
    <row r="56" spans="1:22" ht="16.149999999999999" customHeight="1">
      <c r="A56" s="152" t="s">
        <v>258</v>
      </c>
      <c r="B56" s="101" t="s">
        <v>292</v>
      </c>
      <c r="C56" s="16"/>
      <c r="D56" s="16"/>
      <c r="E56" s="16"/>
      <c r="F56" s="16"/>
      <c r="G56" s="16"/>
      <c r="H56" s="16"/>
      <c r="I56" s="16"/>
      <c r="J56" s="16"/>
      <c r="K56" s="16"/>
      <c r="L56" s="16"/>
      <c r="M56" s="16"/>
      <c r="N56" s="16"/>
      <c r="O56" s="16"/>
      <c r="P56" s="16"/>
      <c r="Q56" s="16"/>
      <c r="R56" s="16"/>
      <c r="S56" s="16"/>
      <c r="T56" s="58"/>
      <c r="U56" s="58"/>
      <c r="V56" s="58"/>
    </row>
    <row r="57" spans="1:22" ht="16.149999999999999" customHeight="1">
      <c r="A57" s="152" t="s">
        <v>259</v>
      </c>
      <c r="B57" s="101" t="s">
        <v>293</v>
      </c>
      <c r="C57" s="16"/>
      <c r="D57" s="16"/>
      <c r="E57" s="16"/>
      <c r="F57" s="16"/>
      <c r="G57" s="16"/>
      <c r="H57" s="16"/>
      <c r="I57" s="16"/>
      <c r="J57" s="16"/>
      <c r="K57" s="16"/>
      <c r="L57" s="16"/>
      <c r="M57" s="16"/>
      <c r="N57" s="16"/>
      <c r="O57" s="16"/>
      <c r="P57" s="16"/>
      <c r="Q57" s="16"/>
      <c r="R57" s="16"/>
      <c r="S57" s="16"/>
      <c r="T57" s="58"/>
      <c r="U57" s="58"/>
      <c r="V57" s="58"/>
    </row>
    <row r="58" spans="1:22" ht="16.149999999999999" customHeight="1" thickBot="1">
      <c r="A58" s="153" t="s">
        <v>260</v>
      </c>
      <c r="B58" s="102" t="s">
        <v>294</v>
      </c>
      <c r="C58" s="16"/>
      <c r="D58" s="16"/>
      <c r="E58" s="16"/>
      <c r="F58" s="16"/>
      <c r="G58" s="16"/>
      <c r="H58" s="16"/>
      <c r="I58" s="16"/>
      <c r="J58" s="16"/>
      <c r="K58" s="16"/>
      <c r="L58" s="16"/>
      <c r="M58" s="16"/>
      <c r="N58" s="16"/>
      <c r="O58" s="16"/>
      <c r="P58" s="16"/>
      <c r="Q58" s="16"/>
      <c r="R58" s="16"/>
      <c r="S58" s="16"/>
      <c r="T58" s="58"/>
      <c r="U58" s="58"/>
      <c r="V58" s="58"/>
    </row>
    <row r="59" spans="1:22" ht="16.149999999999999" customHeight="1" thickBot="1">
      <c r="A59" s="125" t="s">
        <v>261</v>
      </c>
      <c r="B59" s="154"/>
      <c r="C59" s="116">
        <f t="shared" ref="C59:S59" si="13">SUM(C54:C58)</f>
        <v>0</v>
      </c>
      <c r="D59" s="116">
        <f t="shared" si="13"/>
        <v>0</v>
      </c>
      <c r="E59" s="155">
        <f t="shared" si="13"/>
        <v>0</v>
      </c>
      <c r="F59" s="116">
        <f t="shared" si="13"/>
        <v>0</v>
      </c>
      <c r="G59" s="116">
        <f t="shared" si="13"/>
        <v>0</v>
      </c>
      <c r="H59" s="116">
        <f t="shared" si="13"/>
        <v>0</v>
      </c>
      <c r="I59" s="116">
        <f t="shared" si="13"/>
        <v>0</v>
      </c>
      <c r="J59" s="116">
        <f t="shared" si="13"/>
        <v>0</v>
      </c>
      <c r="K59" s="116">
        <f t="shared" si="13"/>
        <v>0</v>
      </c>
      <c r="L59" s="116">
        <f t="shared" si="13"/>
        <v>0</v>
      </c>
      <c r="M59" s="116">
        <f t="shared" si="13"/>
        <v>0</v>
      </c>
      <c r="N59" s="116">
        <f t="shared" si="13"/>
        <v>0</v>
      </c>
      <c r="O59" s="156">
        <f t="shared" si="13"/>
        <v>0</v>
      </c>
      <c r="P59" s="156">
        <f t="shared" si="13"/>
        <v>0</v>
      </c>
      <c r="Q59" s="116">
        <f t="shared" si="13"/>
        <v>0</v>
      </c>
      <c r="R59" s="116">
        <f t="shared" si="13"/>
        <v>0</v>
      </c>
      <c r="S59" s="116">
        <f t="shared" si="13"/>
        <v>0</v>
      </c>
      <c r="T59" s="58"/>
      <c r="U59" s="58"/>
      <c r="V59" s="58"/>
    </row>
    <row r="60" spans="1:22" ht="16.149999999999999" customHeight="1"/>
    <row r="61" spans="1:22" ht="16.149999999999999" customHeight="1"/>
    <row r="62" spans="1:22" ht="16.149999999999999" customHeight="1"/>
    <row r="63" spans="1:22" ht="16.149999999999999" customHeight="1"/>
    <row r="64" spans="1:22"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sheetData>
  <sheetProtection selectLockedCells="1"/>
  <mergeCells count="16">
    <mergeCell ref="A41:P41"/>
    <mergeCell ref="A51:E51"/>
    <mergeCell ref="F51:N51"/>
    <mergeCell ref="O51:S51"/>
    <mergeCell ref="B2:G2"/>
    <mergeCell ref="A8:V8"/>
    <mergeCell ref="C9:G9"/>
    <mergeCell ref="H9:L9"/>
    <mergeCell ref="M9:Q9"/>
    <mergeCell ref="R9:V9"/>
    <mergeCell ref="C20:G20"/>
    <mergeCell ref="A5:Q5"/>
    <mergeCell ref="S36:V40"/>
    <mergeCell ref="H20:L20"/>
    <mergeCell ref="M20:Q20"/>
    <mergeCell ref="A31:M31"/>
  </mergeCells>
  <conditionalFormatting sqref="V25:V31">
    <cfRule type="duplicateValues" dxfId="26" priority="3"/>
  </conditionalFormatting>
  <conditionalFormatting sqref="V31">
    <cfRule type="containsText" dxfId="25" priority="1" operator="containsText" text="No">
      <formula>NOT(ISERROR(SEARCH("No",V31)))</formula>
    </cfRule>
    <cfRule type="containsText" dxfId="24" priority="2" operator="containsText" text="Yes">
      <formula>NOT(ISERROR(SEARCH("Yes",V31)))</formula>
    </cfRule>
  </conditionalFormatting>
  <dataValidations count="2">
    <dataValidation errorStyle="warning" operator="lessThanOrEqual" allowBlank="1" showInputMessage="1" showErrorMessage="1" errorTitle="Large number" error="The number you entered is very large or non numeric, is this correct?" sqref="W1:XFD1048576 A60:V1048576 A1:A7 R1:V7 B1:Q4 B6:Q7" xr:uid="{380C3AB5-4F44-48E2-9406-78E0B87075D1}"/>
    <dataValidation type="whole" allowBlank="1" showInputMessage="1" showErrorMessage="1" errorTitle="Error" error="Please enter a whole number greater than zero and less than 10,000." sqref="G12:G17 C12:F16 Q12:Q17 L12:L17 H12:K16 R12:U16 V12:V17 M12:P16 Q23:Q28 L23:L28 M23:P27 H23:K27 C23:F27 G23:G28 N43:P47 D43:H47 J43:L47 C54:S58" xr:uid="{E388233D-D660-42A6-BDF2-BCAB860D3584}">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72468F-BAF1-4FC1-8C61-E4AD6DB155C8}">
  <sheetPr codeName="Sheet10">
    <tabColor rgb="FFFF0000"/>
  </sheetPr>
  <dimension ref="A4:G27"/>
  <sheetViews>
    <sheetView workbookViewId="0">
      <selection activeCell="B7" sqref="B7:C27"/>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7">
      <c r="C4" s="252" t="s">
        <v>389</v>
      </c>
      <c r="D4" s="253" t="str">
        <f>VLOOKUP(Cover!A6,Cover!B319:D331,2,FALSE)</f>
        <v>2024/25</v>
      </c>
      <c r="E4" s="254" t="str">
        <f>Cover!A10</f>
        <v>Shropshire</v>
      </c>
    </row>
    <row r="7" spans="1:7">
      <c r="B7" t="s">
        <v>256</v>
      </c>
      <c r="C7" t="s">
        <v>257</v>
      </c>
      <c r="D7" t="s">
        <v>258</v>
      </c>
      <c r="E7" t="s">
        <v>259</v>
      </c>
      <c r="F7" t="s">
        <v>260</v>
      </c>
      <c r="G7" t="s">
        <v>261</v>
      </c>
    </row>
    <row r="8" spans="1:7">
      <c r="A8" t="s">
        <v>136</v>
      </c>
      <c r="B8" cm="1">
        <f t="array" ref="B8">SUMPRODUCT(('LE - PY data'!$A$2:$A$10000='LE3a PY'!$C$4)*('LE - PY data'!$B$2:$B$10000='LE3a PY'!$D$4)*('LE - PY data'!$C$2:$C$10000='LE3a PY'!$E$4)*('LE - PY data'!$E$2:$E$10000='LE3a PY'!B$7)*('LE - PY data'!$F$2:$F$10000='LE3a PY'!$A8)*('LE - PY data'!$G$2:$G$10000))</f>
        <v>0</v>
      </c>
      <c r="C8" cm="1">
        <f t="array" ref="C8">SUMPRODUCT(('LE - PY data'!$A$2:$A$10000='LE3a PY'!$C$4)*('LE - PY data'!$B$2:$B$10000='LE3a PY'!$D$4)*('LE - PY data'!$C$2:$C$10000='LE3a PY'!$E$4)*('LE - PY data'!$E$2:$E$10000='LE3a PY'!C$7)*('LE - PY data'!$F$2:$F$10000='LE3a PY'!$A8)*('LE - PY data'!$G$2:$G$10000))</f>
        <v>0</v>
      </c>
      <c r="D8" cm="1">
        <f t="array" ref="D8">SUMPRODUCT(('LE - PY data'!$A$2:$A$10000='LE3a PY'!$C$4)*('LE - PY data'!$B$2:$B$10000='LE3a PY'!$D$4)*('LE - PY data'!$C$2:$C$10000='LE3a PY'!$E$4)*('LE - PY data'!$E$2:$E$10000='LE3a PY'!D$7)*('LE - PY data'!$F$2:$F$10000='LE3a PY'!$A8)*('LE - PY data'!$G$2:$G$10000))</f>
        <v>0</v>
      </c>
      <c r="E8" cm="1">
        <f t="array" ref="E8">SUMPRODUCT(('LE - PY data'!$A$2:$A$10000='LE3a PY'!$C$4)*('LE - PY data'!$B$2:$B$10000='LE3a PY'!$D$4)*('LE - PY data'!$C$2:$C$10000='LE3a PY'!$E$4)*('LE - PY data'!$E$2:$E$10000='LE3a PY'!E$7)*('LE - PY data'!$F$2:$F$10000='LE3a PY'!$A8)*('LE - PY data'!$G$2:$G$10000))</f>
        <v>0</v>
      </c>
      <c r="F8" cm="1">
        <f t="array" ref="F8">SUMPRODUCT(('LE - PY data'!$A$2:$A$10000='LE3a PY'!$C$4)*('LE - PY data'!$B$2:$B$10000='LE3a PY'!$D$4)*('LE - PY data'!$C$2:$C$10000='LE3a PY'!$E$4)*('LE - PY data'!$E$2:$E$10000='LE3a PY'!F$7)*('LE - PY data'!$F$2:$F$10000='LE3a PY'!$A8)*('LE - PY data'!$G$2:$G$10000))</f>
        <v>0</v>
      </c>
      <c r="G8" cm="1">
        <f t="array" ref="G8">SUMPRODUCT(('LE - PY data'!$A$2:$A$10000='LE3a PY'!$C$4)*('LE - PY data'!$B$2:$B$10000='LE3a PY'!$D$4)*('LE - PY data'!$C$2:$C$10000='LE3a PY'!$E$4)*('LE - PY data'!$F$2:$F$10000='LE3a PY'!$A8)*('LE - PY data'!$G$2:$G$10000))</f>
        <v>0</v>
      </c>
    </row>
    <row r="9" spans="1:7">
      <c r="A9" t="s">
        <v>137</v>
      </c>
      <c r="B9" cm="1">
        <f t="array" ref="B9">SUMPRODUCT(('LE - PY data'!$A$2:$A$10000='LE3a PY'!$C$4)*('LE - PY data'!$B$2:$B$10000='LE3a PY'!$D$4)*('LE - PY data'!$C$2:$C$10000='LE3a PY'!$E$4)*('LE - PY data'!$E$2:$E$10000='LE3a PY'!B$7)*('LE - PY data'!$F$2:$F$10000='LE3a PY'!$A9)*('LE - PY data'!$G$2:$G$10000))</f>
        <v>0</v>
      </c>
      <c r="C9" cm="1">
        <f t="array" ref="C9">SUMPRODUCT(('LE - PY data'!$A$2:$A$10000='LE3a PY'!$C$4)*('LE - PY data'!$B$2:$B$10000='LE3a PY'!$D$4)*('LE - PY data'!$C$2:$C$10000='LE3a PY'!$E$4)*('LE - PY data'!$E$2:$E$10000='LE3a PY'!C$7)*('LE - PY data'!$F$2:$F$10000='LE3a PY'!$A9)*('LE - PY data'!$G$2:$G$10000))</f>
        <v>0</v>
      </c>
      <c r="D9" cm="1">
        <f t="array" ref="D9">SUMPRODUCT(('LE - PY data'!$A$2:$A$10000='LE3a PY'!$C$4)*('LE - PY data'!$B$2:$B$10000='LE3a PY'!$D$4)*('LE - PY data'!$C$2:$C$10000='LE3a PY'!$E$4)*('LE - PY data'!$E$2:$E$10000='LE3a PY'!D$7)*('LE - PY data'!$F$2:$F$10000='LE3a PY'!$A9)*('LE - PY data'!$G$2:$G$10000))</f>
        <v>0</v>
      </c>
      <c r="E9" cm="1">
        <f t="array" ref="E9">SUMPRODUCT(('LE - PY data'!$A$2:$A$10000='LE3a PY'!$C$4)*('LE - PY data'!$B$2:$B$10000='LE3a PY'!$D$4)*('LE - PY data'!$C$2:$C$10000='LE3a PY'!$E$4)*('LE - PY data'!$E$2:$E$10000='LE3a PY'!E$7)*('LE - PY data'!$F$2:$F$10000='LE3a PY'!$A9)*('LE - PY data'!$G$2:$G$10000))</f>
        <v>0</v>
      </c>
      <c r="F9" cm="1">
        <f t="array" ref="F9">SUMPRODUCT(('LE - PY data'!$A$2:$A$10000='LE3a PY'!$C$4)*('LE - PY data'!$B$2:$B$10000='LE3a PY'!$D$4)*('LE - PY data'!$C$2:$C$10000='LE3a PY'!$E$4)*('LE - PY data'!$E$2:$E$10000='LE3a PY'!F$7)*('LE - PY data'!$F$2:$F$10000='LE3a PY'!$A9)*('LE - PY data'!$G$2:$G$10000))</f>
        <v>0</v>
      </c>
      <c r="G9" cm="1">
        <f t="array" ref="G9">SUMPRODUCT(('LE - PY data'!$A$2:$A$10000='LE3a PY'!$C$4)*('LE - PY data'!$B$2:$B$10000='LE3a PY'!$D$4)*('LE - PY data'!$C$2:$C$10000='LE3a PY'!$E$4)*('LE - PY data'!$F$2:$F$10000='LE3a PY'!$A9)*('LE - PY data'!$G$2:$G$10000))</f>
        <v>0</v>
      </c>
    </row>
    <row r="10" spans="1:7">
      <c r="A10" t="s">
        <v>262</v>
      </c>
      <c r="B10" cm="1">
        <f t="array" ref="B10">SUMPRODUCT(('LE - PY data'!$A$2:$A$10000='LE3a PY'!$C$4)*('LE - PY data'!$B$2:$B$10000='LE3a PY'!$D$4)*('LE - PY data'!$C$2:$C$10000='LE3a PY'!$E$4)*('LE - PY data'!$E$2:$E$10000='LE3a PY'!B$7)*('LE - PY data'!$F$2:$F$10000='LE3a PY'!$A10)*('LE - PY data'!$G$2:$G$10000))</f>
        <v>0</v>
      </c>
      <c r="C10" cm="1">
        <f t="array" ref="C10">SUMPRODUCT(('LE - PY data'!$A$2:$A$10000='LE3a PY'!$C$4)*('LE - PY data'!$B$2:$B$10000='LE3a PY'!$D$4)*('LE - PY data'!$C$2:$C$10000='LE3a PY'!$E$4)*('LE - PY data'!$E$2:$E$10000='LE3a PY'!C$7)*('LE - PY data'!$F$2:$F$10000='LE3a PY'!$A10)*('LE - PY data'!$G$2:$G$10000))</f>
        <v>0</v>
      </c>
      <c r="D10" cm="1">
        <f t="array" ref="D10">SUMPRODUCT(('LE - PY data'!$A$2:$A$10000='LE3a PY'!$C$4)*('LE - PY data'!$B$2:$B$10000='LE3a PY'!$D$4)*('LE - PY data'!$C$2:$C$10000='LE3a PY'!$E$4)*('LE - PY data'!$E$2:$E$10000='LE3a PY'!D$7)*('LE - PY data'!$F$2:$F$10000='LE3a PY'!$A10)*('LE - PY data'!$G$2:$G$10000))</f>
        <v>0</v>
      </c>
      <c r="E10" cm="1">
        <f t="array" ref="E10">SUMPRODUCT(('LE - PY data'!$A$2:$A$10000='LE3a PY'!$C$4)*('LE - PY data'!$B$2:$B$10000='LE3a PY'!$D$4)*('LE - PY data'!$C$2:$C$10000='LE3a PY'!$E$4)*('LE - PY data'!$E$2:$E$10000='LE3a PY'!E$7)*('LE - PY data'!$F$2:$F$10000='LE3a PY'!$A10)*('LE - PY data'!$G$2:$G$10000))</f>
        <v>0</v>
      </c>
      <c r="F10" cm="1">
        <f t="array" ref="F10">SUMPRODUCT(('LE - PY data'!$A$2:$A$10000='LE3a PY'!$C$4)*('LE - PY data'!$B$2:$B$10000='LE3a PY'!$D$4)*('LE - PY data'!$C$2:$C$10000='LE3a PY'!$E$4)*('LE - PY data'!$E$2:$E$10000='LE3a PY'!F$7)*('LE - PY data'!$F$2:$F$10000='LE3a PY'!$A10)*('LE - PY data'!$G$2:$G$10000))</f>
        <v>0</v>
      </c>
      <c r="G10" cm="1">
        <f t="array" ref="G10">SUMPRODUCT(('LE - PY data'!$A$2:$A$10000='LE3a PY'!$C$4)*('LE - PY data'!$B$2:$B$10000='LE3a PY'!$D$4)*('LE - PY data'!$C$2:$C$10000='LE3a PY'!$E$4)*('LE - PY data'!$F$2:$F$10000='LE3a PY'!$A10)*('LE - PY data'!$G$2:$G$10000))</f>
        <v>0</v>
      </c>
    </row>
    <row r="11" spans="1:7">
      <c r="A11" t="s">
        <v>139</v>
      </c>
      <c r="B11" cm="1">
        <f t="array" ref="B11">SUMPRODUCT(('LE - PY data'!$A$2:$A$10000='LE3a PY'!$C$4)*('LE - PY data'!$B$2:$B$10000='LE3a PY'!$D$4)*('LE - PY data'!$C$2:$C$10000='LE3a PY'!$E$4)*('LE - PY data'!$E$2:$E$10000='LE3a PY'!B$7)*('LE - PY data'!$F$2:$F$10000='LE3a PY'!$A11)*('LE - PY data'!$G$2:$G$10000))</f>
        <v>0</v>
      </c>
      <c r="C11" cm="1">
        <f t="array" ref="C11">SUMPRODUCT(('LE - PY data'!$A$2:$A$10000='LE3a PY'!$C$4)*('LE - PY data'!$B$2:$B$10000='LE3a PY'!$D$4)*('LE - PY data'!$C$2:$C$10000='LE3a PY'!$E$4)*('LE - PY data'!$E$2:$E$10000='LE3a PY'!C$7)*('LE - PY data'!$F$2:$F$10000='LE3a PY'!$A11)*('LE - PY data'!$G$2:$G$10000))</f>
        <v>0</v>
      </c>
      <c r="D11" cm="1">
        <f t="array" ref="D11">SUMPRODUCT(('LE - PY data'!$A$2:$A$10000='LE3a PY'!$C$4)*('LE - PY data'!$B$2:$B$10000='LE3a PY'!$D$4)*('LE - PY data'!$C$2:$C$10000='LE3a PY'!$E$4)*('LE - PY data'!$E$2:$E$10000='LE3a PY'!D$7)*('LE - PY data'!$F$2:$F$10000='LE3a PY'!$A11)*('LE - PY data'!$G$2:$G$10000))</f>
        <v>0</v>
      </c>
      <c r="E11" cm="1">
        <f t="array" ref="E11">SUMPRODUCT(('LE - PY data'!$A$2:$A$10000='LE3a PY'!$C$4)*('LE - PY data'!$B$2:$B$10000='LE3a PY'!$D$4)*('LE - PY data'!$C$2:$C$10000='LE3a PY'!$E$4)*('LE - PY data'!$E$2:$E$10000='LE3a PY'!E$7)*('LE - PY data'!$F$2:$F$10000='LE3a PY'!$A11)*('LE - PY data'!$G$2:$G$10000))</f>
        <v>0</v>
      </c>
      <c r="F11" cm="1">
        <f t="array" ref="F11">SUMPRODUCT(('LE - PY data'!$A$2:$A$10000='LE3a PY'!$C$4)*('LE - PY data'!$B$2:$B$10000='LE3a PY'!$D$4)*('LE - PY data'!$C$2:$C$10000='LE3a PY'!$E$4)*('LE - PY data'!$E$2:$E$10000='LE3a PY'!F$7)*('LE - PY data'!$F$2:$F$10000='LE3a PY'!$A11)*('LE - PY data'!$G$2:$G$10000))</f>
        <v>0</v>
      </c>
      <c r="G11" cm="1">
        <f t="array" ref="G11">SUMPRODUCT(('LE - PY data'!$A$2:$A$10000='LE3a PY'!$C$4)*('LE - PY data'!$B$2:$B$10000='LE3a PY'!$D$4)*('LE - PY data'!$C$2:$C$10000='LE3a PY'!$E$4)*('LE - PY data'!$F$2:$F$10000='LE3a PY'!$A11)*('LE - PY data'!$G$2:$G$10000))</f>
        <v>0</v>
      </c>
    </row>
    <row r="12" spans="1:7">
      <c r="A12" t="s">
        <v>140</v>
      </c>
      <c r="B12" cm="1">
        <f t="array" ref="B12">SUMPRODUCT(('LE - PY data'!$A$2:$A$10000='LE3a PY'!$C$4)*('LE - PY data'!$B$2:$B$10000='LE3a PY'!$D$4)*('LE - PY data'!$C$2:$C$10000='LE3a PY'!$E$4)*('LE - PY data'!$E$2:$E$10000='LE3a PY'!B$7)*('LE - PY data'!$F$2:$F$10000='LE3a PY'!$A12)*('LE - PY data'!$G$2:$G$10000))</f>
        <v>0</v>
      </c>
      <c r="C12" cm="1">
        <f t="array" ref="C12">SUMPRODUCT(('LE - PY data'!$A$2:$A$10000='LE3a PY'!$C$4)*('LE - PY data'!$B$2:$B$10000='LE3a PY'!$D$4)*('LE - PY data'!$C$2:$C$10000='LE3a PY'!$E$4)*('LE - PY data'!$E$2:$E$10000='LE3a PY'!C$7)*('LE - PY data'!$F$2:$F$10000='LE3a PY'!$A12)*('LE - PY data'!$G$2:$G$10000))</f>
        <v>0</v>
      </c>
      <c r="D12" cm="1">
        <f t="array" ref="D12">SUMPRODUCT(('LE - PY data'!$A$2:$A$10000='LE3a PY'!$C$4)*('LE - PY data'!$B$2:$B$10000='LE3a PY'!$D$4)*('LE - PY data'!$C$2:$C$10000='LE3a PY'!$E$4)*('LE - PY data'!$E$2:$E$10000='LE3a PY'!D$7)*('LE - PY data'!$F$2:$F$10000='LE3a PY'!$A12)*('LE - PY data'!$G$2:$G$10000))</f>
        <v>0</v>
      </c>
      <c r="E12" cm="1">
        <f t="array" ref="E12">SUMPRODUCT(('LE - PY data'!$A$2:$A$10000='LE3a PY'!$C$4)*('LE - PY data'!$B$2:$B$10000='LE3a PY'!$D$4)*('LE - PY data'!$C$2:$C$10000='LE3a PY'!$E$4)*('LE - PY data'!$E$2:$E$10000='LE3a PY'!E$7)*('LE - PY data'!$F$2:$F$10000='LE3a PY'!$A12)*('LE - PY data'!$G$2:$G$10000))</f>
        <v>0</v>
      </c>
      <c r="F12" cm="1">
        <f t="array" ref="F12">SUMPRODUCT(('LE - PY data'!$A$2:$A$10000='LE3a PY'!$C$4)*('LE - PY data'!$B$2:$B$10000='LE3a PY'!$D$4)*('LE - PY data'!$C$2:$C$10000='LE3a PY'!$E$4)*('LE - PY data'!$E$2:$E$10000='LE3a PY'!F$7)*('LE - PY data'!$F$2:$F$10000='LE3a PY'!$A12)*('LE - PY data'!$G$2:$G$10000))</f>
        <v>0</v>
      </c>
      <c r="G12" cm="1">
        <f t="array" ref="G12">SUMPRODUCT(('LE - PY data'!$A$2:$A$10000='LE3a PY'!$C$4)*('LE - PY data'!$B$2:$B$10000='LE3a PY'!$D$4)*('LE - PY data'!$C$2:$C$10000='LE3a PY'!$E$4)*('LE - PY data'!$F$2:$F$10000='LE3a PY'!$A12)*('LE - PY data'!$G$2:$G$10000))</f>
        <v>0</v>
      </c>
    </row>
    <row r="13" spans="1:7">
      <c r="A13" t="s">
        <v>141</v>
      </c>
      <c r="B13" cm="1">
        <f t="array" ref="B13">SUMPRODUCT(('LE - PY data'!$A$2:$A$10000='LE3a PY'!$C$4)*('LE - PY data'!$B$2:$B$10000='LE3a PY'!$D$4)*('LE - PY data'!$C$2:$C$10000='LE3a PY'!$E$4)*('LE - PY data'!$E$2:$E$10000='LE3a PY'!B$7)*('LE - PY data'!$F$2:$F$10000='LE3a PY'!$A13)*('LE - PY data'!$G$2:$G$10000))</f>
        <v>0</v>
      </c>
      <c r="C13" cm="1">
        <f t="array" ref="C13">SUMPRODUCT(('LE - PY data'!$A$2:$A$10000='LE3a PY'!$C$4)*('LE - PY data'!$B$2:$B$10000='LE3a PY'!$D$4)*('LE - PY data'!$C$2:$C$10000='LE3a PY'!$E$4)*('LE - PY data'!$E$2:$E$10000='LE3a PY'!C$7)*('LE - PY data'!$F$2:$F$10000='LE3a PY'!$A13)*('LE - PY data'!$G$2:$G$10000))</f>
        <v>0</v>
      </c>
      <c r="D13" cm="1">
        <f t="array" ref="D13">SUMPRODUCT(('LE - PY data'!$A$2:$A$10000='LE3a PY'!$C$4)*('LE - PY data'!$B$2:$B$10000='LE3a PY'!$D$4)*('LE - PY data'!$C$2:$C$10000='LE3a PY'!$E$4)*('LE - PY data'!$E$2:$E$10000='LE3a PY'!D$7)*('LE - PY data'!$F$2:$F$10000='LE3a PY'!$A13)*('LE - PY data'!$G$2:$G$10000))</f>
        <v>0</v>
      </c>
      <c r="E13" cm="1">
        <f t="array" ref="E13">SUMPRODUCT(('LE - PY data'!$A$2:$A$10000='LE3a PY'!$C$4)*('LE - PY data'!$B$2:$B$10000='LE3a PY'!$D$4)*('LE - PY data'!$C$2:$C$10000='LE3a PY'!$E$4)*('LE - PY data'!$E$2:$E$10000='LE3a PY'!E$7)*('LE - PY data'!$F$2:$F$10000='LE3a PY'!$A13)*('LE - PY data'!$G$2:$G$10000))</f>
        <v>0</v>
      </c>
      <c r="F13" cm="1">
        <f t="array" ref="F13">SUMPRODUCT(('LE - PY data'!$A$2:$A$10000='LE3a PY'!$C$4)*('LE - PY data'!$B$2:$B$10000='LE3a PY'!$D$4)*('LE - PY data'!$C$2:$C$10000='LE3a PY'!$E$4)*('LE - PY data'!$E$2:$E$10000='LE3a PY'!F$7)*('LE - PY data'!$F$2:$F$10000='LE3a PY'!$A13)*('LE - PY data'!$G$2:$G$10000))</f>
        <v>0</v>
      </c>
      <c r="G13" cm="1">
        <f t="array" ref="G13">SUMPRODUCT(('LE - PY data'!$A$2:$A$10000='LE3a PY'!$C$4)*('LE - PY data'!$B$2:$B$10000='LE3a PY'!$D$4)*('LE - PY data'!$C$2:$C$10000='LE3a PY'!$E$4)*('LE - PY data'!$F$2:$F$10000='LE3a PY'!$A13)*('LE - PY data'!$G$2:$G$10000))</f>
        <v>0</v>
      </c>
    </row>
    <row r="14" spans="1:7">
      <c r="A14" t="s">
        <v>263</v>
      </c>
      <c r="B14" cm="1">
        <f t="array" ref="B14">SUMPRODUCT(('LE - PY data'!$A$2:$A$10000='LE3a PY'!$C$4)*('LE - PY data'!$B$2:$B$10000='LE3a PY'!$D$4)*('LE - PY data'!$C$2:$C$10000='LE3a PY'!$E$4)*('LE - PY data'!$E$2:$E$10000='LE3a PY'!B$7)*('LE - PY data'!$F$2:$F$10000='LE3a PY'!$A14)*('LE - PY data'!$G$2:$G$10000))</f>
        <v>0</v>
      </c>
      <c r="C14" cm="1">
        <f t="array" ref="C14">SUMPRODUCT(('LE - PY data'!$A$2:$A$10000='LE3a PY'!$C$4)*('LE - PY data'!$B$2:$B$10000='LE3a PY'!$D$4)*('LE - PY data'!$C$2:$C$10000='LE3a PY'!$E$4)*('LE - PY data'!$E$2:$E$10000='LE3a PY'!C$7)*('LE - PY data'!$F$2:$F$10000='LE3a PY'!$A14)*('LE - PY data'!$G$2:$G$10000))</f>
        <v>0</v>
      </c>
      <c r="D14" cm="1">
        <f t="array" ref="D14">SUMPRODUCT(('LE - PY data'!$A$2:$A$10000='LE3a PY'!$C$4)*('LE - PY data'!$B$2:$B$10000='LE3a PY'!$D$4)*('LE - PY data'!$C$2:$C$10000='LE3a PY'!$E$4)*('LE - PY data'!$E$2:$E$10000='LE3a PY'!D$7)*('LE - PY data'!$F$2:$F$10000='LE3a PY'!$A14)*('LE - PY data'!$G$2:$G$10000))</f>
        <v>0</v>
      </c>
      <c r="E14" cm="1">
        <f t="array" ref="E14">SUMPRODUCT(('LE - PY data'!$A$2:$A$10000='LE3a PY'!$C$4)*('LE - PY data'!$B$2:$B$10000='LE3a PY'!$D$4)*('LE - PY data'!$C$2:$C$10000='LE3a PY'!$E$4)*('LE - PY data'!$E$2:$E$10000='LE3a PY'!E$7)*('LE - PY data'!$F$2:$F$10000='LE3a PY'!$A14)*('LE - PY data'!$G$2:$G$10000))</f>
        <v>0</v>
      </c>
      <c r="F14" cm="1">
        <f t="array" ref="F14">SUMPRODUCT(('LE - PY data'!$A$2:$A$10000='LE3a PY'!$C$4)*('LE - PY data'!$B$2:$B$10000='LE3a PY'!$D$4)*('LE - PY data'!$C$2:$C$10000='LE3a PY'!$E$4)*('LE - PY data'!$E$2:$E$10000='LE3a PY'!F$7)*('LE - PY data'!$F$2:$F$10000='LE3a PY'!$A14)*('LE - PY data'!$G$2:$G$10000))</f>
        <v>0</v>
      </c>
      <c r="G14" cm="1">
        <f t="array" ref="G14">SUMPRODUCT(('LE - PY data'!$A$2:$A$10000='LE3a PY'!$C$4)*('LE - PY data'!$B$2:$B$10000='LE3a PY'!$D$4)*('LE - PY data'!$C$2:$C$10000='LE3a PY'!$E$4)*('LE - PY data'!$F$2:$F$10000='LE3a PY'!$A14)*('LE - PY data'!$G$2:$G$10000))</f>
        <v>0</v>
      </c>
    </row>
    <row r="15" spans="1:7">
      <c r="A15" t="s">
        <v>145</v>
      </c>
      <c r="B15" cm="1">
        <f t="array" ref="B15">SUMPRODUCT(('LE - PY data'!$A$2:$A$10000='LE3a PY'!$C$4)*('LE - PY data'!$B$2:$B$10000='LE3a PY'!$D$4)*('LE - PY data'!$C$2:$C$10000='LE3a PY'!$E$4)*('LE - PY data'!$E$2:$E$10000='LE3a PY'!B$7)*('LE - PY data'!$F$2:$F$10000='LE3a PY'!$A15)*('LE - PY data'!$G$2:$G$10000))</f>
        <v>0</v>
      </c>
      <c r="C15" cm="1">
        <f t="array" ref="C15">SUMPRODUCT(('LE - PY data'!$A$2:$A$10000='LE3a PY'!$C$4)*('LE - PY data'!$B$2:$B$10000='LE3a PY'!$D$4)*('LE - PY data'!$C$2:$C$10000='LE3a PY'!$E$4)*('LE - PY data'!$E$2:$E$10000='LE3a PY'!C$7)*('LE - PY data'!$F$2:$F$10000='LE3a PY'!$A15)*('LE - PY data'!$G$2:$G$10000))</f>
        <v>0</v>
      </c>
      <c r="D15" cm="1">
        <f t="array" ref="D15">SUMPRODUCT(('LE - PY data'!$A$2:$A$10000='LE3a PY'!$C$4)*('LE - PY data'!$B$2:$B$10000='LE3a PY'!$D$4)*('LE - PY data'!$C$2:$C$10000='LE3a PY'!$E$4)*('LE - PY data'!$E$2:$E$10000='LE3a PY'!D$7)*('LE - PY data'!$F$2:$F$10000='LE3a PY'!$A15)*('LE - PY data'!$G$2:$G$10000))</f>
        <v>0</v>
      </c>
      <c r="E15" cm="1">
        <f t="array" ref="E15">SUMPRODUCT(('LE - PY data'!$A$2:$A$10000='LE3a PY'!$C$4)*('LE - PY data'!$B$2:$B$10000='LE3a PY'!$D$4)*('LE - PY data'!$C$2:$C$10000='LE3a PY'!$E$4)*('LE - PY data'!$E$2:$E$10000='LE3a PY'!E$7)*('LE - PY data'!$F$2:$F$10000='LE3a PY'!$A15)*('LE - PY data'!$G$2:$G$10000))</f>
        <v>0</v>
      </c>
      <c r="F15" cm="1">
        <f t="array" ref="F15">SUMPRODUCT(('LE - PY data'!$A$2:$A$10000='LE3a PY'!$C$4)*('LE - PY data'!$B$2:$B$10000='LE3a PY'!$D$4)*('LE - PY data'!$C$2:$C$10000='LE3a PY'!$E$4)*('LE - PY data'!$E$2:$E$10000='LE3a PY'!F$7)*('LE - PY data'!$F$2:$F$10000='LE3a PY'!$A15)*('LE - PY data'!$G$2:$G$10000))</f>
        <v>0</v>
      </c>
      <c r="G15" cm="1">
        <f t="array" ref="G15">SUMPRODUCT(('LE - PY data'!$A$2:$A$10000='LE3a PY'!$C$4)*('LE - PY data'!$B$2:$B$10000='LE3a PY'!$D$4)*('LE - PY data'!$C$2:$C$10000='LE3a PY'!$E$4)*('LE - PY data'!$F$2:$F$10000='LE3a PY'!$A15)*('LE - PY data'!$G$2:$G$10000))</f>
        <v>0</v>
      </c>
    </row>
    <row r="16" spans="1:7">
      <c r="A16" t="s">
        <v>146</v>
      </c>
      <c r="B16" cm="1">
        <f t="array" ref="B16">SUMPRODUCT(('LE - PY data'!$A$2:$A$10000='LE3a PY'!$C$4)*('LE - PY data'!$B$2:$B$10000='LE3a PY'!$D$4)*('LE - PY data'!$C$2:$C$10000='LE3a PY'!$E$4)*('LE - PY data'!$E$2:$E$10000='LE3a PY'!B$7)*('LE - PY data'!$F$2:$F$10000='LE3a PY'!$A16)*('LE - PY data'!$G$2:$G$10000))</f>
        <v>0</v>
      </c>
      <c r="C16" cm="1">
        <f t="array" ref="C16">SUMPRODUCT(('LE - PY data'!$A$2:$A$10000='LE3a PY'!$C$4)*('LE - PY data'!$B$2:$B$10000='LE3a PY'!$D$4)*('LE - PY data'!$C$2:$C$10000='LE3a PY'!$E$4)*('LE - PY data'!$E$2:$E$10000='LE3a PY'!C$7)*('LE - PY data'!$F$2:$F$10000='LE3a PY'!$A16)*('LE - PY data'!$G$2:$G$10000))</f>
        <v>0</v>
      </c>
      <c r="D16" cm="1">
        <f t="array" ref="D16">SUMPRODUCT(('LE - PY data'!$A$2:$A$10000='LE3a PY'!$C$4)*('LE - PY data'!$B$2:$B$10000='LE3a PY'!$D$4)*('LE - PY data'!$C$2:$C$10000='LE3a PY'!$E$4)*('LE - PY data'!$E$2:$E$10000='LE3a PY'!D$7)*('LE - PY data'!$F$2:$F$10000='LE3a PY'!$A16)*('LE - PY data'!$G$2:$G$10000))</f>
        <v>0</v>
      </c>
      <c r="E16" cm="1">
        <f t="array" ref="E16">SUMPRODUCT(('LE - PY data'!$A$2:$A$10000='LE3a PY'!$C$4)*('LE - PY data'!$B$2:$B$10000='LE3a PY'!$D$4)*('LE - PY data'!$C$2:$C$10000='LE3a PY'!$E$4)*('LE - PY data'!$E$2:$E$10000='LE3a PY'!E$7)*('LE - PY data'!$F$2:$F$10000='LE3a PY'!$A16)*('LE - PY data'!$G$2:$G$10000))</f>
        <v>0</v>
      </c>
      <c r="F16" cm="1">
        <f t="array" ref="F16">SUMPRODUCT(('LE - PY data'!$A$2:$A$10000='LE3a PY'!$C$4)*('LE - PY data'!$B$2:$B$10000='LE3a PY'!$D$4)*('LE - PY data'!$C$2:$C$10000='LE3a PY'!$E$4)*('LE - PY data'!$E$2:$E$10000='LE3a PY'!F$7)*('LE - PY data'!$F$2:$F$10000='LE3a PY'!$A16)*('LE - PY data'!$G$2:$G$10000))</f>
        <v>0</v>
      </c>
      <c r="G16" cm="1">
        <f t="array" ref="G16">SUMPRODUCT(('LE - PY data'!$A$2:$A$10000='LE3a PY'!$C$4)*('LE - PY data'!$B$2:$B$10000='LE3a PY'!$D$4)*('LE - PY data'!$C$2:$C$10000='LE3a PY'!$E$4)*('LE - PY data'!$F$2:$F$10000='LE3a PY'!$A16)*('LE - PY data'!$G$2:$G$10000))</f>
        <v>0</v>
      </c>
    </row>
    <row r="17" spans="1:7">
      <c r="A17" t="s">
        <v>264</v>
      </c>
      <c r="B17" cm="1">
        <f t="array" ref="B17">SUMPRODUCT(('LE - PY data'!$A$2:$A$10000='LE3a PY'!$C$4)*('LE - PY data'!$B$2:$B$10000='LE3a PY'!$D$4)*('LE - PY data'!$C$2:$C$10000='LE3a PY'!$E$4)*('LE - PY data'!$E$2:$E$10000='LE3a PY'!B$7)*('LE - PY data'!$F$2:$F$10000='LE3a PY'!$A17)*('LE - PY data'!$G$2:$G$10000))</f>
        <v>0</v>
      </c>
      <c r="C17" cm="1">
        <f t="array" ref="C17">SUMPRODUCT(('LE - PY data'!$A$2:$A$10000='LE3a PY'!$C$4)*('LE - PY data'!$B$2:$B$10000='LE3a PY'!$D$4)*('LE - PY data'!$C$2:$C$10000='LE3a PY'!$E$4)*('LE - PY data'!$E$2:$E$10000='LE3a PY'!C$7)*('LE - PY data'!$F$2:$F$10000='LE3a PY'!$A17)*('LE - PY data'!$G$2:$G$10000))</f>
        <v>0</v>
      </c>
      <c r="D17" cm="1">
        <f t="array" ref="D17">SUMPRODUCT(('LE - PY data'!$A$2:$A$10000='LE3a PY'!$C$4)*('LE - PY data'!$B$2:$B$10000='LE3a PY'!$D$4)*('LE - PY data'!$C$2:$C$10000='LE3a PY'!$E$4)*('LE - PY data'!$E$2:$E$10000='LE3a PY'!D$7)*('LE - PY data'!$F$2:$F$10000='LE3a PY'!$A17)*('LE - PY data'!$G$2:$G$10000))</f>
        <v>0</v>
      </c>
      <c r="E17" cm="1">
        <f t="array" ref="E17">SUMPRODUCT(('LE - PY data'!$A$2:$A$10000='LE3a PY'!$C$4)*('LE - PY data'!$B$2:$B$10000='LE3a PY'!$D$4)*('LE - PY data'!$C$2:$C$10000='LE3a PY'!$E$4)*('LE - PY data'!$E$2:$E$10000='LE3a PY'!E$7)*('LE - PY data'!$F$2:$F$10000='LE3a PY'!$A17)*('LE - PY data'!$G$2:$G$10000))</f>
        <v>0</v>
      </c>
      <c r="F17" cm="1">
        <f t="array" ref="F17">SUMPRODUCT(('LE - PY data'!$A$2:$A$10000='LE3a PY'!$C$4)*('LE - PY data'!$B$2:$B$10000='LE3a PY'!$D$4)*('LE - PY data'!$C$2:$C$10000='LE3a PY'!$E$4)*('LE - PY data'!$E$2:$E$10000='LE3a PY'!F$7)*('LE - PY data'!$F$2:$F$10000='LE3a PY'!$A17)*('LE - PY data'!$G$2:$G$10000))</f>
        <v>0</v>
      </c>
      <c r="G17" cm="1">
        <f t="array" ref="G17">SUMPRODUCT(('LE - PY data'!$A$2:$A$10000='LE3a PY'!$C$4)*('LE - PY data'!$B$2:$B$10000='LE3a PY'!$D$4)*('LE - PY data'!$C$2:$C$10000='LE3a PY'!$E$4)*('LE - PY data'!$F$2:$F$10000='LE3a PY'!$A17)*('LE - PY data'!$G$2:$G$10000))</f>
        <v>0</v>
      </c>
    </row>
    <row r="18" spans="1:7">
      <c r="A18" t="s">
        <v>147</v>
      </c>
      <c r="B18" cm="1">
        <f t="array" ref="B18">SUMPRODUCT(('LE - PY data'!$A$2:$A$10000='LE3a PY'!$C$4)*('LE - PY data'!$B$2:$B$10000='LE3a PY'!$D$4)*('LE - PY data'!$C$2:$C$10000='LE3a PY'!$E$4)*('LE - PY data'!$E$2:$E$10000='LE3a PY'!B$7)*('LE - PY data'!$F$2:$F$10000='LE3a PY'!$A18)*('LE - PY data'!$G$2:$G$10000))</f>
        <v>0</v>
      </c>
      <c r="C18" cm="1">
        <f t="array" ref="C18">SUMPRODUCT(('LE - PY data'!$A$2:$A$10000='LE3a PY'!$C$4)*('LE - PY data'!$B$2:$B$10000='LE3a PY'!$D$4)*('LE - PY data'!$C$2:$C$10000='LE3a PY'!$E$4)*('LE - PY data'!$E$2:$E$10000='LE3a PY'!C$7)*('LE - PY data'!$F$2:$F$10000='LE3a PY'!$A18)*('LE - PY data'!$G$2:$G$10000))</f>
        <v>0</v>
      </c>
      <c r="D18" cm="1">
        <f t="array" ref="D18">SUMPRODUCT(('LE - PY data'!$A$2:$A$10000='LE3a PY'!$C$4)*('LE - PY data'!$B$2:$B$10000='LE3a PY'!$D$4)*('LE - PY data'!$C$2:$C$10000='LE3a PY'!$E$4)*('LE - PY data'!$E$2:$E$10000='LE3a PY'!D$7)*('LE - PY data'!$F$2:$F$10000='LE3a PY'!$A18)*('LE - PY data'!$G$2:$G$10000))</f>
        <v>0</v>
      </c>
      <c r="E18" cm="1">
        <f t="array" ref="E18">SUMPRODUCT(('LE - PY data'!$A$2:$A$10000='LE3a PY'!$C$4)*('LE - PY data'!$B$2:$B$10000='LE3a PY'!$D$4)*('LE - PY data'!$C$2:$C$10000='LE3a PY'!$E$4)*('LE - PY data'!$E$2:$E$10000='LE3a PY'!E$7)*('LE - PY data'!$F$2:$F$10000='LE3a PY'!$A18)*('LE - PY data'!$G$2:$G$10000))</f>
        <v>0</v>
      </c>
      <c r="F18" cm="1">
        <f t="array" ref="F18">SUMPRODUCT(('LE - PY data'!$A$2:$A$10000='LE3a PY'!$C$4)*('LE - PY data'!$B$2:$B$10000='LE3a PY'!$D$4)*('LE - PY data'!$C$2:$C$10000='LE3a PY'!$E$4)*('LE - PY data'!$E$2:$E$10000='LE3a PY'!F$7)*('LE - PY data'!$F$2:$F$10000='LE3a PY'!$A18)*('LE - PY data'!$G$2:$G$10000))</f>
        <v>0</v>
      </c>
      <c r="G18" cm="1">
        <f t="array" ref="G18">SUMPRODUCT(('LE - PY data'!$A$2:$A$10000='LE3a PY'!$C$4)*('LE - PY data'!$B$2:$B$10000='LE3a PY'!$D$4)*('LE - PY data'!$C$2:$C$10000='LE3a PY'!$E$4)*('LE - PY data'!$F$2:$F$10000='LE3a PY'!$A18)*('LE - PY data'!$G$2:$G$10000))</f>
        <v>0</v>
      </c>
    </row>
    <row r="19" spans="1:7">
      <c r="A19" t="s">
        <v>148</v>
      </c>
      <c r="B19" cm="1">
        <f t="array" ref="B19">SUMPRODUCT(('LE - PY data'!$A$2:$A$10000='LE3a PY'!$C$4)*('LE - PY data'!$B$2:$B$10000='LE3a PY'!$D$4)*('LE - PY data'!$C$2:$C$10000='LE3a PY'!$E$4)*('LE - PY data'!$E$2:$E$10000='LE3a PY'!B$7)*('LE - PY data'!$F$2:$F$10000='LE3a PY'!$A19)*('LE - PY data'!$G$2:$G$10000))</f>
        <v>0</v>
      </c>
      <c r="C19" cm="1">
        <f t="array" ref="C19">SUMPRODUCT(('LE - PY data'!$A$2:$A$10000='LE3a PY'!$C$4)*('LE - PY data'!$B$2:$B$10000='LE3a PY'!$D$4)*('LE - PY data'!$C$2:$C$10000='LE3a PY'!$E$4)*('LE - PY data'!$E$2:$E$10000='LE3a PY'!C$7)*('LE - PY data'!$F$2:$F$10000='LE3a PY'!$A19)*('LE - PY data'!$G$2:$G$10000))</f>
        <v>0</v>
      </c>
      <c r="D19" cm="1">
        <f t="array" ref="D19">SUMPRODUCT(('LE - PY data'!$A$2:$A$10000='LE3a PY'!$C$4)*('LE - PY data'!$B$2:$B$10000='LE3a PY'!$D$4)*('LE - PY data'!$C$2:$C$10000='LE3a PY'!$E$4)*('LE - PY data'!$E$2:$E$10000='LE3a PY'!D$7)*('LE - PY data'!$F$2:$F$10000='LE3a PY'!$A19)*('LE - PY data'!$G$2:$G$10000))</f>
        <v>0</v>
      </c>
      <c r="E19" cm="1">
        <f t="array" ref="E19">SUMPRODUCT(('LE - PY data'!$A$2:$A$10000='LE3a PY'!$C$4)*('LE - PY data'!$B$2:$B$10000='LE3a PY'!$D$4)*('LE - PY data'!$C$2:$C$10000='LE3a PY'!$E$4)*('LE - PY data'!$E$2:$E$10000='LE3a PY'!E$7)*('LE - PY data'!$F$2:$F$10000='LE3a PY'!$A19)*('LE - PY data'!$G$2:$G$10000))</f>
        <v>0</v>
      </c>
      <c r="F19" cm="1">
        <f t="array" ref="F19">SUMPRODUCT(('LE - PY data'!$A$2:$A$10000='LE3a PY'!$C$4)*('LE - PY data'!$B$2:$B$10000='LE3a PY'!$D$4)*('LE - PY data'!$C$2:$C$10000='LE3a PY'!$E$4)*('LE - PY data'!$E$2:$E$10000='LE3a PY'!F$7)*('LE - PY data'!$F$2:$F$10000='LE3a PY'!$A19)*('LE - PY data'!$G$2:$G$10000))</f>
        <v>0</v>
      </c>
      <c r="G19" cm="1">
        <f t="array" ref="G19">SUMPRODUCT(('LE - PY data'!$A$2:$A$10000='LE3a PY'!$C$4)*('LE - PY data'!$B$2:$B$10000='LE3a PY'!$D$4)*('LE - PY data'!$C$2:$C$10000='LE3a PY'!$E$4)*('LE - PY data'!$F$2:$F$10000='LE3a PY'!$A19)*('LE - PY data'!$G$2:$G$10000))</f>
        <v>0</v>
      </c>
    </row>
    <row r="20" spans="1:7">
      <c r="A20" t="s">
        <v>265</v>
      </c>
      <c r="B20" cm="1">
        <f t="array" ref="B20">SUMPRODUCT(('LE - PY data'!$A$2:$A$10000='LE3a PY'!$C$4)*('LE - PY data'!$B$2:$B$10000='LE3a PY'!$D$4)*('LE - PY data'!$C$2:$C$10000='LE3a PY'!$E$4)*('LE - PY data'!$E$2:$E$10000='LE3a PY'!B$7)*('LE - PY data'!$F$2:$F$10000='LE3a PY'!$A20)*('LE - PY data'!$G$2:$G$10000))</f>
        <v>0</v>
      </c>
      <c r="C20" cm="1">
        <f t="array" ref="C20">SUMPRODUCT(('LE - PY data'!$A$2:$A$10000='LE3a PY'!$C$4)*('LE - PY data'!$B$2:$B$10000='LE3a PY'!$D$4)*('LE - PY data'!$C$2:$C$10000='LE3a PY'!$E$4)*('LE - PY data'!$E$2:$E$10000='LE3a PY'!C$7)*('LE - PY data'!$F$2:$F$10000='LE3a PY'!$A20)*('LE - PY data'!$G$2:$G$10000))</f>
        <v>0</v>
      </c>
      <c r="D20" cm="1">
        <f t="array" ref="D20">SUMPRODUCT(('LE - PY data'!$A$2:$A$10000='LE3a PY'!$C$4)*('LE - PY data'!$B$2:$B$10000='LE3a PY'!$D$4)*('LE - PY data'!$C$2:$C$10000='LE3a PY'!$E$4)*('LE - PY data'!$E$2:$E$10000='LE3a PY'!D$7)*('LE - PY data'!$F$2:$F$10000='LE3a PY'!$A20)*('LE - PY data'!$G$2:$G$10000))</f>
        <v>0</v>
      </c>
      <c r="E20" cm="1">
        <f t="array" ref="E20">SUMPRODUCT(('LE - PY data'!$A$2:$A$10000='LE3a PY'!$C$4)*('LE - PY data'!$B$2:$B$10000='LE3a PY'!$D$4)*('LE - PY data'!$C$2:$C$10000='LE3a PY'!$E$4)*('LE - PY data'!$E$2:$E$10000='LE3a PY'!E$7)*('LE - PY data'!$F$2:$F$10000='LE3a PY'!$A20)*('LE - PY data'!$G$2:$G$10000))</f>
        <v>0</v>
      </c>
      <c r="F20" cm="1">
        <f t="array" ref="F20">SUMPRODUCT(('LE - PY data'!$A$2:$A$10000='LE3a PY'!$C$4)*('LE - PY data'!$B$2:$B$10000='LE3a PY'!$D$4)*('LE - PY data'!$C$2:$C$10000='LE3a PY'!$E$4)*('LE - PY data'!$E$2:$E$10000='LE3a PY'!F$7)*('LE - PY data'!$F$2:$F$10000='LE3a PY'!$A20)*('LE - PY data'!$G$2:$G$10000))</f>
        <v>0</v>
      </c>
      <c r="G20" cm="1">
        <f t="array" ref="G20">SUMPRODUCT(('LE - PY data'!$A$2:$A$10000='LE3a PY'!$C$4)*('LE - PY data'!$B$2:$B$10000='LE3a PY'!$D$4)*('LE - PY data'!$C$2:$C$10000='LE3a PY'!$E$4)*('LE - PY data'!$F$2:$F$10000='LE3a PY'!$A20)*('LE - PY data'!$G$2:$G$10000))</f>
        <v>0</v>
      </c>
    </row>
    <row r="21" spans="1:7">
      <c r="A21" t="s">
        <v>149</v>
      </c>
      <c r="B21" cm="1">
        <f t="array" ref="B21">SUMPRODUCT(('LE - PY data'!$A$2:$A$10000='LE3a PY'!$C$4)*('LE - PY data'!$B$2:$B$10000='LE3a PY'!$D$4)*('LE - PY data'!$C$2:$C$10000='LE3a PY'!$E$4)*('LE - PY data'!$E$2:$E$10000='LE3a PY'!B$7)*('LE - PY data'!$F$2:$F$10000='LE3a PY'!$A21)*('LE - PY data'!$G$2:$G$10000))</f>
        <v>0</v>
      </c>
      <c r="C21" cm="1">
        <f t="array" ref="C21">SUMPRODUCT(('LE - PY data'!$A$2:$A$10000='LE3a PY'!$C$4)*('LE - PY data'!$B$2:$B$10000='LE3a PY'!$D$4)*('LE - PY data'!$C$2:$C$10000='LE3a PY'!$E$4)*('LE - PY data'!$E$2:$E$10000='LE3a PY'!C$7)*('LE - PY data'!$F$2:$F$10000='LE3a PY'!$A21)*('LE - PY data'!$G$2:$G$10000))</f>
        <v>0</v>
      </c>
      <c r="D21" cm="1">
        <f t="array" ref="D21">SUMPRODUCT(('LE - PY data'!$A$2:$A$10000='LE3a PY'!$C$4)*('LE - PY data'!$B$2:$B$10000='LE3a PY'!$D$4)*('LE - PY data'!$C$2:$C$10000='LE3a PY'!$E$4)*('LE - PY data'!$E$2:$E$10000='LE3a PY'!D$7)*('LE - PY data'!$F$2:$F$10000='LE3a PY'!$A21)*('LE - PY data'!$G$2:$G$10000))</f>
        <v>0</v>
      </c>
      <c r="E21" cm="1">
        <f t="array" ref="E21">SUMPRODUCT(('LE - PY data'!$A$2:$A$10000='LE3a PY'!$C$4)*('LE - PY data'!$B$2:$B$10000='LE3a PY'!$D$4)*('LE - PY data'!$C$2:$C$10000='LE3a PY'!$E$4)*('LE - PY data'!$E$2:$E$10000='LE3a PY'!E$7)*('LE - PY data'!$F$2:$F$10000='LE3a PY'!$A21)*('LE - PY data'!$G$2:$G$10000))</f>
        <v>0</v>
      </c>
      <c r="F21" cm="1">
        <f t="array" ref="F21">SUMPRODUCT(('LE - PY data'!$A$2:$A$10000='LE3a PY'!$C$4)*('LE - PY data'!$B$2:$B$10000='LE3a PY'!$D$4)*('LE - PY data'!$C$2:$C$10000='LE3a PY'!$E$4)*('LE - PY data'!$E$2:$E$10000='LE3a PY'!F$7)*('LE - PY data'!$F$2:$F$10000='LE3a PY'!$A21)*('LE - PY data'!$G$2:$G$10000))</f>
        <v>0</v>
      </c>
      <c r="G21" cm="1">
        <f t="array" ref="G21">SUMPRODUCT(('LE - PY data'!$A$2:$A$10000='LE3a PY'!$C$4)*('LE - PY data'!$B$2:$B$10000='LE3a PY'!$D$4)*('LE - PY data'!$C$2:$C$10000='LE3a PY'!$E$4)*('LE - PY data'!$F$2:$F$10000='LE3a PY'!$A21)*('LE - PY data'!$G$2:$G$10000))</f>
        <v>0</v>
      </c>
    </row>
    <row r="22" spans="1:7">
      <c r="A22" t="s">
        <v>150</v>
      </c>
      <c r="B22" cm="1">
        <f t="array" ref="B22">SUMPRODUCT(('LE - PY data'!$A$2:$A$10000='LE3a PY'!$C$4)*('LE - PY data'!$B$2:$B$10000='LE3a PY'!$D$4)*('LE - PY data'!$C$2:$C$10000='LE3a PY'!$E$4)*('LE - PY data'!$E$2:$E$10000='LE3a PY'!B$7)*('LE - PY data'!$F$2:$F$10000='LE3a PY'!$A22)*('LE - PY data'!$G$2:$G$10000))</f>
        <v>0</v>
      </c>
      <c r="C22" cm="1">
        <f t="array" ref="C22">SUMPRODUCT(('LE - PY data'!$A$2:$A$10000='LE3a PY'!$C$4)*('LE - PY data'!$B$2:$B$10000='LE3a PY'!$D$4)*('LE - PY data'!$C$2:$C$10000='LE3a PY'!$E$4)*('LE - PY data'!$E$2:$E$10000='LE3a PY'!C$7)*('LE - PY data'!$F$2:$F$10000='LE3a PY'!$A22)*('LE - PY data'!$G$2:$G$10000))</f>
        <v>0</v>
      </c>
      <c r="D22" cm="1">
        <f t="array" ref="D22">SUMPRODUCT(('LE - PY data'!$A$2:$A$10000='LE3a PY'!$C$4)*('LE - PY data'!$B$2:$B$10000='LE3a PY'!$D$4)*('LE - PY data'!$C$2:$C$10000='LE3a PY'!$E$4)*('LE - PY data'!$E$2:$E$10000='LE3a PY'!D$7)*('LE - PY data'!$F$2:$F$10000='LE3a PY'!$A22)*('LE - PY data'!$G$2:$G$10000))</f>
        <v>0</v>
      </c>
      <c r="E22" cm="1">
        <f t="array" ref="E22">SUMPRODUCT(('LE - PY data'!$A$2:$A$10000='LE3a PY'!$C$4)*('LE - PY data'!$B$2:$B$10000='LE3a PY'!$D$4)*('LE - PY data'!$C$2:$C$10000='LE3a PY'!$E$4)*('LE - PY data'!$E$2:$E$10000='LE3a PY'!E$7)*('LE - PY data'!$F$2:$F$10000='LE3a PY'!$A22)*('LE - PY data'!$G$2:$G$10000))</f>
        <v>0</v>
      </c>
      <c r="F22" cm="1">
        <f t="array" ref="F22">SUMPRODUCT(('LE - PY data'!$A$2:$A$10000='LE3a PY'!$C$4)*('LE - PY data'!$B$2:$B$10000='LE3a PY'!$D$4)*('LE - PY data'!$C$2:$C$10000='LE3a PY'!$E$4)*('LE - PY data'!$E$2:$E$10000='LE3a PY'!F$7)*('LE - PY data'!$F$2:$F$10000='LE3a PY'!$A22)*('LE - PY data'!$G$2:$G$10000))</f>
        <v>0</v>
      </c>
      <c r="G22" cm="1">
        <f t="array" ref="G22">SUMPRODUCT(('LE - PY data'!$A$2:$A$10000='LE3a PY'!$C$4)*('LE - PY data'!$B$2:$B$10000='LE3a PY'!$D$4)*('LE - PY data'!$C$2:$C$10000='LE3a PY'!$E$4)*('LE - PY data'!$F$2:$F$10000='LE3a PY'!$A22)*('LE - PY data'!$G$2:$G$10000))</f>
        <v>0</v>
      </c>
    </row>
    <row r="23" spans="1:7">
      <c r="A23" t="s">
        <v>266</v>
      </c>
      <c r="B23" cm="1">
        <f t="array" ref="B23">SUMPRODUCT(('LE - PY data'!$A$2:$A$10000='LE3a PY'!$C$4)*('LE - PY data'!$B$2:$B$10000='LE3a PY'!$D$4)*('LE - PY data'!$C$2:$C$10000='LE3a PY'!$E$4)*('LE - PY data'!$E$2:$E$10000='LE3a PY'!B$7)*('LE - PY data'!$F$2:$F$10000='LE3a PY'!$A23)*('LE - PY data'!$G$2:$G$10000))</f>
        <v>0</v>
      </c>
      <c r="C23" cm="1">
        <f t="array" ref="C23">SUMPRODUCT(('LE - PY data'!$A$2:$A$10000='LE3a PY'!$C$4)*('LE - PY data'!$B$2:$B$10000='LE3a PY'!$D$4)*('LE - PY data'!$C$2:$C$10000='LE3a PY'!$E$4)*('LE - PY data'!$E$2:$E$10000='LE3a PY'!C$7)*('LE - PY data'!$F$2:$F$10000='LE3a PY'!$A23)*('LE - PY data'!$G$2:$G$10000))</f>
        <v>0</v>
      </c>
      <c r="D23" cm="1">
        <f t="array" ref="D23">SUMPRODUCT(('LE - PY data'!$A$2:$A$10000='LE3a PY'!$C$4)*('LE - PY data'!$B$2:$B$10000='LE3a PY'!$D$4)*('LE - PY data'!$C$2:$C$10000='LE3a PY'!$E$4)*('LE - PY data'!$E$2:$E$10000='LE3a PY'!D$7)*('LE - PY data'!$F$2:$F$10000='LE3a PY'!$A23)*('LE - PY data'!$G$2:$G$10000))</f>
        <v>0</v>
      </c>
      <c r="E23" cm="1">
        <f t="array" ref="E23">SUMPRODUCT(('LE - PY data'!$A$2:$A$10000='LE3a PY'!$C$4)*('LE - PY data'!$B$2:$B$10000='LE3a PY'!$D$4)*('LE - PY data'!$C$2:$C$10000='LE3a PY'!$E$4)*('LE - PY data'!$E$2:$E$10000='LE3a PY'!E$7)*('LE - PY data'!$F$2:$F$10000='LE3a PY'!$A23)*('LE - PY data'!$G$2:$G$10000))</f>
        <v>0</v>
      </c>
      <c r="F23" cm="1">
        <f t="array" ref="F23">SUMPRODUCT(('LE - PY data'!$A$2:$A$10000='LE3a PY'!$C$4)*('LE - PY data'!$B$2:$B$10000='LE3a PY'!$D$4)*('LE - PY data'!$C$2:$C$10000='LE3a PY'!$E$4)*('LE - PY data'!$E$2:$E$10000='LE3a PY'!F$7)*('LE - PY data'!$F$2:$F$10000='LE3a PY'!$A23)*('LE - PY data'!$G$2:$G$10000))</f>
        <v>0</v>
      </c>
      <c r="G23" cm="1">
        <f t="array" ref="G23">SUMPRODUCT(('LE - PY data'!$A$2:$A$10000='LE3a PY'!$C$4)*('LE - PY data'!$B$2:$B$10000='LE3a PY'!$D$4)*('LE - PY data'!$C$2:$C$10000='LE3a PY'!$E$4)*('LE - PY data'!$F$2:$F$10000='LE3a PY'!$A23)*('LE - PY data'!$G$2:$G$10000))</f>
        <v>0</v>
      </c>
    </row>
    <row r="24" spans="1:7">
      <c r="A24" t="s">
        <v>151</v>
      </c>
      <c r="B24" cm="1">
        <f t="array" ref="B24">SUMPRODUCT(('LE - PY data'!$A$2:$A$10000='LE3a PY'!$C$4)*('LE - PY data'!$B$2:$B$10000='LE3a PY'!$D$4)*('LE - PY data'!$C$2:$C$10000='LE3a PY'!$E$4)*('LE - PY data'!$E$2:$E$10000='LE3a PY'!B$7)*('LE - PY data'!$F$2:$F$10000='LE3a PY'!$A24)*('LE - PY data'!$G$2:$G$10000))</f>
        <v>0</v>
      </c>
      <c r="C24" cm="1">
        <f t="array" ref="C24">SUMPRODUCT(('LE - PY data'!$A$2:$A$10000='LE3a PY'!$C$4)*('LE - PY data'!$B$2:$B$10000='LE3a PY'!$D$4)*('LE - PY data'!$C$2:$C$10000='LE3a PY'!$E$4)*('LE - PY data'!$E$2:$E$10000='LE3a PY'!C$7)*('LE - PY data'!$F$2:$F$10000='LE3a PY'!$A24)*('LE - PY data'!$G$2:$G$10000))</f>
        <v>0</v>
      </c>
      <c r="D24" cm="1">
        <f t="array" ref="D24">SUMPRODUCT(('LE - PY data'!$A$2:$A$10000='LE3a PY'!$C$4)*('LE - PY data'!$B$2:$B$10000='LE3a PY'!$D$4)*('LE - PY data'!$C$2:$C$10000='LE3a PY'!$E$4)*('LE - PY data'!$E$2:$E$10000='LE3a PY'!D$7)*('LE - PY data'!$F$2:$F$10000='LE3a PY'!$A24)*('LE - PY data'!$G$2:$G$10000))</f>
        <v>0</v>
      </c>
      <c r="E24" cm="1">
        <f t="array" ref="E24">SUMPRODUCT(('LE - PY data'!$A$2:$A$10000='LE3a PY'!$C$4)*('LE - PY data'!$B$2:$B$10000='LE3a PY'!$D$4)*('LE - PY data'!$C$2:$C$10000='LE3a PY'!$E$4)*('LE - PY data'!$E$2:$E$10000='LE3a PY'!E$7)*('LE - PY data'!$F$2:$F$10000='LE3a PY'!$A24)*('LE - PY data'!$G$2:$G$10000))</f>
        <v>0</v>
      </c>
      <c r="F24" cm="1">
        <f t="array" ref="F24">SUMPRODUCT(('LE - PY data'!$A$2:$A$10000='LE3a PY'!$C$4)*('LE - PY data'!$B$2:$B$10000='LE3a PY'!$D$4)*('LE - PY data'!$C$2:$C$10000='LE3a PY'!$E$4)*('LE - PY data'!$E$2:$E$10000='LE3a PY'!F$7)*('LE - PY data'!$F$2:$F$10000='LE3a PY'!$A24)*('LE - PY data'!$G$2:$G$10000))</f>
        <v>0</v>
      </c>
      <c r="G24" cm="1">
        <f t="array" ref="G24">SUMPRODUCT(('LE - PY data'!$A$2:$A$10000='LE3a PY'!$C$4)*('LE - PY data'!$B$2:$B$10000='LE3a PY'!$D$4)*('LE - PY data'!$C$2:$C$10000='LE3a PY'!$E$4)*('LE - PY data'!$F$2:$F$10000='LE3a PY'!$A24)*('LE - PY data'!$G$2:$G$10000))</f>
        <v>0</v>
      </c>
    </row>
    <row r="25" spans="1:7">
      <c r="A25" t="s">
        <v>152</v>
      </c>
      <c r="B25" cm="1">
        <f t="array" ref="B25">SUMPRODUCT(('LE - PY data'!$A$2:$A$10000='LE3a PY'!$C$4)*('LE - PY data'!$B$2:$B$10000='LE3a PY'!$D$4)*('LE - PY data'!$C$2:$C$10000='LE3a PY'!$E$4)*('LE - PY data'!$E$2:$E$10000='LE3a PY'!B$7)*('LE - PY data'!$F$2:$F$10000='LE3a PY'!$A25)*('LE - PY data'!$G$2:$G$10000))</f>
        <v>0</v>
      </c>
      <c r="C25" cm="1">
        <f t="array" ref="C25">SUMPRODUCT(('LE - PY data'!$A$2:$A$10000='LE3a PY'!$C$4)*('LE - PY data'!$B$2:$B$10000='LE3a PY'!$D$4)*('LE - PY data'!$C$2:$C$10000='LE3a PY'!$E$4)*('LE - PY data'!$E$2:$E$10000='LE3a PY'!C$7)*('LE - PY data'!$F$2:$F$10000='LE3a PY'!$A25)*('LE - PY data'!$G$2:$G$10000))</f>
        <v>0</v>
      </c>
      <c r="D25" cm="1">
        <f t="array" ref="D25">SUMPRODUCT(('LE - PY data'!$A$2:$A$10000='LE3a PY'!$C$4)*('LE - PY data'!$B$2:$B$10000='LE3a PY'!$D$4)*('LE - PY data'!$C$2:$C$10000='LE3a PY'!$E$4)*('LE - PY data'!$E$2:$E$10000='LE3a PY'!D$7)*('LE - PY data'!$F$2:$F$10000='LE3a PY'!$A25)*('LE - PY data'!$G$2:$G$10000))</f>
        <v>0</v>
      </c>
      <c r="E25" cm="1">
        <f t="array" ref="E25">SUMPRODUCT(('LE - PY data'!$A$2:$A$10000='LE3a PY'!$C$4)*('LE - PY data'!$B$2:$B$10000='LE3a PY'!$D$4)*('LE - PY data'!$C$2:$C$10000='LE3a PY'!$E$4)*('LE - PY data'!$E$2:$E$10000='LE3a PY'!E$7)*('LE - PY data'!$F$2:$F$10000='LE3a PY'!$A25)*('LE - PY data'!$G$2:$G$10000))</f>
        <v>0</v>
      </c>
      <c r="F25" cm="1">
        <f t="array" ref="F25">SUMPRODUCT(('LE - PY data'!$A$2:$A$10000='LE3a PY'!$C$4)*('LE - PY data'!$B$2:$B$10000='LE3a PY'!$D$4)*('LE - PY data'!$C$2:$C$10000='LE3a PY'!$E$4)*('LE - PY data'!$E$2:$E$10000='LE3a PY'!F$7)*('LE - PY data'!$F$2:$F$10000='LE3a PY'!$A25)*('LE - PY data'!$G$2:$G$10000))</f>
        <v>0</v>
      </c>
      <c r="G25" cm="1">
        <f t="array" ref="G25">SUMPRODUCT(('LE - PY data'!$A$2:$A$10000='LE3a PY'!$C$4)*('LE - PY data'!$B$2:$B$10000='LE3a PY'!$D$4)*('LE - PY data'!$C$2:$C$10000='LE3a PY'!$E$4)*('LE - PY data'!$F$2:$F$10000='LE3a PY'!$A25)*('LE - PY data'!$G$2:$G$10000))</f>
        <v>0</v>
      </c>
    </row>
    <row r="26" spans="1:7">
      <c r="A26" t="s">
        <v>153</v>
      </c>
      <c r="B26" cm="1">
        <f t="array" ref="B26">SUMPRODUCT(('LE - PY data'!$A$2:$A$10000='LE3a PY'!$C$4)*('LE - PY data'!$B$2:$B$10000='LE3a PY'!$D$4)*('LE - PY data'!$C$2:$C$10000='LE3a PY'!$E$4)*('LE - PY data'!$E$2:$E$10000='LE3a PY'!B$7)*('LE - PY data'!$F$2:$F$10000='LE3a PY'!$A26)*('LE - PY data'!$G$2:$G$10000))</f>
        <v>0</v>
      </c>
      <c r="C26" cm="1">
        <f t="array" ref="C26">SUMPRODUCT(('LE - PY data'!$A$2:$A$10000='LE3a PY'!$C$4)*('LE - PY data'!$B$2:$B$10000='LE3a PY'!$D$4)*('LE - PY data'!$C$2:$C$10000='LE3a PY'!$E$4)*('LE - PY data'!$E$2:$E$10000='LE3a PY'!C$7)*('LE - PY data'!$F$2:$F$10000='LE3a PY'!$A26)*('LE - PY data'!$G$2:$G$10000))</f>
        <v>0</v>
      </c>
      <c r="D26" cm="1">
        <f t="array" ref="D26">SUMPRODUCT(('LE - PY data'!$A$2:$A$10000='LE3a PY'!$C$4)*('LE - PY data'!$B$2:$B$10000='LE3a PY'!$D$4)*('LE - PY data'!$C$2:$C$10000='LE3a PY'!$E$4)*('LE - PY data'!$E$2:$E$10000='LE3a PY'!D$7)*('LE - PY data'!$F$2:$F$10000='LE3a PY'!$A26)*('LE - PY data'!$G$2:$G$10000))</f>
        <v>0</v>
      </c>
      <c r="E26" cm="1">
        <f t="array" ref="E26">SUMPRODUCT(('LE - PY data'!$A$2:$A$10000='LE3a PY'!$C$4)*('LE - PY data'!$B$2:$B$10000='LE3a PY'!$D$4)*('LE - PY data'!$C$2:$C$10000='LE3a PY'!$E$4)*('LE - PY data'!$E$2:$E$10000='LE3a PY'!E$7)*('LE - PY data'!$F$2:$F$10000='LE3a PY'!$A26)*('LE - PY data'!$G$2:$G$10000))</f>
        <v>0</v>
      </c>
      <c r="F26" cm="1">
        <f t="array" ref="F26">SUMPRODUCT(('LE - PY data'!$A$2:$A$10000='LE3a PY'!$C$4)*('LE - PY data'!$B$2:$B$10000='LE3a PY'!$D$4)*('LE - PY data'!$C$2:$C$10000='LE3a PY'!$E$4)*('LE - PY data'!$E$2:$E$10000='LE3a PY'!F$7)*('LE - PY data'!$F$2:$F$10000='LE3a PY'!$A26)*('LE - PY data'!$G$2:$G$10000))</f>
        <v>0</v>
      </c>
      <c r="G26" cm="1">
        <f t="array" ref="G26">SUMPRODUCT(('LE - PY data'!$A$2:$A$10000='LE3a PY'!$C$4)*('LE - PY data'!$B$2:$B$10000='LE3a PY'!$D$4)*('LE - PY data'!$C$2:$C$10000='LE3a PY'!$E$4)*('LE - PY data'!$F$2:$F$10000='LE3a PY'!$A26)*('LE - PY data'!$G$2:$G$10000))</f>
        <v>0</v>
      </c>
    </row>
    <row r="27" spans="1:7">
      <c r="A27" t="s">
        <v>261</v>
      </c>
      <c r="B27" cm="1">
        <f t="array" ref="B27">SUMPRODUCT(('LE - PY data'!$A$2:$A$10000='LE3a PY'!$C$4)*('LE - PY data'!$B$2:$B$10000='LE3a PY'!$D$4)*('LE - PY data'!$C$2:$C$10000='LE3a PY'!$E$4)*('LE - PY data'!$E$2:$E$10000='LE3a PY'!B$7)*('LE - PY data'!$G$2:$G$10000))</f>
        <v>0</v>
      </c>
      <c r="C27" cm="1">
        <f t="array" ref="C27">SUMPRODUCT(('LE - PY data'!$A$2:$A$10000='LE3a PY'!$C$4)*('LE - PY data'!$B$2:$B$10000='LE3a PY'!$D$4)*('LE - PY data'!$C$2:$C$10000='LE3a PY'!$E$4)*('LE - PY data'!$E$2:$E$10000='LE3a PY'!C$7)*('LE - PY data'!$G$2:$G$10000))</f>
        <v>0</v>
      </c>
      <c r="D27" cm="1">
        <f t="array" ref="D27">SUMPRODUCT(('LE - PY data'!$A$2:$A$10000='LE3a PY'!$C$4)*('LE - PY data'!$B$2:$B$10000='LE3a PY'!$D$4)*('LE - PY data'!$C$2:$C$10000='LE3a PY'!$E$4)*('LE - PY data'!$E$2:$E$10000='LE3a PY'!D$7)*('LE - PY data'!$G$2:$G$10000))</f>
        <v>0</v>
      </c>
      <c r="E27" cm="1">
        <f t="array" ref="E27">SUMPRODUCT(('LE - PY data'!$A$2:$A$10000='LE3a PY'!$C$4)*('LE - PY data'!$B$2:$B$10000='LE3a PY'!$D$4)*('LE - PY data'!$C$2:$C$10000='LE3a PY'!$E$4)*('LE - PY data'!$E$2:$E$10000='LE3a PY'!E$7)*('LE - PY data'!$G$2:$G$10000))</f>
        <v>0</v>
      </c>
      <c r="F27" cm="1">
        <f t="array" ref="F27">SUMPRODUCT(('LE - PY data'!$A$2:$A$10000='LE3a PY'!$C$4)*('LE - PY data'!$B$2:$B$10000='LE3a PY'!$D$4)*('LE - PY data'!$C$2:$C$10000='LE3a PY'!$E$4)*('LE - PY data'!$E$2:$E$10000='LE3a PY'!F$7)*('LE - PY data'!$G$2:$G$10000))</f>
        <v>0</v>
      </c>
      <c r="G27" cm="1">
        <f t="array" ref="G27">SUMPRODUCT(('LE - PY data'!$A$2:$A$10000='LE3a PY'!$C$4)*('LE - PY data'!$B$2:$B$10000='LE3a PY'!$D$4)*('LE - PY data'!$C$2:$C$10000='LE3a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2:I30"/>
  <sheetViews>
    <sheetView showGridLines="0" zoomScale="60" zoomScaleNormal="60" workbookViewId="0"/>
  </sheetViews>
  <sheetFormatPr defaultColWidth="24.28515625" defaultRowHeight="27" customHeight="1"/>
  <cols>
    <col min="1" max="1" width="73.5703125" style="1" bestFit="1" customWidth="1"/>
    <col min="2" max="7" width="17.5703125" style="2" customWidth="1"/>
    <col min="8" max="16384" width="24.28515625" style="2"/>
  </cols>
  <sheetData>
    <row r="2" spans="1:9" ht="36" customHeight="1">
      <c r="B2" s="315"/>
      <c r="C2" s="315"/>
      <c r="D2" s="315"/>
      <c r="E2" s="315"/>
      <c r="F2" s="315"/>
      <c r="G2" s="315"/>
    </row>
    <row r="3" spans="1:9" ht="33.75" customHeight="1"/>
    <row r="4" spans="1:9" ht="13.5" customHeight="1" thickBot="1">
      <c r="A4" s="3"/>
      <c r="B4" s="4"/>
      <c r="C4" s="4"/>
      <c r="D4" s="4"/>
      <c r="E4" s="4"/>
      <c r="F4" s="4"/>
      <c r="G4" s="4"/>
    </row>
    <row r="5" spans="1:9" ht="18.75" customHeight="1" thickBot="1">
      <c r="A5" s="316" t="s">
        <v>390</v>
      </c>
      <c r="B5" s="317"/>
      <c r="C5" s="317"/>
      <c r="D5" s="317"/>
      <c r="E5" s="317"/>
      <c r="F5" s="317"/>
      <c r="G5" s="318"/>
    </row>
    <row r="6" spans="1:9" customFormat="1" ht="13.5" thickBot="1">
      <c r="I6" s="257"/>
    </row>
    <row r="7" spans="1:9" ht="38.25" customHeight="1" thickBot="1">
      <c r="A7" s="60"/>
      <c r="B7" s="7" t="s">
        <v>256</v>
      </c>
      <c r="C7" s="8" t="s">
        <v>257</v>
      </c>
      <c r="D7" s="7" t="s">
        <v>258</v>
      </c>
      <c r="E7" s="9" t="s">
        <v>259</v>
      </c>
      <c r="F7" s="7" t="s">
        <v>260</v>
      </c>
      <c r="G7" s="26" t="s">
        <v>261</v>
      </c>
    </row>
    <row r="8" spans="1:9" ht="23.25" customHeight="1" thickBot="1">
      <c r="A8" s="10" t="s">
        <v>136</v>
      </c>
      <c r="B8" s="16"/>
      <c r="C8" s="16"/>
      <c r="D8" s="16"/>
      <c r="E8" s="16"/>
      <c r="F8" s="15"/>
      <c r="G8" s="13">
        <f t="shared" ref="G8:G27" si="0">SUM(B8:F8)</f>
        <v>0</v>
      </c>
    </row>
    <row r="9" spans="1:9" ht="23.25" customHeight="1" thickBot="1">
      <c r="A9" s="20" t="s">
        <v>137</v>
      </c>
      <c r="B9" s="16"/>
      <c r="C9" s="16"/>
      <c r="D9" s="16"/>
      <c r="E9" s="16"/>
      <c r="F9" s="19"/>
      <c r="G9" s="13">
        <f t="shared" si="0"/>
        <v>0</v>
      </c>
      <c r="H9" s="83"/>
    </row>
    <row r="10" spans="1:9" ht="23.25" customHeight="1" thickBot="1">
      <c r="A10" s="23" t="s">
        <v>262</v>
      </c>
      <c r="B10" s="13">
        <f>SUM(B8:B9)</f>
        <v>0</v>
      </c>
      <c r="C10" s="13">
        <f t="shared" ref="C10:F10" si="1">SUM(C8:C9)</f>
        <v>0</v>
      </c>
      <c r="D10" s="13">
        <f t="shared" si="1"/>
        <v>0</v>
      </c>
      <c r="E10" s="13">
        <f t="shared" si="1"/>
        <v>0</v>
      </c>
      <c r="F10" s="13">
        <f t="shared" si="1"/>
        <v>0</v>
      </c>
      <c r="G10" s="13">
        <f t="shared" si="0"/>
        <v>0</v>
      </c>
      <c r="H10"/>
    </row>
    <row r="11" spans="1:9" ht="23.25" customHeight="1" thickBot="1">
      <c r="A11" s="22" t="s">
        <v>139</v>
      </c>
      <c r="B11" s="16"/>
      <c r="C11" s="16"/>
      <c r="D11" s="16"/>
      <c r="E11" s="16"/>
      <c r="F11" s="15"/>
      <c r="G11" s="13">
        <f t="shared" si="0"/>
        <v>0</v>
      </c>
      <c r="H11"/>
    </row>
    <row r="12" spans="1:9" ht="23.25" customHeight="1" thickBot="1">
      <c r="A12" s="11" t="s">
        <v>140</v>
      </c>
      <c r="B12" s="16"/>
      <c r="C12" s="16"/>
      <c r="D12" s="16"/>
      <c r="E12" s="16"/>
      <c r="F12" s="17"/>
      <c r="G12" s="13">
        <f t="shared" si="0"/>
        <v>0</v>
      </c>
      <c r="H12"/>
    </row>
    <row r="13" spans="1:9" ht="23.25" customHeight="1" thickBot="1">
      <c r="A13" s="20" t="s">
        <v>141</v>
      </c>
      <c r="B13" s="16"/>
      <c r="C13" s="16"/>
      <c r="D13" s="16"/>
      <c r="E13" s="16"/>
      <c r="F13" s="19"/>
      <c r="G13" s="13">
        <f t="shared" si="0"/>
        <v>0</v>
      </c>
      <c r="H13" s="83"/>
    </row>
    <row r="14" spans="1:9" ht="23.25" customHeight="1" thickBot="1">
      <c r="A14" s="23" t="s">
        <v>263</v>
      </c>
      <c r="B14" s="13">
        <f>SUM(B11:B13)</f>
        <v>0</v>
      </c>
      <c r="C14" s="13">
        <f t="shared" ref="C14:F14" si="2">SUM(C11:C13)</f>
        <v>0</v>
      </c>
      <c r="D14" s="13">
        <f t="shared" si="2"/>
        <v>0</v>
      </c>
      <c r="E14" s="13">
        <f t="shared" si="2"/>
        <v>0</v>
      </c>
      <c r="F14" s="13">
        <f t="shared" si="2"/>
        <v>0</v>
      </c>
      <c r="G14" s="13">
        <f t="shared" si="0"/>
        <v>0</v>
      </c>
      <c r="H14" s="84"/>
    </row>
    <row r="15" spans="1:9" ht="23.25" customHeight="1" thickBot="1">
      <c r="A15" s="22" t="s">
        <v>145</v>
      </c>
      <c r="B15" s="16"/>
      <c r="C15" s="16"/>
      <c r="D15" s="16"/>
      <c r="E15" s="16"/>
      <c r="F15" s="15"/>
      <c r="G15" s="13">
        <f t="shared" si="0"/>
        <v>0</v>
      </c>
    </row>
    <row r="16" spans="1:9" ht="23.25" customHeight="1" thickBot="1">
      <c r="A16" s="20" t="s">
        <v>146</v>
      </c>
      <c r="B16" s="16"/>
      <c r="C16" s="16"/>
      <c r="D16" s="16"/>
      <c r="E16" s="16"/>
      <c r="F16" s="19"/>
      <c r="G16" s="13">
        <f t="shared" si="0"/>
        <v>0</v>
      </c>
    </row>
    <row r="17" spans="1:8" ht="23.25" customHeight="1" thickBot="1">
      <c r="A17" s="23" t="s">
        <v>264</v>
      </c>
      <c r="B17" s="13">
        <f>SUM(B15:B16)</f>
        <v>0</v>
      </c>
      <c r="C17" s="13">
        <f t="shared" ref="C17:F17" si="3">SUM(C15:C16)</f>
        <v>0</v>
      </c>
      <c r="D17" s="13">
        <f t="shared" si="3"/>
        <v>0</v>
      </c>
      <c r="E17" s="13">
        <f t="shared" si="3"/>
        <v>0</v>
      </c>
      <c r="F17" s="13">
        <f t="shared" si="3"/>
        <v>0</v>
      </c>
      <c r="G17" s="13">
        <f t="shared" si="0"/>
        <v>0</v>
      </c>
      <c r="H17" s="72"/>
    </row>
    <row r="18" spans="1:8" ht="23.25" customHeight="1" thickBot="1">
      <c r="A18" s="22" t="s">
        <v>147</v>
      </c>
      <c r="B18" s="16"/>
      <c r="C18" s="16"/>
      <c r="D18" s="16"/>
      <c r="E18" s="16"/>
      <c r="F18" s="15"/>
      <c r="G18" s="13">
        <f t="shared" si="0"/>
        <v>0</v>
      </c>
    </row>
    <row r="19" spans="1:8" ht="23.25" customHeight="1" thickBot="1">
      <c r="A19" s="20" t="s">
        <v>148</v>
      </c>
      <c r="B19" s="16"/>
      <c r="C19" s="16"/>
      <c r="D19" s="16"/>
      <c r="E19" s="16"/>
      <c r="F19" s="19"/>
      <c r="G19" s="13">
        <f t="shared" si="0"/>
        <v>0</v>
      </c>
    </row>
    <row r="20" spans="1:8" ht="23.25" customHeight="1" thickBot="1">
      <c r="A20" s="23" t="s">
        <v>265</v>
      </c>
      <c r="B20" s="13">
        <f>SUM(B18:B19)</f>
        <v>0</v>
      </c>
      <c r="C20" s="13">
        <f t="shared" ref="C20:F20" si="4">SUM(C18:C19)</f>
        <v>0</v>
      </c>
      <c r="D20" s="13">
        <f t="shared" si="4"/>
        <v>0</v>
      </c>
      <c r="E20" s="13">
        <f t="shared" si="4"/>
        <v>0</v>
      </c>
      <c r="F20" s="13">
        <f t="shared" si="4"/>
        <v>0</v>
      </c>
      <c r="G20" s="13">
        <f t="shared" si="0"/>
        <v>0</v>
      </c>
    </row>
    <row r="21" spans="1:8" ht="23.25" customHeight="1" thickBot="1">
      <c r="A21" s="22" t="s">
        <v>149</v>
      </c>
      <c r="B21" s="16"/>
      <c r="C21" s="16"/>
      <c r="D21" s="16"/>
      <c r="E21" s="16"/>
      <c r="F21" s="15"/>
      <c r="G21" s="13">
        <f t="shared" si="0"/>
        <v>0</v>
      </c>
    </row>
    <row r="22" spans="1:8" ht="23.25" customHeight="1" thickBot="1">
      <c r="A22" s="20" t="s">
        <v>150</v>
      </c>
      <c r="B22" s="16"/>
      <c r="C22" s="16"/>
      <c r="D22" s="16"/>
      <c r="E22" s="16"/>
      <c r="F22" s="19"/>
      <c r="G22" s="13">
        <f t="shared" si="0"/>
        <v>0</v>
      </c>
    </row>
    <row r="23" spans="1:8" ht="23.25" customHeight="1" thickBot="1">
      <c r="A23" s="23" t="s">
        <v>266</v>
      </c>
      <c r="B23" s="13">
        <f>SUM(B21:B22)</f>
        <v>0</v>
      </c>
      <c r="C23" s="13">
        <f t="shared" ref="C23:F23" si="5">SUM(C21:C22)</f>
        <v>0</v>
      </c>
      <c r="D23" s="13">
        <f t="shared" si="5"/>
        <v>0</v>
      </c>
      <c r="E23" s="13">
        <f t="shared" si="5"/>
        <v>0</v>
      </c>
      <c r="F23" s="13">
        <f t="shared" si="5"/>
        <v>0</v>
      </c>
      <c r="G23" s="13">
        <f t="shared" si="0"/>
        <v>0</v>
      </c>
    </row>
    <row r="24" spans="1:8" ht="23.25" customHeight="1" thickBot="1">
      <c r="A24" s="23" t="s">
        <v>151</v>
      </c>
      <c r="B24" s="16"/>
      <c r="C24" s="16"/>
      <c r="D24" s="16"/>
      <c r="E24" s="16"/>
      <c r="F24" s="15"/>
      <c r="G24" s="13">
        <f t="shared" si="0"/>
        <v>0</v>
      </c>
    </row>
    <row r="25" spans="1:8" ht="23.25" customHeight="1" thickBot="1">
      <c r="A25" s="23" t="s">
        <v>152</v>
      </c>
      <c r="B25" s="16"/>
      <c r="C25" s="16"/>
      <c r="D25" s="16"/>
      <c r="E25" s="16"/>
      <c r="F25" s="17"/>
      <c r="G25" s="13">
        <f t="shared" si="0"/>
        <v>0</v>
      </c>
    </row>
    <row r="26" spans="1:8" ht="23.25" customHeight="1" thickBot="1">
      <c r="A26" s="23" t="s">
        <v>153</v>
      </c>
      <c r="B26" s="53"/>
      <c r="C26" s="18"/>
      <c r="D26" s="18"/>
      <c r="E26" s="18"/>
      <c r="F26" s="19"/>
      <c r="G26" s="13">
        <f t="shared" si="0"/>
        <v>0</v>
      </c>
    </row>
    <row r="27" spans="1:8" ht="24" customHeight="1" thickBot="1">
      <c r="A27" s="12" t="s">
        <v>261</v>
      </c>
      <c r="B27" s="13">
        <f>SUM(B10,B14,B17,B20,B23,B24:B26)</f>
        <v>0</v>
      </c>
      <c r="C27" s="13">
        <f t="shared" ref="C27:F27" si="6">SUM(C10,C14,C17,C20,C23,C24:C26)</f>
        <v>0</v>
      </c>
      <c r="D27" s="13">
        <f t="shared" si="6"/>
        <v>0</v>
      </c>
      <c r="E27" s="13">
        <f t="shared" si="6"/>
        <v>0</v>
      </c>
      <c r="F27" s="13">
        <f t="shared" si="6"/>
        <v>0</v>
      </c>
      <c r="G27" s="13">
        <f t="shared" si="0"/>
        <v>0</v>
      </c>
    </row>
    <row r="29" spans="1:8" ht="27" customHeight="1">
      <c r="A29" s="350" t="s">
        <v>268</v>
      </c>
      <c r="B29" s="350"/>
      <c r="C29" s="350"/>
      <c r="D29" s="350"/>
      <c r="E29" s="350"/>
      <c r="F29" s="350"/>
      <c r="G29" s="350"/>
    </row>
    <row r="30" spans="1:8" ht="74.650000000000006" customHeight="1">
      <c r="A30" s="351"/>
      <c r="B30" s="351"/>
      <c r="C30" s="351"/>
      <c r="D30" s="351"/>
      <c r="E30" s="351"/>
      <c r="F30" s="351"/>
      <c r="G30" s="351"/>
    </row>
  </sheetData>
  <sheetProtection selectLockedCells="1"/>
  <mergeCells count="4">
    <mergeCell ref="B2:G2"/>
    <mergeCell ref="A5:G5"/>
    <mergeCell ref="A29:G29"/>
    <mergeCell ref="A30:G30"/>
  </mergeCells>
  <conditionalFormatting sqref="G27">
    <cfRule type="expression" dxfId="22" priority="2">
      <formula>"IF(AND(g27&lt;'LE3a PY'!g27-'QA check thresholds'!$A$4,g27&lt;'LE3a PY'!g27*'QA check thresholds'!$c$2),TRUE,FALSE)"</formula>
    </cfRule>
  </conditionalFormatting>
  <dataValidations count="2">
    <dataValidation errorStyle="warning" operator="lessThanOrEqual" allowBlank="1" showInputMessage="1" showErrorMessage="1" errorTitle="Large number" error="The number you entered is very large or non numeric, is this correct?" sqref="B10:G10 A31:G1048576 A1:A30 H15:H1048576 G24:G28 B23:G23 B20:G20 B17:G17 B14:G14 B1:F7 I1:XFD1048576 H1:H8 G1:G9 G11:G13 G15:G16 G18:G19 G21:G22 B27:F28" xr:uid="{00000000-0002-0000-0300-000000000000}"/>
    <dataValidation type="whole" allowBlank="1" showInputMessage="1" showErrorMessage="1" errorTitle="Error" error="Please enter a whole number greater than zero and less than 1,000." sqref="B8:F9 B11:F13 B15:F16 B18:F19 B21:F22 B24:F26" xr:uid="{00000000-0002-0000-03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10:F10 B14:F14 B17:F17 B20:F20 B23:F23"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098F4E2E-3C0A-407F-BB83-E8E4E9011E1D}">
            <xm:f>IF(AND(G27&gt;'LE3a PY'!G27+'QA check thresholds'!$A$4,G27&gt;'LE3a PY'!G27*'QA check thresholds'!$C$4),TRUE,FALSE)</xm:f>
            <x14:dxf>
              <font>
                <b/>
                <i val="0"/>
                <color rgb="FFFF0000"/>
              </font>
              <fill>
                <patternFill>
                  <bgColor rgb="FFFFC000"/>
                </patternFill>
              </fill>
            </x14:dxf>
          </x14:cfRule>
          <xm:sqref>G27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0D0AB-0AA0-4495-A09A-7F27997B9B9D}">
  <sheetPr codeName="Sheet16"/>
  <dimension ref="A2:AA104"/>
  <sheetViews>
    <sheetView showGridLines="0" zoomScale="60" zoomScaleNormal="60" workbookViewId="0">
      <selection activeCell="U40" sqref="U40"/>
    </sheetView>
  </sheetViews>
  <sheetFormatPr defaultColWidth="16.7109375" defaultRowHeight="27" customHeight="1"/>
  <cols>
    <col min="1" max="1" width="16.7109375" style="1"/>
    <col min="2" max="2" width="0" style="2" hidden="1" customWidth="1"/>
    <col min="3" max="16384" width="16.7109375" style="2"/>
  </cols>
  <sheetData>
    <row r="2" spans="1:27" ht="36" customHeight="1">
      <c r="B2" s="315"/>
      <c r="C2" s="315"/>
      <c r="D2" s="315"/>
      <c r="E2" s="315"/>
      <c r="F2" s="315"/>
      <c r="G2" s="315"/>
    </row>
    <row r="3" spans="1:27" ht="33.75" customHeight="1"/>
    <row r="4" spans="1:27" ht="13.5" customHeight="1" thickBot="1">
      <c r="A4" s="3"/>
      <c r="B4" s="4"/>
      <c r="C4" s="4"/>
      <c r="D4" s="4"/>
      <c r="E4" s="4"/>
      <c r="F4" s="4"/>
      <c r="G4" s="4"/>
    </row>
    <row r="5" spans="1:27" ht="18.75" customHeight="1" thickBot="1">
      <c r="A5" s="316" t="s">
        <v>391</v>
      </c>
      <c r="B5" s="317"/>
      <c r="C5" s="317"/>
      <c r="D5" s="317"/>
      <c r="E5" s="317"/>
      <c r="F5" s="317"/>
      <c r="G5" s="317"/>
      <c r="H5" s="317"/>
      <c r="I5" s="317"/>
      <c r="J5" s="317"/>
      <c r="K5" s="317"/>
      <c r="L5" s="317"/>
      <c r="M5" s="317"/>
      <c r="N5" s="317"/>
      <c r="O5" s="317"/>
      <c r="P5" s="317"/>
      <c r="Q5" s="318"/>
    </row>
    <row r="6" spans="1:27" customFormat="1" ht="12.75"/>
    <row r="7" spans="1:27" ht="16.149999999999999" customHeight="1" thickBot="1">
      <c r="A7" s="158"/>
      <c r="B7" s="202"/>
      <c r="C7" s="202"/>
      <c r="D7" s="202"/>
      <c r="E7" s="202"/>
      <c r="F7" s="202"/>
      <c r="G7" s="159"/>
    </row>
    <row r="8" spans="1:27" ht="16.149999999999999" customHeight="1" thickBot="1">
      <c r="A8" s="352" t="s">
        <v>392</v>
      </c>
      <c r="B8" s="353"/>
      <c r="C8" s="353"/>
      <c r="D8" s="353"/>
      <c r="E8" s="353"/>
      <c r="F8" s="353"/>
      <c r="G8" s="353"/>
      <c r="H8" s="353"/>
      <c r="I8" s="353"/>
      <c r="J8" s="353"/>
      <c r="K8" s="353"/>
      <c r="L8" s="353"/>
      <c r="M8" s="353"/>
      <c r="N8" s="353"/>
      <c r="O8" s="353"/>
      <c r="P8" s="353"/>
      <c r="Q8" s="353"/>
      <c r="R8" s="353"/>
      <c r="S8" s="353"/>
      <c r="T8" s="353"/>
      <c r="U8" s="353"/>
      <c r="V8" s="353"/>
      <c r="W8" s="353"/>
      <c r="X8" s="353"/>
      <c r="Y8" s="353"/>
      <c r="Z8" s="353"/>
      <c r="AA8" s="354"/>
    </row>
    <row r="9" spans="1:27" ht="16.149999999999999" customHeight="1" thickBot="1">
      <c r="A9" s="160"/>
      <c r="B9" s="161"/>
      <c r="C9" s="355" t="s">
        <v>393</v>
      </c>
      <c r="D9" s="356"/>
      <c r="E9" s="356"/>
      <c r="F9" s="356"/>
      <c r="G9" s="357"/>
      <c r="H9" s="355" t="s">
        <v>271</v>
      </c>
      <c r="I9" s="356"/>
      <c r="J9" s="356"/>
      <c r="K9" s="356"/>
      <c r="L9" s="357"/>
      <c r="M9" s="355" t="s">
        <v>272</v>
      </c>
      <c r="N9" s="356"/>
      <c r="O9" s="356"/>
      <c r="P9" s="356"/>
      <c r="Q9" s="357"/>
      <c r="R9" s="355" t="s">
        <v>273</v>
      </c>
      <c r="S9" s="356"/>
      <c r="T9" s="356"/>
      <c r="U9" s="356"/>
      <c r="V9" s="357"/>
      <c r="W9" s="355" t="s">
        <v>274</v>
      </c>
      <c r="X9" s="356"/>
      <c r="Y9" s="356"/>
      <c r="Z9" s="356"/>
      <c r="AA9" s="357"/>
    </row>
    <row r="10" spans="1:27" ht="16.149999999999999" customHeight="1" thickBot="1">
      <c r="A10" s="160"/>
      <c r="B10" s="162"/>
      <c r="C10" s="163" t="s">
        <v>275</v>
      </c>
      <c r="D10" s="163" t="s">
        <v>276</v>
      </c>
      <c r="E10" s="163" t="s">
        <v>277</v>
      </c>
      <c r="F10" s="163" t="s">
        <v>278</v>
      </c>
      <c r="G10" s="164" t="s">
        <v>261</v>
      </c>
      <c r="H10" s="163" t="s">
        <v>275</v>
      </c>
      <c r="I10" s="163" t="s">
        <v>276</v>
      </c>
      <c r="J10" s="163" t="s">
        <v>277</v>
      </c>
      <c r="K10" s="163" t="s">
        <v>278</v>
      </c>
      <c r="L10" s="164" t="s">
        <v>261</v>
      </c>
      <c r="M10" s="163" t="s">
        <v>275</v>
      </c>
      <c r="N10" s="163" t="s">
        <v>276</v>
      </c>
      <c r="O10" s="163" t="s">
        <v>277</v>
      </c>
      <c r="P10" s="163" t="s">
        <v>278</v>
      </c>
      <c r="Q10" s="164" t="s">
        <v>261</v>
      </c>
      <c r="R10" s="163" t="s">
        <v>275</v>
      </c>
      <c r="S10" s="163" t="s">
        <v>276</v>
      </c>
      <c r="T10" s="163" t="s">
        <v>277</v>
      </c>
      <c r="U10" s="163" t="s">
        <v>278</v>
      </c>
      <c r="V10" s="164" t="s">
        <v>261</v>
      </c>
      <c r="W10" s="163" t="s">
        <v>275</v>
      </c>
      <c r="X10" s="163" t="s">
        <v>276</v>
      </c>
      <c r="Y10" s="163" t="s">
        <v>277</v>
      </c>
      <c r="Z10" s="163" t="s">
        <v>278</v>
      </c>
      <c r="AA10" s="164" t="s">
        <v>261</v>
      </c>
    </row>
    <row r="11" spans="1:27" ht="16.149999999999999" hidden="1" customHeight="1" thickBot="1">
      <c r="A11" s="165"/>
      <c r="B11" s="166"/>
      <c r="C11" s="167" t="s">
        <v>279</v>
      </c>
      <c r="D11" s="167" t="s">
        <v>280</v>
      </c>
      <c r="E11" s="167" t="s">
        <v>280</v>
      </c>
      <c r="F11" s="167"/>
      <c r="G11" s="168"/>
      <c r="H11" s="167" t="s">
        <v>281</v>
      </c>
      <c r="I11" s="167" t="s">
        <v>282</v>
      </c>
      <c r="J11" s="167" t="s">
        <v>282</v>
      </c>
      <c r="K11" s="167"/>
      <c r="L11" s="167"/>
      <c r="M11" s="167" t="s">
        <v>283</v>
      </c>
      <c r="N11" s="167" t="s">
        <v>284</v>
      </c>
      <c r="O11" s="167" t="s">
        <v>282</v>
      </c>
      <c r="P11" s="167"/>
      <c r="Q11" s="167"/>
      <c r="R11" s="167" t="s">
        <v>283</v>
      </c>
      <c r="S11" s="167" t="s">
        <v>284</v>
      </c>
      <c r="T11" s="167" t="s">
        <v>282</v>
      </c>
      <c r="U11" s="167"/>
      <c r="V11" s="167"/>
      <c r="W11" s="167" t="s">
        <v>283</v>
      </c>
      <c r="X11" s="167" t="s">
        <v>284</v>
      </c>
      <c r="Y11" s="167" t="s">
        <v>282</v>
      </c>
      <c r="Z11" s="167"/>
      <c r="AA11" s="167"/>
    </row>
    <row r="12" spans="1:27" ht="16.149999999999999" customHeight="1">
      <c r="A12" s="203" t="s">
        <v>256</v>
      </c>
      <c r="B12" s="204" t="s">
        <v>287</v>
      </c>
      <c r="C12" s="205"/>
      <c r="D12" s="205"/>
      <c r="E12" s="205"/>
      <c r="F12" s="205"/>
      <c r="G12" s="207">
        <f t="shared" ref="G12:G16" si="0">SUM(C12:F12)</f>
        <v>0</v>
      </c>
      <c r="H12" s="205"/>
      <c r="I12" s="205"/>
      <c r="J12" s="205"/>
      <c r="K12" s="205"/>
      <c r="L12" s="208">
        <f t="shared" ref="L12:L16" si="1">SUM(H12:K12)</f>
        <v>0</v>
      </c>
      <c r="M12" s="205"/>
      <c r="N12" s="205"/>
      <c r="O12" s="205"/>
      <c r="P12" s="205"/>
      <c r="Q12" s="208">
        <f t="shared" ref="Q12:Q16" si="2">SUM(M12:P12)</f>
        <v>0</v>
      </c>
      <c r="R12" s="205"/>
      <c r="S12" s="205"/>
      <c r="T12" s="205"/>
      <c r="U12" s="205"/>
      <c r="V12" s="208">
        <f t="shared" ref="V12:V16" si="3">SUM(R12:U12)</f>
        <v>0</v>
      </c>
      <c r="W12" s="205"/>
      <c r="X12" s="205"/>
      <c r="Y12" s="205"/>
      <c r="Z12" s="205"/>
      <c r="AA12" s="208">
        <f t="shared" ref="AA12:AA16" si="4">SUM(W12:Z12)</f>
        <v>0</v>
      </c>
    </row>
    <row r="13" spans="1:27" ht="16.149999999999999" customHeight="1">
      <c r="A13" s="209" t="s">
        <v>257</v>
      </c>
      <c r="B13" s="210" t="s">
        <v>289</v>
      </c>
      <c r="C13" s="205"/>
      <c r="D13" s="205"/>
      <c r="E13" s="205"/>
      <c r="F13" s="205"/>
      <c r="G13" s="207">
        <f t="shared" si="0"/>
        <v>0</v>
      </c>
      <c r="H13" s="205"/>
      <c r="I13" s="205"/>
      <c r="J13" s="205"/>
      <c r="K13" s="205"/>
      <c r="L13" s="208">
        <f t="shared" si="1"/>
        <v>0</v>
      </c>
      <c r="M13" s="205"/>
      <c r="N13" s="205"/>
      <c r="O13" s="205"/>
      <c r="P13" s="205"/>
      <c r="Q13" s="208">
        <f t="shared" si="2"/>
        <v>0</v>
      </c>
      <c r="R13" s="205"/>
      <c r="S13" s="205"/>
      <c r="T13" s="205"/>
      <c r="U13" s="205"/>
      <c r="V13" s="208">
        <f t="shared" si="3"/>
        <v>0</v>
      </c>
      <c r="W13" s="205"/>
      <c r="X13" s="205"/>
      <c r="Y13" s="205"/>
      <c r="Z13" s="205"/>
      <c r="AA13" s="208">
        <f t="shared" si="4"/>
        <v>0</v>
      </c>
    </row>
    <row r="14" spans="1:27" ht="16.149999999999999" customHeight="1">
      <c r="A14" s="209" t="s">
        <v>258</v>
      </c>
      <c r="B14" s="210" t="s">
        <v>290</v>
      </c>
      <c r="C14" s="205"/>
      <c r="D14" s="205"/>
      <c r="E14" s="205"/>
      <c r="F14" s="205"/>
      <c r="G14" s="207">
        <f t="shared" si="0"/>
        <v>0</v>
      </c>
      <c r="H14" s="205"/>
      <c r="I14" s="205"/>
      <c r="J14" s="205"/>
      <c r="K14" s="205"/>
      <c r="L14" s="208">
        <f t="shared" si="1"/>
        <v>0</v>
      </c>
      <c r="M14" s="205"/>
      <c r="N14" s="205"/>
      <c r="O14" s="205"/>
      <c r="P14" s="205"/>
      <c r="Q14" s="208">
        <f t="shared" si="2"/>
        <v>0</v>
      </c>
      <c r="R14" s="205"/>
      <c r="S14" s="205"/>
      <c r="T14" s="205"/>
      <c r="U14" s="205"/>
      <c r="V14" s="208">
        <f t="shared" si="3"/>
        <v>0</v>
      </c>
      <c r="W14" s="205"/>
      <c r="X14" s="205"/>
      <c r="Y14" s="205"/>
      <c r="Z14" s="205"/>
      <c r="AA14" s="208">
        <f t="shared" si="4"/>
        <v>0</v>
      </c>
    </row>
    <row r="15" spans="1:27" ht="16.149999999999999" customHeight="1">
      <c r="A15" s="209" t="s">
        <v>259</v>
      </c>
      <c r="B15" s="210" t="s">
        <v>291</v>
      </c>
      <c r="C15" s="205"/>
      <c r="D15" s="205"/>
      <c r="E15" s="205"/>
      <c r="F15" s="205"/>
      <c r="G15" s="207">
        <f t="shared" si="0"/>
        <v>0</v>
      </c>
      <c r="H15" s="205"/>
      <c r="I15" s="205"/>
      <c r="J15" s="205"/>
      <c r="K15" s="205"/>
      <c r="L15" s="208">
        <f t="shared" si="1"/>
        <v>0</v>
      </c>
      <c r="M15" s="205"/>
      <c r="N15" s="205"/>
      <c r="O15" s="205"/>
      <c r="P15" s="205"/>
      <c r="Q15" s="208">
        <f t="shared" si="2"/>
        <v>0</v>
      </c>
      <c r="R15" s="205"/>
      <c r="S15" s="205"/>
      <c r="T15" s="205"/>
      <c r="U15" s="205"/>
      <c r="V15" s="208">
        <f t="shared" si="3"/>
        <v>0</v>
      </c>
      <c r="W15" s="205"/>
      <c r="X15" s="205"/>
      <c r="Y15" s="205"/>
      <c r="Z15" s="205"/>
      <c r="AA15" s="208">
        <f t="shared" si="4"/>
        <v>0</v>
      </c>
    </row>
    <row r="16" spans="1:27" ht="16.149999999999999" customHeight="1" thickBot="1">
      <c r="A16" s="209" t="s">
        <v>260</v>
      </c>
      <c r="B16" s="210" t="s">
        <v>292</v>
      </c>
      <c r="C16" s="205"/>
      <c r="D16" s="205"/>
      <c r="E16" s="205"/>
      <c r="F16" s="205"/>
      <c r="G16" s="213">
        <f t="shared" si="0"/>
        <v>0</v>
      </c>
      <c r="H16" s="205"/>
      <c r="I16" s="205"/>
      <c r="J16" s="205"/>
      <c r="K16" s="205"/>
      <c r="L16" s="214">
        <f t="shared" si="1"/>
        <v>0</v>
      </c>
      <c r="M16" s="205"/>
      <c r="N16" s="205"/>
      <c r="O16" s="205"/>
      <c r="P16" s="205"/>
      <c r="Q16" s="214">
        <f t="shared" si="2"/>
        <v>0</v>
      </c>
      <c r="R16" s="205"/>
      <c r="S16" s="205"/>
      <c r="T16" s="205"/>
      <c r="U16" s="205"/>
      <c r="V16" s="214">
        <f t="shared" si="3"/>
        <v>0</v>
      </c>
      <c r="W16" s="205"/>
      <c r="X16" s="205"/>
      <c r="Y16" s="205"/>
      <c r="Z16" s="205"/>
      <c r="AA16" s="214">
        <f t="shared" si="4"/>
        <v>0</v>
      </c>
    </row>
    <row r="17" spans="1:27" ht="16.149999999999999" customHeight="1" thickBot="1">
      <c r="A17" s="169" t="s">
        <v>261</v>
      </c>
      <c r="B17" s="215"/>
      <c r="C17" s="109">
        <f>SUM(C12:C16)</f>
        <v>0</v>
      </c>
      <c r="D17" s="109">
        <f>SUM(D12:D16)</f>
        <v>0</v>
      </c>
      <c r="E17" s="109">
        <f>SUM(E12:E16)</f>
        <v>0</v>
      </c>
      <c r="F17" s="109">
        <f>SUM(F12:F16)</f>
        <v>0</v>
      </c>
      <c r="G17" s="109">
        <f>SUM(C17:F17)</f>
        <v>0</v>
      </c>
      <c r="H17" s="109">
        <f>SUM(H12:H16)</f>
        <v>0</v>
      </c>
      <c r="I17" s="109">
        <f>SUM(I12:I16)</f>
        <v>0</v>
      </c>
      <c r="J17" s="109">
        <f>SUM(J12:J16)</f>
        <v>0</v>
      </c>
      <c r="K17" s="109">
        <f>SUM(K12:K16)</f>
        <v>0</v>
      </c>
      <c r="L17" s="109">
        <f>SUM(H17:K17)</f>
        <v>0</v>
      </c>
      <c r="M17" s="109">
        <f>SUM(M12:M16)</f>
        <v>0</v>
      </c>
      <c r="N17" s="109">
        <f>SUM(N12:N16)</f>
        <v>0</v>
      </c>
      <c r="O17" s="109">
        <f>SUM(O12:O16)</f>
        <v>0</v>
      </c>
      <c r="P17" s="109">
        <f>SUM(P12:P16)</f>
        <v>0</v>
      </c>
      <c r="Q17" s="109">
        <f>SUM(M17:P17)</f>
        <v>0</v>
      </c>
      <c r="R17" s="109">
        <f>SUM(R12:R16)</f>
        <v>0</v>
      </c>
      <c r="S17" s="109">
        <f>SUM(S12:S16)</f>
        <v>0</v>
      </c>
      <c r="T17" s="109">
        <f>SUM(T12:T16)</f>
        <v>0</v>
      </c>
      <c r="U17" s="109">
        <f>SUM(U12:U16)</f>
        <v>0</v>
      </c>
      <c r="V17" s="109">
        <f>SUM(R17:U17)</f>
        <v>0</v>
      </c>
      <c r="W17" s="109">
        <f>SUM(W12:W16)</f>
        <v>0</v>
      </c>
      <c r="X17" s="109">
        <f>SUM(X12:X16)</f>
        <v>0</v>
      </c>
      <c r="Y17" s="109">
        <f>SUM(Y12:Y16)</f>
        <v>0</v>
      </c>
      <c r="Z17" s="109">
        <f>SUM(Z12:Z16)</f>
        <v>0</v>
      </c>
      <c r="AA17" s="109">
        <f>SUM(W17:Z17)</f>
        <v>0</v>
      </c>
    </row>
    <row r="18" spans="1:27" ht="16.149999999999999" customHeight="1">
      <c r="A18" s="110"/>
      <c r="B18" s="110"/>
      <c r="C18" s="111"/>
      <c r="D18" s="111"/>
      <c r="E18" s="111"/>
      <c r="F18" s="111"/>
      <c r="G18" s="111"/>
      <c r="H18" s="111"/>
      <c r="I18" s="111"/>
      <c r="J18" s="111"/>
      <c r="K18" s="111"/>
      <c r="L18" s="111"/>
      <c r="M18" s="111"/>
      <c r="N18" s="111"/>
      <c r="Z18" s="175"/>
      <c r="AA18" s="175"/>
    </row>
    <row r="19" spans="1:27" ht="16.149999999999999" customHeight="1" thickBot="1">
      <c r="A19" s="110"/>
      <c r="B19" s="110"/>
      <c r="C19" s="111"/>
      <c r="D19" s="111"/>
      <c r="E19" s="111"/>
      <c r="F19" s="111"/>
      <c r="G19" s="111"/>
      <c r="H19" s="111"/>
      <c r="I19" s="111"/>
      <c r="J19" s="111"/>
      <c r="K19" s="111"/>
      <c r="L19" s="111"/>
      <c r="M19" s="111"/>
      <c r="N19" s="111"/>
      <c r="Z19" s="175"/>
      <c r="AA19" s="175"/>
    </row>
    <row r="20" spans="1:27" ht="16.149999999999999" customHeight="1" thickBot="1">
      <c r="A20" s="110"/>
      <c r="B20" s="110"/>
      <c r="C20" s="333" t="s">
        <v>295</v>
      </c>
      <c r="D20" s="333"/>
      <c r="E20" s="333"/>
      <c r="F20" s="333"/>
      <c r="G20" s="333"/>
      <c r="H20" s="333" t="s">
        <v>296</v>
      </c>
      <c r="I20" s="333"/>
      <c r="J20" s="333"/>
      <c r="K20" s="333"/>
      <c r="L20" s="333"/>
      <c r="M20" s="329" t="s">
        <v>297</v>
      </c>
      <c r="N20" s="330"/>
      <c r="O20" s="330"/>
      <c r="P20" s="330"/>
      <c r="Q20" s="331"/>
      <c r="R20" s="58"/>
      <c r="S20" s="52"/>
      <c r="T20" s="52"/>
    </row>
    <row r="21" spans="1:27" ht="16.149999999999999" customHeight="1" thickBot="1">
      <c r="A21" s="110"/>
      <c r="B21" s="110"/>
      <c r="C21" s="88" t="s">
        <v>275</v>
      </c>
      <c r="D21" s="88" t="s">
        <v>276</v>
      </c>
      <c r="E21" s="88" t="s">
        <v>277</v>
      </c>
      <c r="F21" s="89" t="s">
        <v>278</v>
      </c>
      <c r="G21" s="90" t="s">
        <v>261</v>
      </c>
      <c r="H21" s="91" t="s">
        <v>275</v>
      </c>
      <c r="I21" s="88" t="s">
        <v>276</v>
      </c>
      <c r="J21" s="88" t="s">
        <v>277</v>
      </c>
      <c r="K21" s="88" t="s">
        <v>278</v>
      </c>
      <c r="L21" s="90" t="s">
        <v>261</v>
      </c>
      <c r="M21" s="88" t="s">
        <v>275</v>
      </c>
      <c r="N21" s="88" t="s">
        <v>276</v>
      </c>
      <c r="O21" s="88" t="s">
        <v>277</v>
      </c>
      <c r="P21" s="88" t="s">
        <v>278</v>
      </c>
      <c r="Q21" s="90" t="s">
        <v>261</v>
      </c>
      <c r="R21" s="52"/>
      <c r="S21" s="175"/>
      <c r="T21" s="175"/>
    </row>
    <row r="22" spans="1:27" ht="16.149999999999999" hidden="1" customHeight="1">
      <c r="A22" s="110"/>
      <c r="B22" s="110"/>
      <c r="C22" s="94" t="s">
        <v>299</v>
      </c>
      <c r="D22" s="94" t="s">
        <v>300</v>
      </c>
      <c r="E22" s="94" t="s">
        <v>300</v>
      </c>
      <c r="F22" s="94"/>
      <c r="G22" s="95"/>
      <c r="H22" s="94" t="s">
        <v>301</v>
      </c>
      <c r="I22" s="94" t="s">
        <v>302</v>
      </c>
      <c r="J22" s="94" t="s">
        <v>302</v>
      </c>
      <c r="K22" s="94"/>
      <c r="L22" s="216"/>
      <c r="M22" s="94"/>
      <c r="N22" s="94"/>
      <c r="O22" s="94"/>
      <c r="P22" s="94"/>
      <c r="Q22" s="216"/>
      <c r="R22" s="58"/>
      <c r="S22" s="175"/>
      <c r="T22" s="175"/>
    </row>
    <row r="23" spans="1:27" ht="16.149999999999999" customHeight="1">
      <c r="A23" s="11" t="s">
        <v>256</v>
      </c>
      <c r="B23" s="110"/>
      <c r="C23" s="205"/>
      <c r="D23" s="205"/>
      <c r="E23" s="205"/>
      <c r="F23" s="205"/>
      <c r="G23" s="217">
        <f t="shared" ref="G23:G26" si="5">SUM(C23:F23)</f>
        <v>0</v>
      </c>
      <c r="H23" s="205"/>
      <c r="I23" s="205"/>
      <c r="J23" s="205"/>
      <c r="K23" s="205"/>
      <c r="L23" s="218">
        <f t="shared" ref="L23:L27" si="6">SUM(H23:K23)</f>
        <v>0</v>
      </c>
      <c r="M23" s="205"/>
      <c r="N23" s="205"/>
      <c r="O23" s="205"/>
      <c r="P23" s="205"/>
      <c r="Q23" s="217">
        <f t="shared" ref="Q23:Q27" si="7">SUM(M23:P23)</f>
        <v>0</v>
      </c>
      <c r="R23" s="113"/>
      <c r="S23" s="175"/>
      <c r="T23" s="175"/>
      <c r="U23" s="112" t="s">
        <v>298</v>
      </c>
      <c r="V23" s="58"/>
      <c r="W23" s="58"/>
      <c r="X23" s="52"/>
      <c r="Y23" s="52"/>
      <c r="Z23" s="52"/>
      <c r="AA23" s="52"/>
    </row>
    <row r="24" spans="1:27" ht="16.149999999999999" customHeight="1">
      <c r="A24" s="11" t="s">
        <v>257</v>
      </c>
      <c r="B24" s="110"/>
      <c r="C24" s="205"/>
      <c r="D24" s="205"/>
      <c r="E24" s="205"/>
      <c r="F24" s="205"/>
      <c r="G24" s="217">
        <f t="shared" si="5"/>
        <v>0</v>
      </c>
      <c r="H24" s="205"/>
      <c r="I24" s="205"/>
      <c r="J24" s="205"/>
      <c r="K24" s="205"/>
      <c r="L24" s="218">
        <f t="shared" si="6"/>
        <v>0</v>
      </c>
      <c r="M24" s="205"/>
      <c r="N24" s="205"/>
      <c r="O24" s="205"/>
      <c r="P24" s="205"/>
      <c r="Q24" s="217">
        <f t="shared" si="7"/>
        <v>0</v>
      </c>
      <c r="R24" s="113"/>
      <c r="S24" s="175"/>
      <c r="T24" s="175"/>
      <c r="U24" s="58"/>
      <c r="V24" s="58"/>
      <c r="W24" s="58"/>
      <c r="X24" s="58"/>
      <c r="Y24" s="58"/>
      <c r="Z24" s="58"/>
      <c r="AA24" s="58"/>
    </row>
    <row r="25" spans="1:27" ht="16.149999999999999" customHeight="1">
      <c r="A25" s="11" t="s">
        <v>258</v>
      </c>
      <c r="B25" s="110"/>
      <c r="C25" s="205"/>
      <c r="D25" s="205"/>
      <c r="E25" s="205"/>
      <c r="F25" s="205"/>
      <c r="G25" s="217">
        <f t="shared" si="5"/>
        <v>0</v>
      </c>
      <c r="H25" s="205"/>
      <c r="I25" s="205"/>
      <c r="J25" s="205"/>
      <c r="K25" s="205"/>
      <c r="L25" s="218">
        <f t="shared" si="6"/>
        <v>0</v>
      </c>
      <c r="M25" s="205"/>
      <c r="N25" s="205"/>
      <c r="O25" s="205"/>
      <c r="P25" s="205"/>
      <c r="Q25" s="217">
        <f t="shared" si="7"/>
        <v>0</v>
      </c>
      <c r="R25" s="113"/>
      <c r="S25" s="175"/>
      <c r="T25" s="175"/>
      <c r="U25" s="58" t="s">
        <v>394</v>
      </c>
      <c r="V25" s="58"/>
      <c r="W25" s="58"/>
      <c r="X25" s="113">
        <f>SUM($G$17+$L$17+$Q$17+V17+AA17+$G$28+$L$28+$Q$28)</f>
        <v>0</v>
      </c>
      <c r="Y25" s="58"/>
      <c r="Z25" s="58"/>
      <c r="AA25" s="58"/>
    </row>
    <row r="26" spans="1:27" ht="16.149999999999999" customHeight="1">
      <c r="A26" s="11" t="s">
        <v>259</v>
      </c>
      <c r="B26" s="110"/>
      <c r="C26" s="205"/>
      <c r="D26" s="205"/>
      <c r="E26" s="205"/>
      <c r="F26" s="205"/>
      <c r="G26" s="217">
        <f t="shared" si="5"/>
        <v>0</v>
      </c>
      <c r="H26" s="205"/>
      <c r="I26" s="205"/>
      <c r="J26" s="205"/>
      <c r="K26" s="205"/>
      <c r="L26" s="218">
        <f t="shared" si="6"/>
        <v>0</v>
      </c>
      <c r="M26" s="205"/>
      <c r="N26" s="205"/>
      <c r="O26" s="205"/>
      <c r="P26" s="205"/>
      <c r="Q26" s="217">
        <f t="shared" si="7"/>
        <v>0</v>
      </c>
      <c r="R26" s="113"/>
      <c r="S26" s="175"/>
      <c r="T26" s="175"/>
      <c r="U26" s="58" t="s">
        <v>395</v>
      </c>
      <c r="V26" s="58"/>
      <c r="W26" s="58"/>
      <c r="X26" s="113">
        <f>SUM(C38+I38+C48+I48+M48+P48)</f>
        <v>0</v>
      </c>
      <c r="Y26" s="58"/>
      <c r="Z26" s="58"/>
      <c r="AA26" s="58"/>
    </row>
    <row r="27" spans="1:27" ht="16.149999999999999" customHeight="1" thickBot="1">
      <c r="A27" s="20" t="s">
        <v>260</v>
      </c>
      <c r="B27" s="110"/>
      <c r="C27" s="205"/>
      <c r="D27" s="205"/>
      <c r="E27" s="205"/>
      <c r="F27" s="205"/>
      <c r="G27" s="217">
        <f>SUM(C27:F27)</f>
        <v>0</v>
      </c>
      <c r="H27" s="205"/>
      <c r="I27" s="205"/>
      <c r="J27" s="205"/>
      <c r="K27" s="205"/>
      <c r="L27" s="219">
        <f t="shared" si="6"/>
        <v>0</v>
      </c>
      <c r="M27" s="205"/>
      <c r="N27" s="205"/>
      <c r="O27" s="205"/>
      <c r="P27" s="205"/>
      <c r="Q27" s="220">
        <f t="shared" si="7"/>
        <v>0</v>
      </c>
      <c r="R27" s="113"/>
      <c r="S27" s="175"/>
      <c r="T27" s="175"/>
      <c r="U27" s="58" t="s">
        <v>396</v>
      </c>
      <c r="V27" s="58"/>
      <c r="W27" s="58"/>
      <c r="X27" s="113">
        <f>SUM($O$59:$S$59)</f>
        <v>0</v>
      </c>
      <c r="Y27" s="58"/>
      <c r="Z27" s="58"/>
      <c r="AA27" s="58"/>
    </row>
    <row r="28" spans="1:27" ht="16.149999999999999" customHeight="1" thickBot="1">
      <c r="A28" s="23" t="s">
        <v>261</v>
      </c>
      <c r="B28" s="110"/>
      <c r="C28" s="69">
        <f>SUM(C23:C27)</f>
        <v>0</v>
      </c>
      <c r="D28" s="69">
        <f>SUM(D23:D27)</f>
        <v>0</v>
      </c>
      <c r="E28" s="69">
        <f>SUM(E23:E27)</f>
        <v>0</v>
      </c>
      <c r="F28" s="62">
        <f>SUM(F23:F27)</f>
        <v>0</v>
      </c>
      <c r="G28" s="116">
        <f>SUM(C28:F28)</f>
        <v>0</v>
      </c>
      <c r="H28" s="117">
        <f>SUM(H23:H27)</f>
        <v>0</v>
      </c>
      <c r="I28" s="69">
        <f>SUM(I23:I27)</f>
        <v>0</v>
      </c>
      <c r="J28" s="69">
        <f>SUM(J23:J27)</f>
        <v>0</v>
      </c>
      <c r="K28" s="13">
        <f>SUM(K23:K27)</f>
        <v>0</v>
      </c>
      <c r="L28" s="109">
        <f>SUM(H28:K28)</f>
        <v>0</v>
      </c>
      <c r="M28" s="69">
        <f>SUM(M23:M27)</f>
        <v>0</v>
      </c>
      <c r="N28" s="69">
        <f>SUM(N23:N27)</f>
        <v>0</v>
      </c>
      <c r="O28" s="69">
        <f>SUM(O23:O27)</f>
        <v>0</v>
      </c>
      <c r="P28" s="13">
        <f>SUM(P23:P27)</f>
        <v>0</v>
      </c>
      <c r="Q28" s="109">
        <f>SUM(M28:P28)</f>
        <v>0</v>
      </c>
      <c r="R28" s="58"/>
      <c r="S28" s="175"/>
      <c r="T28" s="175"/>
      <c r="U28" s="58" t="s">
        <v>397</v>
      </c>
      <c r="V28" s="58"/>
      <c r="W28" s="58"/>
      <c r="X28" s="113">
        <f>SUM($C$59:$E$59)</f>
        <v>0</v>
      </c>
      <c r="Y28" s="58"/>
      <c r="Z28" s="58"/>
      <c r="AA28" s="58"/>
    </row>
    <row r="29" spans="1:27" ht="16.149999999999999" customHeight="1">
      <c r="A29" s="110"/>
      <c r="B29" s="110"/>
      <c r="C29" s="111"/>
      <c r="D29" s="111"/>
      <c r="E29" s="111"/>
      <c r="F29" s="111"/>
      <c r="G29" s="111"/>
      <c r="H29" s="111"/>
      <c r="I29" s="111"/>
      <c r="J29" s="111"/>
      <c r="K29" s="111"/>
      <c r="L29" s="111"/>
      <c r="M29" s="111"/>
      <c r="N29" s="111"/>
      <c r="O29" s="111"/>
      <c r="P29" s="111"/>
      <c r="Q29" s="111"/>
      <c r="R29" s="58"/>
      <c r="S29" s="175"/>
      <c r="T29" s="175"/>
      <c r="U29" s="58" t="s">
        <v>398</v>
      </c>
      <c r="V29" s="58"/>
      <c r="W29" s="58"/>
      <c r="X29" s="113">
        <f>SUM($F$59:$N$59)</f>
        <v>0</v>
      </c>
      <c r="Y29" s="58"/>
      <c r="Z29" s="58"/>
      <c r="AA29" s="58"/>
    </row>
    <row r="30" spans="1:27" ht="16.149999999999999" customHeight="1" thickBot="1">
      <c r="A30" s="110"/>
      <c r="B30" s="110"/>
      <c r="C30" s="111"/>
      <c r="D30" s="111"/>
      <c r="E30" s="111"/>
      <c r="F30" s="111"/>
      <c r="G30" s="111"/>
      <c r="H30" s="111"/>
      <c r="I30" s="111"/>
      <c r="J30" s="111"/>
      <c r="K30" s="111"/>
      <c r="L30" s="111"/>
      <c r="M30" s="111"/>
      <c r="N30" s="111"/>
      <c r="O30" s="111"/>
      <c r="P30" s="111"/>
      <c r="Q30" s="111"/>
      <c r="R30" s="118"/>
      <c r="S30" s="175"/>
      <c r="T30" s="175"/>
      <c r="U30" s="58"/>
      <c r="V30" s="58"/>
      <c r="W30" s="58"/>
      <c r="X30" s="113"/>
      <c r="Y30" s="58"/>
      <c r="Z30" s="58"/>
      <c r="AA30" s="58"/>
    </row>
    <row r="31" spans="1:27" ht="16.149999999999999" customHeight="1" thickBot="1">
      <c r="A31" s="336" t="s">
        <v>399</v>
      </c>
      <c r="B31" s="337"/>
      <c r="C31" s="337"/>
      <c r="D31" s="337"/>
      <c r="E31" s="337"/>
      <c r="F31" s="337"/>
      <c r="G31" s="337"/>
      <c r="H31" s="337"/>
      <c r="I31" s="337"/>
      <c r="J31" s="337"/>
      <c r="K31" s="337"/>
      <c r="L31" s="337"/>
      <c r="M31" s="338"/>
      <c r="N31" s="58"/>
      <c r="O31" s="111"/>
      <c r="P31" s="118"/>
      <c r="Q31" s="118"/>
      <c r="R31" s="118"/>
      <c r="S31" s="175"/>
      <c r="T31" s="175"/>
      <c r="U31" s="58" t="s">
        <v>308</v>
      </c>
      <c r="V31" s="58"/>
      <c r="W31" s="58"/>
      <c r="X31" s="115" t="str">
        <f>IF(AND(X25=X26, X25=X27, X25=X28, X25=X29), "Yes", "No")</f>
        <v>Yes</v>
      </c>
      <c r="Y31" s="58"/>
      <c r="Z31" s="58"/>
      <c r="AA31" s="58"/>
    </row>
    <row r="32" spans="1:27" ht="64.900000000000006" customHeight="1" thickBot="1">
      <c r="A32" s="160"/>
      <c r="B32" s="119" t="s">
        <v>311</v>
      </c>
      <c r="C32" s="120" t="s">
        <v>311</v>
      </c>
      <c r="D32" s="88" t="s">
        <v>312</v>
      </c>
      <c r="E32" s="88" t="s">
        <v>313</v>
      </c>
      <c r="F32" s="88" t="s">
        <v>314</v>
      </c>
      <c r="G32" s="88" t="s">
        <v>315</v>
      </c>
      <c r="H32" s="88" t="s">
        <v>316</v>
      </c>
      <c r="I32" s="120" t="s">
        <v>317</v>
      </c>
      <c r="J32" s="88" t="s">
        <v>318</v>
      </c>
      <c r="K32" s="88" t="s">
        <v>319</v>
      </c>
      <c r="L32" s="88" t="s">
        <v>320</v>
      </c>
      <c r="M32" s="88" t="s">
        <v>321</v>
      </c>
      <c r="N32" s="58"/>
      <c r="O32" s="111"/>
      <c r="P32" s="58"/>
      <c r="Q32" s="58"/>
      <c r="R32" s="58"/>
      <c r="S32" s="175"/>
      <c r="T32" s="175"/>
      <c r="U32" s="348" t="s">
        <v>400</v>
      </c>
      <c r="V32" s="348"/>
      <c r="W32" s="348"/>
      <c r="X32" s="348"/>
      <c r="Y32" s="58"/>
      <c r="Z32" s="58"/>
      <c r="AA32" s="58"/>
    </row>
    <row r="33" spans="1:27" ht="16.149999999999999" customHeight="1">
      <c r="A33" s="121" t="s">
        <v>256</v>
      </c>
      <c r="B33" s="122">
        <v>0</v>
      </c>
      <c r="C33" s="67">
        <f t="shared" ref="C33:C37" si="8">SUM(D33:H33)</f>
        <v>0</v>
      </c>
      <c r="D33" s="205"/>
      <c r="E33" s="205"/>
      <c r="F33" s="205"/>
      <c r="G33" s="205"/>
      <c r="H33" s="205"/>
      <c r="I33" s="67">
        <f>SUM(J33:M33)</f>
        <v>0</v>
      </c>
      <c r="J33" s="205"/>
      <c r="K33" s="205"/>
      <c r="L33" s="205"/>
      <c r="M33" s="205"/>
      <c r="N33" s="58"/>
      <c r="O33" s="111"/>
      <c r="P33" s="58"/>
      <c r="Q33" s="58"/>
      <c r="R33" s="58"/>
      <c r="S33" s="175"/>
      <c r="T33" s="175"/>
      <c r="U33" s="367"/>
      <c r="V33" s="367"/>
      <c r="W33" s="367"/>
      <c r="X33" s="367"/>
      <c r="Y33" s="118"/>
      <c r="Z33" s="118"/>
      <c r="AA33" s="118"/>
    </row>
    <row r="34" spans="1:27" ht="16.149999999999999" customHeight="1">
      <c r="A34" s="121" t="s">
        <v>257</v>
      </c>
      <c r="B34" s="122">
        <v>0</v>
      </c>
      <c r="C34" s="67">
        <f t="shared" si="8"/>
        <v>0</v>
      </c>
      <c r="D34" s="205"/>
      <c r="E34" s="205"/>
      <c r="F34" s="205"/>
      <c r="G34" s="205"/>
      <c r="H34" s="205"/>
      <c r="I34" s="67">
        <f>SUM(J34:M34)</f>
        <v>0</v>
      </c>
      <c r="J34" s="205"/>
      <c r="K34" s="205"/>
      <c r="L34" s="205"/>
      <c r="M34" s="205"/>
      <c r="N34" s="58"/>
      <c r="O34" s="111"/>
      <c r="P34" s="58"/>
      <c r="Q34" s="58"/>
      <c r="R34" s="58"/>
      <c r="S34" s="175"/>
      <c r="T34" s="175"/>
      <c r="U34" s="367"/>
      <c r="V34" s="367"/>
      <c r="W34" s="367"/>
      <c r="X34" s="367"/>
      <c r="Y34" s="58"/>
      <c r="Z34" s="58"/>
      <c r="AA34" s="58"/>
    </row>
    <row r="35" spans="1:27" ht="16.149999999999999" customHeight="1">
      <c r="A35" s="121" t="s">
        <v>258</v>
      </c>
      <c r="B35" s="122">
        <v>0</v>
      </c>
      <c r="C35" s="67">
        <f t="shared" si="8"/>
        <v>0</v>
      </c>
      <c r="D35" s="205"/>
      <c r="E35" s="205"/>
      <c r="F35" s="205"/>
      <c r="G35" s="205"/>
      <c r="H35" s="205"/>
      <c r="I35" s="67">
        <f>SUM(J35:M35)</f>
        <v>0</v>
      </c>
      <c r="J35" s="205"/>
      <c r="K35" s="205"/>
      <c r="L35" s="205"/>
      <c r="M35" s="205"/>
      <c r="N35" s="58"/>
      <c r="O35" s="111"/>
      <c r="P35" s="58"/>
      <c r="Q35" s="58"/>
      <c r="R35" s="58"/>
      <c r="S35" s="175"/>
      <c r="T35" s="175"/>
      <c r="U35" s="367"/>
      <c r="V35" s="367"/>
      <c r="W35" s="367"/>
      <c r="X35" s="367"/>
      <c r="Y35" s="176"/>
      <c r="Z35" s="176"/>
      <c r="AA35" s="176"/>
    </row>
    <row r="36" spans="1:27" ht="16.149999999999999" customHeight="1">
      <c r="A36" s="121" t="s">
        <v>259</v>
      </c>
      <c r="B36" s="122">
        <v>0</v>
      </c>
      <c r="C36" s="67">
        <f t="shared" si="8"/>
        <v>0</v>
      </c>
      <c r="D36" s="205"/>
      <c r="E36" s="205"/>
      <c r="F36" s="205"/>
      <c r="G36" s="205"/>
      <c r="H36" s="205"/>
      <c r="I36" s="67">
        <f>SUM(J36:M36)</f>
        <v>0</v>
      </c>
      <c r="J36" s="205"/>
      <c r="K36" s="205"/>
      <c r="L36" s="205"/>
      <c r="M36" s="205"/>
      <c r="N36" s="58"/>
      <c r="O36" s="111"/>
      <c r="P36" s="113"/>
      <c r="Q36" s="58"/>
      <c r="R36" s="58"/>
      <c r="S36" s="175"/>
      <c r="T36" s="175"/>
      <c r="U36" s="58"/>
      <c r="V36" s="58"/>
      <c r="W36" s="58"/>
      <c r="X36" s="44"/>
      <c r="Y36" s="44"/>
      <c r="Z36" s="58"/>
      <c r="AA36" s="58"/>
    </row>
    <row r="37" spans="1:27" ht="16.149999999999999" customHeight="1" thickBot="1">
      <c r="A37" s="121" t="s">
        <v>260</v>
      </c>
      <c r="B37" s="122">
        <v>0</v>
      </c>
      <c r="C37" s="124">
        <f t="shared" si="8"/>
        <v>0</v>
      </c>
      <c r="D37" s="205"/>
      <c r="E37" s="205"/>
      <c r="F37" s="205"/>
      <c r="G37" s="205"/>
      <c r="H37" s="205"/>
      <c r="I37" s="124">
        <f>SUM(J37:M37)</f>
        <v>0</v>
      </c>
      <c r="J37" s="205"/>
      <c r="K37" s="205"/>
      <c r="L37" s="205"/>
      <c r="M37" s="205"/>
      <c r="N37" s="58"/>
      <c r="O37" s="111"/>
      <c r="P37" s="113"/>
      <c r="Q37" s="58"/>
      <c r="R37" s="58"/>
      <c r="S37" s="175"/>
      <c r="T37" s="175"/>
      <c r="U37" s="58"/>
      <c r="V37" s="58"/>
      <c r="W37" s="58"/>
      <c r="X37" s="113"/>
      <c r="Y37" s="113"/>
      <c r="Z37" s="130"/>
      <c r="AA37" s="131"/>
    </row>
    <row r="38" spans="1:27" ht="16.149999999999999" customHeight="1" thickBot="1">
      <c r="A38" s="125" t="s">
        <v>261</v>
      </c>
      <c r="B38" s="125">
        <v>0</v>
      </c>
      <c r="C38" s="109">
        <f>SUM(C33:C37)</f>
        <v>0</v>
      </c>
      <c r="D38" s="126">
        <f t="shared" ref="D38:M38" si="9">SUM(D33:D37)</f>
        <v>0</v>
      </c>
      <c r="E38" s="127">
        <f t="shared" si="9"/>
        <v>0</v>
      </c>
      <c r="F38" s="127">
        <f t="shared" si="9"/>
        <v>0</v>
      </c>
      <c r="G38" s="127">
        <f t="shared" si="9"/>
        <v>0</v>
      </c>
      <c r="H38" s="127">
        <f t="shared" si="9"/>
        <v>0</v>
      </c>
      <c r="I38" s="128">
        <f t="shared" si="9"/>
        <v>0</v>
      </c>
      <c r="J38" s="126">
        <f t="shared" si="9"/>
        <v>0</v>
      </c>
      <c r="K38" s="127">
        <f t="shared" si="9"/>
        <v>0</v>
      </c>
      <c r="L38" s="127">
        <f t="shared" si="9"/>
        <v>0</v>
      </c>
      <c r="M38" s="128">
        <f t="shared" si="9"/>
        <v>0</v>
      </c>
      <c r="N38" s="58"/>
      <c r="O38" s="111"/>
      <c r="P38" s="58"/>
      <c r="Q38" s="58"/>
      <c r="R38" s="58"/>
      <c r="S38" s="175"/>
      <c r="T38" s="175"/>
      <c r="U38" s="58"/>
      <c r="V38" s="58"/>
      <c r="W38" s="58"/>
      <c r="X38" s="113"/>
      <c r="Y38" s="113"/>
      <c r="Z38" s="130"/>
      <c r="AA38" s="131"/>
    </row>
    <row r="39" spans="1:27" ht="16.149999999999999" customHeight="1">
      <c r="A39" s="129"/>
      <c r="B39" s="129"/>
      <c r="C39" s="129"/>
      <c r="D39" s="129"/>
      <c r="E39" s="129"/>
      <c r="F39" s="129"/>
      <c r="G39" s="129"/>
      <c r="H39" s="129"/>
      <c r="I39" s="129"/>
      <c r="J39" s="129"/>
      <c r="K39" s="129"/>
      <c r="L39" s="129"/>
      <c r="M39" s="58"/>
      <c r="N39" s="58"/>
      <c r="O39" s="111"/>
      <c r="P39" s="58"/>
      <c r="Q39" s="58"/>
      <c r="R39" s="58"/>
      <c r="S39" s="221"/>
      <c r="T39" s="175"/>
      <c r="U39" s="44"/>
      <c r="V39" s="44"/>
      <c r="W39" s="44"/>
      <c r="X39" s="113"/>
      <c r="Y39" s="113"/>
      <c r="Z39" s="132"/>
      <c r="AA39" s="131"/>
    </row>
    <row r="40" spans="1:27" ht="16.149999999999999" customHeight="1" thickBot="1">
      <c r="A40" s="2"/>
      <c r="S40" s="176"/>
      <c r="T40" s="175"/>
      <c r="U40" s="44"/>
      <c r="V40" s="44"/>
      <c r="W40" s="44"/>
      <c r="X40" s="115"/>
      <c r="Y40" s="115"/>
      <c r="Z40" s="130"/>
      <c r="AA40" s="131"/>
    </row>
    <row r="41" spans="1:27" ht="16.149999999999999" customHeight="1" thickBot="1">
      <c r="A41" s="336" t="s">
        <v>399</v>
      </c>
      <c r="B41" s="337"/>
      <c r="C41" s="337"/>
      <c r="D41" s="337"/>
      <c r="E41" s="337"/>
      <c r="F41" s="337"/>
      <c r="G41" s="337"/>
      <c r="H41" s="337"/>
      <c r="I41" s="337"/>
      <c r="J41" s="337"/>
      <c r="K41" s="337"/>
      <c r="L41" s="337"/>
      <c r="M41" s="337"/>
      <c r="N41" s="337"/>
      <c r="O41" s="337"/>
      <c r="P41" s="338"/>
      <c r="S41" s="175"/>
      <c r="T41" s="221"/>
      <c r="U41" s="44"/>
      <c r="V41" s="44"/>
      <c r="W41" s="44"/>
      <c r="X41" s="44"/>
      <c r="Y41" s="58"/>
      <c r="Z41" s="58"/>
      <c r="AA41" s="58"/>
    </row>
    <row r="42" spans="1:27" ht="64.900000000000006" customHeight="1" thickBot="1">
      <c r="A42" s="160"/>
      <c r="B42" s="133" t="s">
        <v>385</v>
      </c>
      <c r="C42" s="134" t="s">
        <v>322</v>
      </c>
      <c r="D42" s="90" t="s">
        <v>323</v>
      </c>
      <c r="E42" s="90" t="s">
        <v>324</v>
      </c>
      <c r="F42" s="90" t="s">
        <v>325</v>
      </c>
      <c r="G42" s="88" t="s">
        <v>326</v>
      </c>
      <c r="H42" s="88" t="s">
        <v>327</v>
      </c>
      <c r="I42" s="134" t="s">
        <v>328</v>
      </c>
      <c r="J42" s="88" t="s">
        <v>329</v>
      </c>
      <c r="K42" s="88" t="s">
        <v>330</v>
      </c>
      <c r="L42" s="88" t="s">
        <v>331</v>
      </c>
      <c r="M42" s="134" t="s">
        <v>332</v>
      </c>
      <c r="N42" s="88" t="s">
        <v>333</v>
      </c>
      <c r="O42" s="88" t="s">
        <v>334</v>
      </c>
      <c r="P42" s="134" t="s">
        <v>335</v>
      </c>
      <c r="S42" s="175"/>
      <c r="T42" s="176"/>
      <c r="U42" s="44"/>
      <c r="V42" s="44"/>
      <c r="W42" s="44"/>
      <c r="X42" s="44"/>
      <c r="Y42" s="58"/>
      <c r="Z42" s="58"/>
      <c r="AA42" s="58"/>
    </row>
    <row r="43" spans="1:27" ht="16.149999999999999" customHeight="1">
      <c r="A43" s="121" t="s">
        <v>256</v>
      </c>
      <c r="B43" s="122">
        <v>0</v>
      </c>
      <c r="C43" s="67">
        <f t="shared" ref="C43:C47" si="10">SUM(D43:H43)</f>
        <v>0</v>
      </c>
      <c r="D43" s="205"/>
      <c r="E43" s="205"/>
      <c r="F43" s="205"/>
      <c r="G43" s="205"/>
      <c r="H43" s="205"/>
      <c r="I43" s="67">
        <f t="shared" ref="I43:I47" si="11">SUM(J43:L43)</f>
        <v>0</v>
      </c>
      <c r="J43" s="205"/>
      <c r="K43" s="205"/>
      <c r="L43" s="205"/>
      <c r="M43" s="67">
        <f t="shared" ref="M43:M47" si="12">SUM(N43:O43)</f>
        <v>0</v>
      </c>
      <c r="N43" s="205"/>
      <c r="O43" s="205"/>
      <c r="P43" s="205"/>
      <c r="Q43" s="58"/>
      <c r="R43" s="58"/>
      <c r="S43" s="175"/>
      <c r="T43" s="175"/>
      <c r="U43" s="44"/>
      <c r="V43" s="44"/>
      <c r="W43" s="44"/>
      <c r="X43" s="44"/>
      <c r="Y43" s="58"/>
      <c r="Z43" s="58"/>
      <c r="AA43" s="58"/>
    </row>
    <row r="44" spans="1:27" ht="16.149999999999999" customHeight="1">
      <c r="A44" s="121" t="s">
        <v>257</v>
      </c>
      <c r="B44" s="122">
        <v>0</v>
      </c>
      <c r="C44" s="67">
        <f t="shared" si="10"/>
        <v>0</v>
      </c>
      <c r="D44" s="205"/>
      <c r="E44" s="205"/>
      <c r="F44" s="205"/>
      <c r="G44" s="205"/>
      <c r="H44" s="205"/>
      <c r="I44" s="67">
        <f t="shared" si="11"/>
        <v>0</v>
      </c>
      <c r="J44" s="205"/>
      <c r="K44" s="205"/>
      <c r="L44" s="205"/>
      <c r="M44" s="67">
        <f t="shared" si="12"/>
        <v>0</v>
      </c>
      <c r="N44" s="205"/>
      <c r="O44" s="205"/>
      <c r="P44" s="205"/>
      <c r="Q44" s="58"/>
      <c r="R44" s="58"/>
      <c r="S44" s="175"/>
      <c r="T44" s="175"/>
      <c r="U44" s="44"/>
      <c r="V44" s="44"/>
      <c r="W44" s="44"/>
      <c r="X44" s="44"/>
      <c r="Y44" s="58"/>
      <c r="Z44" s="58"/>
      <c r="AA44" s="58"/>
    </row>
    <row r="45" spans="1:27" ht="16.149999999999999" customHeight="1">
      <c r="A45" s="121" t="s">
        <v>258</v>
      </c>
      <c r="B45" s="122">
        <v>0</v>
      </c>
      <c r="C45" s="67">
        <f t="shared" si="10"/>
        <v>0</v>
      </c>
      <c r="D45" s="205"/>
      <c r="E45" s="205"/>
      <c r="F45" s="205"/>
      <c r="G45" s="205"/>
      <c r="H45" s="205"/>
      <c r="I45" s="67">
        <f t="shared" si="11"/>
        <v>0</v>
      </c>
      <c r="J45" s="205"/>
      <c r="K45" s="205"/>
      <c r="L45" s="205"/>
      <c r="M45" s="67">
        <f t="shared" si="12"/>
        <v>0</v>
      </c>
      <c r="N45" s="205"/>
      <c r="O45" s="205"/>
      <c r="P45" s="205"/>
      <c r="Q45" s="58"/>
      <c r="R45" s="58"/>
      <c r="S45" s="175"/>
      <c r="T45" s="175"/>
      <c r="U45" s="335"/>
      <c r="V45" s="335"/>
      <c r="W45" s="335"/>
      <c r="X45" s="335"/>
      <c r="Y45" s="335"/>
      <c r="Z45" s="335"/>
      <c r="AA45" s="335"/>
    </row>
    <row r="46" spans="1:27" ht="16.149999999999999" customHeight="1">
      <c r="A46" s="121" t="s">
        <v>259</v>
      </c>
      <c r="B46" s="122">
        <v>0</v>
      </c>
      <c r="C46" s="67">
        <f t="shared" si="10"/>
        <v>0</v>
      </c>
      <c r="D46" s="205"/>
      <c r="E46" s="205"/>
      <c r="F46" s="205"/>
      <c r="G46" s="205"/>
      <c r="H46" s="205"/>
      <c r="I46" s="67">
        <f t="shared" si="11"/>
        <v>0</v>
      </c>
      <c r="J46" s="205"/>
      <c r="K46" s="205"/>
      <c r="L46" s="205"/>
      <c r="M46" s="67">
        <f t="shared" si="12"/>
        <v>0</v>
      </c>
      <c r="N46" s="205"/>
      <c r="O46" s="205"/>
      <c r="P46" s="205"/>
      <c r="Q46" s="58"/>
      <c r="R46" s="58"/>
      <c r="S46" s="175"/>
      <c r="T46" s="175"/>
      <c r="U46" s="335"/>
      <c r="V46" s="335"/>
      <c r="W46" s="335"/>
      <c r="X46" s="335"/>
      <c r="Y46" s="335"/>
      <c r="Z46" s="335"/>
      <c r="AA46" s="335"/>
    </row>
    <row r="47" spans="1:27" ht="16.149999999999999" customHeight="1" thickBot="1">
      <c r="A47" s="136" t="s">
        <v>260</v>
      </c>
      <c r="B47" s="137">
        <v>0</v>
      </c>
      <c r="C47" s="124">
        <f t="shared" si="10"/>
        <v>0</v>
      </c>
      <c r="D47" s="205"/>
      <c r="E47" s="205"/>
      <c r="F47" s="205"/>
      <c r="G47" s="205"/>
      <c r="H47" s="205"/>
      <c r="I47" s="124">
        <f t="shared" si="11"/>
        <v>0</v>
      </c>
      <c r="J47" s="205"/>
      <c r="K47" s="205"/>
      <c r="L47" s="205"/>
      <c r="M47" s="124">
        <f t="shared" si="12"/>
        <v>0</v>
      </c>
      <c r="N47" s="205"/>
      <c r="O47" s="205"/>
      <c r="P47" s="205"/>
      <c r="Q47" s="58"/>
      <c r="R47" s="58"/>
      <c r="S47" s="222"/>
      <c r="T47" s="175"/>
      <c r="U47" s="335"/>
      <c r="V47" s="335"/>
      <c r="W47" s="335"/>
      <c r="X47" s="335"/>
      <c r="Y47" s="335"/>
      <c r="Z47" s="335"/>
      <c r="AA47" s="335"/>
    </row>
    <row r="48" spans="1:27" ht="16.149999999999999" customHeight="1" thickBot="1">
      <c r="A48" s="138" t="s">
        <v>261</v>
      </c>
      <c r="B48" s="139">
        <v>0</v>
      </c>
      <c r="C48" s="266">
        <f>SUM(C43:C47)</f>
        <v>0</v>
      </c>
      <c r="D48" s="140">
        <f t="shared" ref="D48:P48" si="13">SUM(D43:D47)</f>
        <v>0</v>
      </c>
      <c r="E48" s="140">
        <f t="shared" si="13"/>
        <v>0</v>
      </c>
      <c r="F48" s="140">
        <f t="shared" si="13"/>
        <v>0</v>
      </c>
      <c r="G48" s="140">
        <f t="shared" si="13"/>
        <v>0</v>
      </c>
      <c r="H48" s="140">
        <f t="shared" si="13"/>
        <v>0</v>
      </c>
      <c r="I48" s="140">
        <f t="shared" si="13"/>
        <v>0</v>
      </c>
      <c r="J48" s="140">
        <f t="shared" si="13"/>
        <v>0</v>
      </c>
      <c r="K48" s="140">
        <f t="shared" si="13"/>
        <v>0</v>
      </c>
      <c r="L48" s="140">
        <f t="shared" si="13"/>
        <v>0</v>
      </c>
      <c r="M48" s="140">
        <f t="shared" si="13"/>
        <v>0</v>
      </c>
      <c r="N48" s="141">
        <f t="shared" si="13"/>
        <v>0</v>
      </c>
      <c r="O48" s="142">
        <f t="shared" si="13"/>
        <v>0</v>
      </c>
      <c r="P48" s="140">
        <f t="shared" si="13"/>
        <v>0</v>
      </c>
      <c r="Q48" s="58"/>
      <c r="R48" s="58"/>
      <c r="S48" s="222"/>
      <c r="T48" s="175"/>
      <c r="U48" s="349"/>
      <c r="V48" s="349"/>
      <c r="W48" s="349"/>
      <c r="X48" s="349"/>
      <c r="Y48" s="349"/>
      <c r="Z48" s="349"/>
      <c r="AA48" s="349"/>
    </row>
    <row r="49" spans="1:27" ht="16.149999999999999" customHeight="1">
      <c r="A49" s="110"/>
      <c r="B49" s="110"/>
      <c r="C49" s="111"/>
      <c r="D49" s="111"/>
      <c r="E49" s="111"/>
      <c r="F49" s="111"/>
      <c r="G49" s="111"/>
      <c r="H49" s="111"/>
      <c r="I49" s="111"/>
      <c r="J49" s="111"/>
      <c r="K49" s="111"/>
      <c r="L49" s="111"/>
      <c r="M49" s="111"/>
      <c r="N49" s="111"/>
      <c r="O49" s="111"/>
      <c r="P49" s="58"/>
      <c r="Q49" s="58"/>
      <c r="R49" s="58"/>
      <c r="S49" s="222"/>
      <c r="T49" s="175"/>
      <c r="U49" s="349"/>
      <c r="V49" s="349"/>
      <c r="W49" s="349"/>
      <c r="X49" s="349"/>
      <c r="Y49" s="349"/>
      <c r="Z49" s="349"/>
      <c r="AA49" s="349"/>
    </row>
    <row r="50" spans="1:27" ht="16.149999999999999" customHeight="1" thickBot="1">
      <c r="A50" s="110"/>
      <c r="B50" s="110"/>
      <c r="C50" s="144"/>
      <c r="D50" s="144"/>
      <c r="E50" s="144"/>
      <c r="F50" s="144"/>
      <c r="G50" s="144"/>
      <c r="H50" s="144"/>
      <c r="I50" s="144"/>
      <c r="J50" s="144"/>
      <c r="K50" s="144"/>
      <c r="L50" s="144"/>
      <c r="M50" s="144"/>
      <c r="N50" s="144"/>
      <c r="O50" s="144"/>
      <c r="P50" s="58"/>
      <c r="Q50" s="58"/>
      <c r="R50" s="58"/>
      <c r="S50" s="58"/>
      <c r="T50" s="175"/>
      <c r="U50" s="349"/>
      <c r="V50" s="349"/>
      <c r="W50" s="349"/>
      <c r="X50" s="349"/>
      <c r="Y50" s="349"/>
      <c r="Z50" s="349"/>
      <c r="AA50" s="349"/>
    </row>
    <row r="51" spans="1:27" ht="32.65" customHeight="1" thickBot="1">
      <c r="A51" s="325" t="s">
        <v>401</v>
      </c>
      <c r="B51" s="326"/>
      <c r="C51" s="326"/>
      <c r="D51" s="326"/>
      <c r="E51" s="326"/>
      <c r="F51" s="336" t="s">
        <v>402</v>
      </c>
      <c r="G51" s="337"/>
      <c r="H51" s="337"/>
      <c r="I51" s="337"/>
      <c r="J51" s="337"/>
      <c r="K51" s="337"/>
      <c r="L51" s="337"/>
      <c r="M51" s="337"/>
      <c r="N51" s="338"/>
      <c r="O51" s="336" t="s">
        <v>403</v>
      </c>
      <c r="P51" s="337"/>
      <c r="Q51" s="337"/>
      <c r="R51" s="337"/>
      <c r="S51" s="338"/>
      <c r="T51" s="222"/>
      <c r="U51" s="349"/>
      <c r="V51" s="349"/>
      <c r="W51" s="349"/>
      <c r="X51" s="349"/>
      <c r="Y51" s="349"/>
      <c r="Z51" s="349"/>
      <c r="AA51" s="349"/>
    </row>
    <row r="52" spans="1:27" ht="31.15" customHeight="1" thickBot="1">
      <c r="A52" s="196"/>
      <c r="B52" s="145"/>
      <c r="C52" s="238" t="s">
        <v>339</v>
      </c>
      <c r="D52" s="239" t="s">
        <v>340</v>
      </c>
      <c r="E52" s="240" t="s">
        <v>341</v>
      </c>
      <c r="F52" s="238" t="s">
        <v>342</v>
      </c>
      <c r="G52" s="239" t="s">
        <v>343</v>
      </c>
      <c r="H52" s="239" t="s">
        <v>344</v>
      </c>
      <c r="I52" s="239" t="s">
        <v>345</v>
      </c>
      <c r="J52" s="239" t="s">
        <v>346</v>
      </c>
      <c r="K52" s="239" t="s">
        <v>347</v>
      </c>
      <c r="L52" s="239" t="s">
        <v>277</v>
      </c>
      <c r="M52" s="239" t="s">
        <v>348</v>
      </c>
      <c r="N52" s="240" t="s">
        <v>349</v>
      </c>
      <c r="O52" s="238" t="s">
        <v>350</v>
      </c>
      <c r="P52" s="239" t="s">
        <v>351</v>
      </c>
      <c r="Q52" s="239" t="s">
        <v>352</v>
      </c>
      <c r="R52" s="239" t="s">
        <v>277</v>
      </c>
      <c r="S52" s="240" t="s">
        <v>353</v>
      </c>
      <c r="T52" s="222"/>
      <c r="U52" s="349"/>
      <c r="V52" s="349"/>
      <c r="W52" s="349"/>
      <c r="X52" s="349"/>
      <c r="Y52" s="349"/>
      <c r="Z52" s="349"/>
      <c r="AA52" s="349"/>
    </row>
    <row r="53" spans="1:27" ht="16.149999999999999" hidden="1" customHeight="1">
      <c r="A53" s="93"/>
      <c r="B53" s="93"/>
      <c r="C53" s="146" t="s">
        <v>354</v>
      </c>
      <c r="D53" s="94" t="s">
        <v>355</v>
      </c>
      <c r="E53" s="146" t="s">
        <v>356</v>
      </c>
      <c r="F53" s="147" t="s">
        <v>357</v>
      </c>
      <c r="G53" s="96" t="s">
        <v>358</v>
      </c>
      <c r="H53" s="94" t="s">
        <v>359</v>
      </c>
      <c r="I53" s="96" t="s">
        <v>360</v>
      </c>
      <c r="J53" s="94" t="s">
        <v>361</v>
      </c>
      <c r="K53" s="96" t="s">
        <v>362</v>
      </c>
      <c r="L53" s="94" t="s">
        <v>363</v>
      </c>
      <c r="M53" s="96" t="s">
        <v>364</v>
      </c>
      <c r="N53" s="148" t="s">
        <v>365</v>
      </c>
      <c r="O53" s="148" t="s">
        <v>366</v>
      </c>
      <c r="P53" s="94" t="s">
        <v>367</v>
      </c>
      <c r="Q53" s="94" t="s">
        <v>368</v>
      </c>
      <c r="R53" s="96" t="s">
        <v>370</v>
      </c>
      <c r="S53" s="96" t="s">
        <v>370</v>
      </c>
      <c r="T53" s="222"/>
      <c r="U53" s="222"/>
      <c r="V53" s="222"/>
      <c r="W53" s="222"/>
      <c r="X53" s="222"/>
      <c r="Y53" s="222"/>
      <c r="Z53" s="222"/>
      <c r="AA53" s="222"/>
    </row>
    <row r="54" spans="1:27" ht="16.149999999999999" customHeight="1">
      <c r="A54" s="152" t="s">
        <v>256</v>
      </c>
      <c r="B54" s="101" t="s">
        <v>290</v>
      </c>
      <c r="C54" s="205"/>
      <c r="D54" s="205"/>
      <c r="E54" s="205"/>
      <c r="F54" s="205"/>
      <c r="G54" s="205"/>
      <c r="H54" s="205"/>
      <c r="I54" s="205"/>
      <c r="J54" s="205"/>
      <c r="K54" s="205"/>
      <c r="L54" s="205"/>
      <c r="M54" s="205"/>
      <c r="N54" s="205"/>
      <c r="O54" s="205"/>
      <c r="P54" s="205"/>
      <c r="Q54" s="205"/>
      <c r="R54" s="205"/>
      <c r="S54" s="205"/>
      <c r="T54" s="58"/>
      <c r="U54" s="58"/>
      <c r="V54" s="58"/>
      <c r="W54" s="58"/>
      <c r="X54" s="58"/>
      <c r="Y54" s="58"/>
      <c r="Z54" s="222"/>
      <c r="AA54" s="222"/>
    </row>
    <row r="55" spans="1:27" ht="16.149999999999999" customHeight="1">
      <c r="A55" s="152" t="s">
        <v>257</v>
      </c>
      <c r="B55" s="101" t="s">
        <v>291</v>
      </c>
      <c r="C55" s="205"/>
      <c r="D55" s="205"/>
      <c r="E55" s="205"/>
      <c r="F55" s="205"/>
      <c r="G55" s="205"/>
      <c r="H55" s="205"/>
      <c r="I55" s="205"/>
      <c r="J55" s="205"/>
      <c r="K55" s="205"/>
      <c r="L55" s="205"/>
      <c r="M55" s="205"/>
      <c r="N55" s="205"/>
      <c r="O55" s="205"/>
      <c r="P55" s="205"/>
      <c r="Q55" s="205"/>
      <c r="R55" s="205"/>
      <c r="S55" s="205"/>
      <c r="T55" s="44"/>
      <c r="U55" s="44"/>
      <c r="V55" s="44"/>
      <c r="W55" s="44"/>
      <c r="X55" s="44"/>
      <c r="Y55" s="44"/>
      <c r="Z55" s="222"/>
      <c r="AA55" s="222"/>
    </row>
    <row r="56" spans="1:27" ht="16.149999999999999" customHeight="1">
      <c r="A56" s="152" t="s">
        <v>258</v>
      </c>
      <c r="B56" s="101" t="s">
        <v>292</v>
      </c>
      <c r="C56" s="205"/>
      <c r="D56" s="205"/>
      <c r="E56" s="205"/>
      <c r="F56" s="205"/>
      <c r="G56" s="205"/>
      <c r="H56" s="205"/>
      <c r="I56" s="205"/>
      <c r="J56" s="205"/>
      <c r="K56" s="205"/>
      <c r="L56" s="205"/>
      <c r="M56" s="205"/>
      <c r="N56" s="205"/>
      <c r="O56" s="205"/>
      <c r="P56" s="205"/>
      <c r="Q56" s="205"/>
      <c r="R56" s="205"/>
      <c r="S56" s="205"/>
      <c r="T56" s="52"/>
      <c r="U56" s="52"/>
      <c r="V56" s="52"/>
      <c r="W56" s="52"/>
      <c r="X56" s="52"/>
      <c r="Y56" s="52"/>
      <c r="Z56" s="222"/>
      <c r="AA56" s="222"/>
    </row>
    <row r="57" spans="1:27" ht="16.149999999999999" customHeight="1">
      <c r="A57" s="152" t="s">
        <v>259</v>
      </c>
      <c r="B57" s="101" t="s">
        <v>293</v>
      </c>
      <c r="C57" s="205"/>
      <c r="D57" s="205"/>
      <c r="E57" s="205"/>
      <c r="F57" s="205"/>
      <c r="G57" s="205"/>
      <c r="H57" s="205"/>
      <c r="I57" s="205"/>
      <c r="J57" s="205"/>
      <c r="K57" s="205"/>
      <c r="L57" s="205"/>
      <c r="M57" s="205"/>
      <c r="N57" s="205"/>
      <c r="O57" s="205"/>
      <c r="P57" s="205"/>
      <c r="Q57" s="205"/>
      <c r="R57" s="205"/>
      <c r="S57" s="205"/>
      <c r="T57" s="58"/>
      <c r="U57" s="58"/>
      <c r="V57" s="58"/>
      <c r="W57" s="58"/>
      <c r="X57" s="58"/>
      <c r="Y57" s="58"/>
      <c r="Z57" s="222"/>
      <c r="AA57" s="222"/>
    </row>
    <row r="58" spans="1:27" ht="16.149999999999999" customHeight="1" thickBot="1">
      <c r="A58" s="153" t="s">
        <v>260</v>
      </c>
      <c r="B58" s="102" t="s">
        <v>294</v>
      </c>
      <c r="C58" s="205"/>
      <c r="D58" s="205"/>
      <c r="E58" s="205"/>
      <c r="F58" s="205"/>
      <c r="G58" s="205"/>
      <c r="H58" s="205"/>
      <c r="I58" s="205"/>
      <c r="J58" s="205"/>
      <c r="K58" s="205"/>
      <c r="L58" s="205"/>
      <c r="M58" s="205"/>
      <c r="N58" s="205"/>
      <c r="O58" s="205"/>
      <c r="P58" s="205"/>
      <c r="Q58" s="205"/>
      <c r="R58" s="205"/>
      <c r="S58" s="205"/>
      <c r="T58" s="58"/>
      <c r="U58" s="58"/>
      <c r="V58" s="58"/>
      <c r="W58" s="58"/>
      <c r="X58" s="58"/>
      <c r="Y58" s="58"/>
      <c r="Z58" s="222"/>
      <c r="AA58" s="222"/>
    </row>
    <row r="59" spans="1:27" ht="16.149999999999999" customHeight="1" thickBot="1">
      <c r="A59" s="138" t="s">
        <v>261</v>
      </c>
      <c r="B59" s="139">
        <v>0</v>
      </c>
      <c r="C59" s="266">
        <f>SUM(C54:C58)</f>
        <v>0</v>
      </c>
      <c r="D59" s="266">
        <f t="shared" ref="D59:S59" si="14">SUM(D54:D58)</f>
        <v>0</v>
      </c>
      <c r="E59" s="266">
        <f t="shared" si="14"/>
        <v>0</v>
      </c>
      <c r="F59" s="266">
        <f t="shared" si="14"/>
        <v>0</v>
      </c>
      <c r="G59" s="266">
        <f t="shared" si="14"/>
        <v>0</v>
      </c>
      <c r="H59" s="266">
        <f t="shared" si="14"/>
        <v>0</v>
      </c>
      <c r="I59" s="266">
        <f t="shared" si="14"/>
        <v>0</v>
      </c>
      <c r="J59" s="266">
        <f t="shared" si="14"/>
        <v>0</v>
      </c>
      <c r="K59" s="266">
        <f t="shared" si="14"/>
        <v>0</v>
      </c>
      <c r="L59" s="266">
        <f t="shared" si="14"/>
        <v>0</v>
      </c>
      <c r="M59" s="266">
        <f t="shared" si="14"/>
        <v>0</v>
      </c>
      <c r="N59" s="266">
        <f t="shared" si="14"/>
        <v>0</v>
      </c>
      <c r="O59" s="266">
        <f t="shared" si="14"/>
        <v>0</v>
      </c>
      <c r="P59" s="266">
        <f t="shared" si="14"/>
        <v>0</v>
      </c>
      <c r="Q59" s="266">
        <f t="shared" si="14"/>
        <v>0</v>
      </c>
      <c r="R59" s="266">
        <f t="shared" si="14"/>
        <v>0</v>
      </c>
      <c r="S59" s="266">
        <f t="shared" si="14"/>
        <v>0</v>
      </c>
      <c r="T59" s="58"/>
      <c r="U59" s="58"/>
      <c r="V59" s="58"/>
      <c r="W59" s="58"/>
      <c r="X59" s="58"/>
      <c r="Y59" s="58"/>
      <c r="Z59" s="222"/>
      <c r="AA59" s="222"/>
    </row>
    <row r="60" spans="1:27" ht="16.149999999999999" customHeight="1">
      <c r="A60" s="222"/>
      <c r="B60" s="222"/>
      <c r="C60" s="223"/>
      <c r="D60" s="223"/>
      <c r="E60" s="223"/>
      <c r="F60" s="223"/>
      <c r="G60" s="223"/>
      <c r="H60" s="223"/>
      <c r="I60" s="223"/>
      <c r="J60" s="223"/>
      <c r="K60" s="223"/>
      <c r="L60" s="223"/>
      <c r="M60" s="223"/>
      <c r="N60" s="223"/>
      <c r="O60" s="223"/>
      <c r="P60" s="222"/>
      <c r="Q60" s="222"/>
      <c r="R60" s="222"/>
      <c r="S60" s="222"/>
      <c r="T60" s="58"/>
      <c r="U60" s="58"/>
      <c r="V60" s="58"/>
      <c r="W60" s="58"/>
      <c r="X60" s="58"/>
      <c r="Y60" s="58"/>
      <c r="Z60" s="222"/>
      <c r="AA60" s="222"/>
    </row>
    <row r="61" spans="1:27" ht="16.149999999999999" customHeight="1">
      <c r="A61" s="222"/>
      <c r="B61" s="222"/>
      <c r="C61" s="223"/>
      <c r="D61" s="223"/>
      <c r="E61" s="223"/>
      <c r="F61" s="223"/>
      <c r="G61" s="223"/>
      <c r="H61" s="223"/>
      <c r="I61" s="223"/>
      <c r="J61" s="223"/>
      <c r="K61" s="223"/>
      <c r="L61" s="223"/>
      <c r="M61" s="223"/>
      <c r="N61" s="223"/>
      <c r="O61" s="223"/>
      <c r="P61" s="222"/>
      <c r="Q61" s="222"/>
      <c r="R61" s="222"/>
      <c r="S61" s="222"/>
      <c r="T61" s="58"/>
      <c r="U61" s="58"/>
      <c r="V61" s="58"/>
      <c r="W61" s="58"/>
      <c r="X61" s="58"/>
      <c r="Y61" s="58"/>
      <c r="Z61" s="222"/>
      <c r="AA61" s="222"/>
    </row>
    <row r="62" spans="1:27" ht="16.149999999999999" customHeight="1"/>
    <row r="63" spans="1:27" ht="16.149999999999999" customHeight="1"/>
    <row r="64" spans="1:27"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sheetData>
  <sheetProtection selectLockedCells="1"/>
  <mergeCells count="20">
    <mergeCell ref="U48:AA52"/>
    <mergeCell ref="A51:E51"/>
    <mergeCell ref="F51:N51"/>
    <mergeCell ref="O51:S51"/>
    <mergeCell ref="C20:G20"/>
    <mergeCell ref="H20:L20"/>
    <mergeCell ref="M20:Q20"/>
    <mergeCell ref="A31:M31"/>
    <mergeCell ref="U32:X32"/>
    <mergeCell ref="U33:X35"/>
    <mergeCell ref="A41:P41"/>
    <mergeCell ref="U45:AA47"/>
    <mergeCell ref="B2:G2"/>
    <mergeCell ref="A8:AA8"/>
    <mergeCell ref="C9:G9"/>
    <mergeCell ref="H9:L9"/>
    <mergeCell ref="M9:Q9"/>
    <mergeCell ref="R9:V9"/>
    <mergeCell ref="W9:AA9"/>
    <mergeCell ref="A5:Q5"/>
  </mergeCells>
  <conditionalFormatting sqref="X25:X31">
    <cfRule type="duplicateValues" dxfId="21" priority="3"/>
  </conditionalFormatting>
  <conditionalFormatting sqref="X31">
    <cfRule type="containsText" dxfId="20" priority="1" operator="containsText" text="No">
      <formula>NOT(ISERROR(SEARCH("No",X31)))</formula>
    </cfRule>
    <cfRule type="containsText" dxfId="19" priority="2" operator="containsText" text="Yes">
      <formula>NOT(ISERROR(SEARCH("Yes",X31)))</formula>
    </cfRule>
  </conditionalFormatting>
  <dataValidations count="2">
    <dataValidation errorStyle="warning" operator="lessThanOrEqual" allowBlank="1" showInputMessage="1" showErrorMessage="1" errorTitle="Large number" error="The number you entered is very large or non numeric, is this correct?" sqref="AB1:XFD1048576 A62:AA1048576 A1:A7 R1:AA7 B1:Q4 B6:Q7" xr:uid="{558B846E-E27F-4879-8C6D-A0CD9E639374}"/>
    <dataValidation type="whole" allowBlank="1" showInputMessage="1" showErrorMessage="1" errorTitle="Error" error="Please enter a whole number greater than zero and less than 10,000." sqref="AA12:AA17 N43:P47 C12:F16 L12:L17 G12:G17 M12:P16 H12:K16 R12:U16 Q12:Q17 V12:V17 Q23:Q28 L23:L28 H23:K27 C23:F27 W12:Z16 G23:G28 M23:P27 D33:H37 J33:M37 D43:H47 J43:L47 C54:S58" xr:uid="{8FA8AFE7-F962-4F81-A836-C66C1248DE9A}">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180BC-7108-4DDA-A681-12406ED80E2B}">
  <sheetPr codeName="Sheet12">
    <tabColor rgb="FFFF0000"/>
  </sheetPr>
  <dimension ref="A4:E27"/>
  <sheetViews>
    <sheetView workbookViewId="0">
      <selection activeCell="E16" sqref="E16"/>
    </sheetView>
  </sheetViews>
  <sheetFormatPr defaultRowHeight="12.75"/>
  <cols>
    <col min="1" max="1" width="66.42578125" bestFit="1" customWidth="1"/>
    <col min="2" max="2" width="15.140625" bestFit="1" customWidth="1"/>
    <col min="3" max="3" width="12.5703125" bestFit="1" customWidth="1"/>
    <col min="4" max="4" width="13.85546875" bestFit="1" customWidth="1"/>
    <col min="5" max="5" width="14.7109375" bestFit="1" customWidth="1"/>
    <col min="6" max="6" width="14.28515625" bestFit="1" customWidth="1"/>
    <col min="7" max="7" width="12.85546875" bestFit="1" customWidth="1"/>
  </cols>
  <sheetData>
    <row r="4" spans="1:5">
      <c r="C4" s="252" t="s">
        <v>404</v>
      </c>
      <c r="D4" s="253" t="str">
        <f>VLOOKUP(Cover!A6,Cover!B319:D331,2,FALSE)</f>
        <v>2024/25</v>
      </c>
      <c r="E4" s="254" t="str">
        <f>Cover!A10</f>
        <v>Shropshire</v>
      </c>
    </row>
    <row r="7" spans="1:5">
      <c r="B7" t="s">
        <v>261</v>
      </c>
    </row>
    <row r="8" spans="1:5">
      <c r="A8" t="s">
        <v>136</v>
      </c>
      <c r="B8" cm="1">
        <f t="array" ref="B8">SUMPRODUCT(('LE - PY data'!$A$2:$A$10000='LE4a PY'!$C$4)*('LE - PY data'!$B$2:$B$10000='LE4a PY'!$D$4)*('LE - PY data'!$C$2:$C$10000='LE4a PY'!$E$4)*('LE - PY data'!$F$2:$F$10000='LE4a PY'!$A8)*('LE - PY data'!$G$2:$G$10000))</f>
        <v>0</v>
      </c>
    </row>
    <row r="9" spans="1:5">
      <c r="A9" t="s">
        <v>137</v>
      </c>
      <c r="B9" cm="1">
        <f t="array" ref="B9">SUMPRODUCT(('LE - PY data'!$A$2:$A$10000='LE4a PY'!$C$4)*('LE - PY data'!$B$2:$B$10000='LE4a PY'!$D$4)*('LE - PY data'!$C$2:$C$10000='LE4a PY'!$E$4)*('LE - PY data'!$F$2:$F$10000='LE4a PY'!$A9)*('LE - PY data'!$G$2:$G$10000))</f>
        <v>0</v>
      </c>
    </row>
    <row r="10" spans="1:5">
      <c r="A10" t="s">
        <v>262</v>
      </c>
      <c r="B10" cm="1">
        <f t="array" ref="B10">SUMPRODUCT(('LE - PY data'!$A$2:$A$10000='LE4a PY'!$C$4)*('LE - PY data'!$B$2:$B$10000='LE4a PY'!$D$4)*('LE - PY data'!$C$2:$C$10000='LE4a PY'!$E$4)*('LE - PY data'!$F$2:$F$10000='LE4a PY'!$A10)*('LE - PY data'!$G$2:$G$10000))</f>
        <v>0</v>
      </c>
    </row>
    <row r="11" spans="1:5">
      <c r="A11" t="s">
        <v>139</v>
      </c>
      <c r="B11" cm="1">
        <f t="array" ref="B11">SUMPRODUCT(('LE - PY data'!$A$2:$A$10000='LE4a PY'!$C$4)*('LE - PY data'!$B$2:$B$10000='LE4a PY'!$D$4)*('LE - PY data'!$C$2:$C$10000='LE4a PY'!$E$4)*('LE - PY data'!$F$2:$F$10000='LE4a PY'!$A11)*('LE - PY data'!$G$2:$G$10000))</f>
        <v>0</v>
      </c>
    </row>
    <row r="12" spans="1:5">
      <c r="A12" t="s">
        <v>140</v>
      </c>
      <c r="B12" cm="1">
        <f t="array" ref="B12">SUMPRODUCT(('LE - PY data'!$A$2:$A$10000='LE4a PY'!$C$4)*('LE - PY data'!$B$2:$B$10000='LE4a PY'!$D$4)*('LE - PY data'!$C$2:$C$10000='LE4a PY'!$E$4)*('LE - PY data'!$F$2:$F$10000='LE4a PY'!$A12)*('LE - PY data'!$G$2:$G$10000))</f>
        <v>0</v>
      </c>
    </row>
    <row r="13" spans="1:5">
      <c r="A13" t="s">
        <v>141</v>
      </c>
      <c r="B13" cm="1">
        <f t="array" ref="B13">SUMPRODUCT(('LE - PY data'!$A$2:$A$10000='LE4a PY'!$C$4)*('LE - PY data'!$B$2:$B$10000='LE4a PY'!$D$4)*('LE - PY data'!$C$2:$C$10000='LE4a PY'!$E$4)*('LE - PY data'!$F$2:$F$10000='LE4a PY'!$A13)*('LE - PY data'!$G$2:$G$10000))</f>
        <v>0</v>
      </c>
    </row>
    <row r="14" spans="1:5">
      <c r="A14" t="s">
        <v>263</v>
      </c>
      <c r="B14" cm="1">
        <f t="array" ref="B14">SUMPRODUCT(('LE - PY data'!$A$2:$A$10000='LE4a PY'!$C$4)*('LE - PY data'!$B$2:$B$10000='LE4a PY'!$D$4)*('LE - PY data'!$C$2:$C$10000='LE4a PY'!$E$4)*('LE - PY data'!$F$2:$F$10000='LE4a PY'!$A14)*('LE - PY data'!$G$2:$G$10000))</f>
        <v>0</v>
      </c>
    </row>
    <row r="15" spans="1:5">
      <c r="A15" t="s">
        <v>145</v>
      </c>
      <c r="B15" cm="1">
        <f t="array" ref="B15">SUMPRODUCT(('LE - PY data'!$A$2:$A$10000='LE4a PY'!$C$4)*('LE - PY data'!$B$2:$B$10000='LE4a PY'!$D$4)*('LE - PY data'!$C$2:$C$10000='LE4a PY'!$E$4)*('LE - PY data'!$F$2:$F$10000='LE4a PY'!$A15)*('LE - PY data'!$G$2:$G$10000))</f>
        <v>0</v>
      </c>
    </row>
    <row r="16" spans="1:5">
      <c r="A16" t="s">
        <v>146</v>
      </c>
      <c r="B16" cm="1">
        <f t="array" ref="B16">SUMPRODUCT(('LE - PY data'!$A$2:$A$10000='LE4a PY'!$C$4)*('LE - PY data'!$B$2:$B$10000='LE4a PY'!$D$4)*('LE - PY data'!$C$2:$C$10000='LE4a PY'!$E$4)*('LE - PY data'!$F$2:$F$10000='LE4a PY'!$A16)*('LE - PY data'!$G$2:$G$10000))</f>
        <v>0</v>
      </c>
    </row>
    <row r="17" spans="1:2">
      <c r="A17" t="s">
        <v>264</v>
      </c>
      <c r="B17" cm="1">
        <f t="array" ref="B17">SUMPRODUCT(('LE - PY data'!$A$2:$A$10000='LE4a PY'!$C$4)*('LE - PY data'!$B$2:$B$10000='LE4a PY'!$D$4)*('LE - PY data'!$C$2:$C$10000='LE4a PY'!$E$4)*('LE - PY data'!$F$2:$F$10000='LE4a PY'!$A17)*('LE - PY data'!$G$2:$G$10000))</f>
        <v>0</v>
      </c>
    </row>
    <row r="18" spans="1:2">
      <c r="A18" t="s">
        <v>147</v>
      </c>
      <c r="B18" cm="1">
        <f t="array" ref="B18">SUMPRODUCT(('LE - PY data'!$A$2:$A$10000='LE4a PY'!$C$4)*('LE - PY data'!$B$2:$B$10000='LE4a PY'!$D$4)*('LE - PY data'!$C$2:$C$10000='LE4a PY'!$E$4)*('LE - PY data'!$F$2:$F$10000='LE4a PY'!$A18)*('LE - PY data'!$G$2:$G$10000))</f>
        <v>0</v>
      </c>
    </row>
    <row r="19" spans="1:2">
      <c r="A19" t="s">
        <v>148</v>
      </c>
      <c r="B19" cm="1">
        <f t="array" ref="B19">SUMPRODUCT(('LE - PY data'!$A$2:$A$10000='LE4a PY'!$C$4)*('LE - PY data'!$B$2:$B$10000='LE4a PY'!$D$4)*('LE - PY data'!$C$2:$C$10000='LE4a PY'!$E$4)*('LE - PY data'!$F$2:$F$10000='LE4a PY'!$A19)*('LE - PY data'!$G$2:$G$10000))</f>
        <v>0</v>
      </c>
    </row>
    <row r="20" spans="1:2">
      <c r="A20" t="s">
        <v>265</v>
      </c>
      <c r="B20" cm="1">
        <f t="array" ref="B20">SUMPRODUCT(('LE - PY data'!$A$2:$A$10000='LE4a PY'!$C$4)*('LE - PY data'!$B$2:$B$10000='LE4a PY'!$D$4)*('LE - PY data'!$C$2:$C$10000='LE4a PY'!$E$4)*('LE - PY data'!$F$2:$F$10000='LE4a PY'!$A20)*('LE - PY data'!$G$2:$G$10000))</f>
        <v>0</v>
      </c>
    </row>
    <row r="21" spans="1:2">
      <c r="A21" t="s">
        <v>149</v>
      </c>
      <c r="B21" cm="1">
        <f t="array" ref="B21">SUMPRODUCT(('LE - PY data'!$A$2:$A$10000='LE4a PY'!$C$4)*('LE - PY data'!$B$2:$B$10000='LE4a PY'!$D$4)*('LE - PY data'!$C$2:$C$10000='LE4a PY'!$E$4)*('LE - PY data'!$F$2:$F$10000='LE4a PY'!$A21)*('LE - PY data'!$G$2:$G$10000))</f>
        <v>0</v>
      </c>
    </row>
    <row r="22" spans="1:2">
      <c r="A22" t="s">
        <v>150</v>
      </c>
      <c r="B22" cm="1">
        <f t="array" ref="B22">SUMPRODUCT(('LE - PY data'!$A$2:$A$10000='LE4a PY'!$C$4)*('LE - PY data'!$B$2:$B$10000='LE4a PY'!$D$4)*('LE - PY data'!$C$2:$C$10000='LE4a PY'!$E$4)*('LE - PY data'!$F$2:$F$10000='LE4a PY'!$A22)*('LE - PY data'!$G$2:$G$10000))</f>
        <v>0</v>
      </c>
    </row>
    <row r="23" spans="1:2">
      <c r="A23" t="s">
        <v>266</v>
      </c>
      <c r="B23" cm="1">
        <f t="array" ref="B23">SUMPRODUCT(('LE - PY data'!$A$2:$A$10000='LE4a PY'!$C$4)*('LE - PY data'!$B$2:$B$10000='LE4a PY'!$D$4)*('LE - PY data'!$C$2:$C$10000='LE4a PY'!$E$4)*('LE - PY data'!$F$2:$F$10000='LE4a PY'!$A23)*('LE - PY data'!$G$2:$G$10000))</f>
        <v>0</v>
      </c>
    </row>
    <row r="24" spans="1:2">
      <c r="A24" t="s">
        <v>151</v>
      </c>
      <c r="B24" cm="1">
        <f t="array" ref="B24">SUMPRODUCT(('LE - PY data'!$A$2:$A$10000='LE4a PY'!$C$4)*('LE - PY data'!$B$2:$B$10000='LE4a PY'!$D$4)*('LE - PY data'!$C$2:$C$10000='LE4a PY'!$E$4)*('LE - PY data'!$F$2:$F$10000='LE4a PY'!$A24)*('LE - PY data'!$G$2:$G$10000))</f>
        <v>0</v>
      </c>
    </row>
    <row r="25" spans="1:2">
      <c r="A25" t="s">
        <v>152</v>
      </c>
      <c r="B25" cm="1">
        <f t="array" ref="B25">SUMPRODUCT(('LE - PY data'!$A$2:$A$10000='LE4a PY'!$C$4)*('LE - PY data'!$B$2:$B$10000='LE4a PY'!$D$4)*('LE - PY data'!$C$2:$C$10000='LE4a PY'!$E$4)*('LE - PY data'!$F$2:$F$10000='LE4a PY'!$A25)*('LE - PY data'!$G$2:$G$10000))</f>
        <v>0</v>
      </c>
    </row>
    <row r="26" spans="1:2">
      <c r="A26" t="s">
        <v>153</v>
      </c>
      <c r="B26" cm="1">
        <f t="array" ref="B26">SUMPRODUCT(('LE - PY data'!$A$2:$A$10000='LE4a PY'!$C$4)*('LE - PY data'!$B$2:$B$10000='LE4a PY'!$D$4)*('LE - PY data'!$C$2:$C$10000='LE4a PY'!$E$4)*('LE - PY data'!$F$2:$F$10000='LE4a PY'!$A26)*('LE - PY data'!$G$2:$G$10000))</f>
        <v>0</v>
      </c>
    </row>
    <row r="27" spans="1:2">
      <c r="A27" t="s">
        <v>261</v>
      </c>
      <c r="B27" cm="1">
        <f t="array" ref="B27">SUMPRODUCT(('LE - PY data'!$A$2:$A$10000='LE4a PY'!$C$4)*('LE - PY data'!$B$2:$B$10000='LE4a PY'!$D$4)*('LE - PY data'!$C$2:$C$10000='LE4a PY'!$E$4)*('LE - PY data'!$G$2:$G$10000))</f>
        <v>0</v>
      </c>
    </row>
  </sheetData>
  <pageMargins left="0.7" right="0.7" top="0.75" bottom="0.75" header="0.3" footer="0.3"/>
  <headerFooter>
    <oddHeader>&amp;C&amp;"Aptos"&amp;10&amp;K000000 OFFICIAL&amp;1#_x000D_</oddHeader>
    <oddFooter>&amp;C_x000D_&amp;1#&amp;"Aptos"&amp;10&amp;K000000 OFFICIAL</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2:G30"/>
  <sheetViews>
    <sheetView showGridLines="0" topLeftCell="A3" zoomScale="80" zoomScaleNormal="80" workbookViewId="0">
      <selection activeCell="B8" sqref="B8:B9"/>
    </sheetView>
  </sheetViews>
  <sheetFormatPr defaultColWidth="24.28515625" defaultRowHeight="27" customHeight="1"/>
  <cols>
    <col min="1" max="1" width="73.5703125" style="1" bestFit="1" customWidth="1"/>
    <col min="2" max="2" width="17.5703125" style="2" customWidth="1"/>
    <col min="3" max="21" width="24.28515625" style="2" customWidth="1"/>
    <col min="22" max="16384" width="24.28515625" style="2"/>
  </cols>
  <sheetData>
    <row r="2" spans="1:4" ht="36" customHeight="1">
      <c r="B2" s="77"/>
    </row>
    <row r="3" spans="1:4" ht="33.75" customHeight="1"/>
    <row r="4" spans="1:4" ht="13.5" customHeight="1" thickBot="1">
      <c r="A4" s="3"/>
      <c r="B4" s="4"/>
    </row>
    <row r="5" spans="1:4" ht="18.75" customHeight="1" thickBot="1">
      <c r="A5" s="316" t="s">
        <v>405</v>
      </c>
      <c r="B5" s="318"/>
    </row>
    <row r="6" spans="1:4" customFormat="1" ht="13.5" thickBot="1"/>
    <row r="7" spans="1:4" ht="38.25" customHeight="1" thickBot="1">
      <c r="A7" s="60"/>
      <c r="B7" s="27" t="s">
        <v>406</v>
      </c>
      <c r="C7" s="4"/>
      <c r="D7" s="4"/>
    </row>
    <row r="8" spans="1:4" ht="23.25" customHeight="1">
      <c r="A8" s="10" t="s">
        <v>136</v>
      </c>
      <c r="B8" s="54"/>
    </row>
    <row r="9" spans="1:4" ht="23.25" customHeight="1" thickBot="1">
      <c r="A9" s="24" t="s">
        <v>407</v>
      </c>
      <c r="B9" s="55"/>
    </row>
    <row r="10" spans="1:4" ht="23.25" customHeight="1" thickBot="1">
      <c r="A10" s="23" t="s">
        <v>262</v>
      </c>
      <c r="B10" s="13">
        <f>SUM(B8:B9)</f>
        <v>0</v>
      </c>
      <c r="C10" s="83"/>
    </row>
    <row r="11" spans="1:4" ht="23.25" customHeight="1">
      <c r="A11" s="22" t="s">
        <v>139</v>
      </c>
      <c r="B11" s="54"/>
      <c r="C11"/>
    </row>
    <row r="12" spans="1:4" ht="23.25" customHeight="1">
      <c r="A12" s="22" t="s">
        <v>140</v>
      </c>
      <c r="B12" s="56"/>
      <c r="C12"/>
    </row>
    <row r="13" spans="1:4" ht="23.25" customHeight="1" thickBot="1">
      <c r="A13" s="24" t="s">
        <v>141</v>
      </c>
      <c r="B13" s="55"/>
      <c r="C13"/>
    </row>
    <row r="14" spans="1:4" ht="23.25" customHeight="1" thickBot="1">
      <c r="A14" s="23" t="s">
        <v>263</v>
      </c>
      <c r="B14" s="13">
        <f>SUM(B11:B13)</f>
        <v>0</v>
      </c>
      <c r="C14" s="83"/>
    </row>
    <row r="15" spans="1:4" ht="23.25" customHeight="1">
      <c r="A15" s="22" t="s">
        <v>145</v>
      </c>
      <c r="B15" s="54"/>
      <c r="C15" s="84"/>
    </row>
    <row r="16" spans="1:4" ht="23.25" customHeight="1" thickBot="1">
      <c r="A16" s="20" t="s">
        <v>146</v>
      </c>
      <c r="B16" s="55"/>
    </row>
    <row r="17" spans="1:7" ht="23.25" customHeight="1" thickBot="1">
      <c r="A17" s="23" t="s">
        <v>264</v>
      </c>
      <c r="B17" s="13">
        <f>SUM(B15:B16)</f>
        <v>0</v>
      </c>
    </row>
    <row r="18" spans="1:7" ht="23.25" customHeight="1">
      <c r="A18" s="22" t="s">
        <v>147</v>
      </c>
      <c r="B18" s="54"/>
    </row>
    <row r="19" spans="1:7" ht="23.25" customHeight="1" thickBot="1">
      <c r="A19" s="20" t="s">
        <v>148</v>
      </c>
      <c r="B19" s="55"/>
    </row>
    <row r="20" spans="1:7" ht="23.25" customHeight="1" thickBot="1">
      <c r="A20" s="23" t="s">
        <v>265</v>
      </c>
      <c r="B20" s="13">
        <f>SUM(B18:B19)</f>
        <v>0</v>
      </c>
    </row>
    <row r="21" spans="1:7" ht="23.25" customHeight="1">
      <c r="A21" s="22" t="s">
        <v>149</v>
      </c>
      <c r="B21" s="54"/>
    </row>
    <row r="22" spans="1:7" ht="23.25" customHeight="1" thickBot="1">
      <c r="A22" s="20" t="s">
        <v>150</v>
      </c>
      <c r="B22" s="55"/>
    </row>
    <row r="23" spans="1:7" ht="23.25" customHeight="1" thickBot="1">
      <c r="A23" s="23" t="s">
        <v>266</v>
      </c>
      <c r="B23" s="13">
        <f>SUM(B21:B22)</f>
        <v>0</v>
      </c>
    </row>
    <row r="24" spans="1:7" ht="23.25" customHeight="1" thickBot="1">
      <c r="A24" s="23" t="s">
        <v>151</v>
      </c>
      <c r="B24" s="54"/>
    </row>
    <row r="25" spans="1:7" ht="23.25" customHeight="1" thickBot="1">
      <c r="A25" s="23" t="s">
        <v>152</v>
      </c>
      <c r="B25" s="56"/>
    </row>
    <row r="26" spans="1:7" ht="23.25" customHeight="1" thickBot="1">
      <c r="A26" s="23" t="s">
        <v>153</v>
      </c>
      <c r="B26" s="55"/>
    </row>
    <row r="27" spans="1:7" ht="24" customHeight="1" thickBot="1">
      <c r="A27" s="12" t="s">
        <v>261</v>
      </c>
      <c r="B27" s="13">
        <f>SUM(B10,B14,B17,B20,B23,B24:B26)</f>
        <v>0</v>
      </c>
    </row>
    <row r="29" spans="1:7" ht="27" customHeight="1">
      <c r="A29" s="350" t="s">
        <v>268</v>
      </c>
      <c r="B29" s="350"/>
      <c r="C29" s="41"/>
      <c r="D29" s="41"/>
      <c r="E29" s="41"/>
      <c r="F29" s="41"/>
      <c r="G29" s="41"/>
    </row>
    <row r="30" spans="1:7" ht="67.5" customHeight="1">
      <c r="A30" s="351"/>
      <c r="B30" s="351"/>
      <c r="C30" s="45"/>
      <c r="D30" s="45"/>
      <c r="E30" s="45"/>
      <c r="F30" s="45"/>
      <c r="G30" s="45"/>
    </row>
  </sheetData>
  <sheetProtection selectLockedCells="1"/>
  <mergeCells count="3">
    <mergeCell ref="A5:B5"/>
    <mergeCell ref="A29:B29"/>
    <mergeCell ref="A30:B30"/>
  </mergeCells>
  <dataValidations count="2">
    <dataValidation errorStyle="warning" operator="lessThanOrEqual" allowBlank="1" showInputMessage="1" showErrorMessage="1" errorTitle="Large number" error="The number you entered is very large or non numeric, is this correct?" sqref="H1:XFD1048576 A31:G1048576 A1:A30 B10 B27:B28 B23 B20 B17 B14 B1:B7 D1:G28 C1:C9 C16:C28" xr:uid="{00000000-0002-0000-0400-000000000000}"/>
    <dataValidation type="whole" allowBlank="1" showInputMessage="1" showErrorMessage="1" errorTitle="Error" error="Please enter a whole number greater than zero and less than 1,000." sqref="B8:B9 B11:B13 B15:B16 B18:B19 B21:B22 B24:B26" xr:uid="{00000000-0002-0000-0400-000001000000}">
      <formula1>0</formula1>
      <formula2>1000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ignoredErrors>
    <ignoredError sqref="B23 B20 B17 B14 B10"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1" id="{627EE04E-8711-4E98-8FC9-8E0EC9187C2A}">
            <xm:f>IF(AND(B27&gt;'LE4a PY'!B27+'QA check thresholds'!$A$4,B27&gt;'LE4a PY'!B27*'QA check thresholds'!$C$4),TRUE,FALSE)</xm:f>
            <x14:dxf>
              <font>
                <b/>
                <i val="0"/>
                <color rgb="FFFF0000"/>
              </font>
              <fill>
                <patternFill>
                  <bgColor rgb="FFFFC000"/>
                </patternFill>
              </fill>
            </x14:dxf>
          </x14:cfRule>
          <x14:cfRule type="expression" priority="2" id="{F4920660-91C3-4C5C-BCD9-DB5C802E8C90}">
            <xm:f>IF(AND(B27&lt;'LE4a PY'!B27-'QA check thresholds'!$A$4,B27&lt;'LE4a PY'!B27*'QA check thresholds'!$C$2),TRUE,FALSE)</xm:f>
            <x14:dxf>
              <font>
                <b/>
                <i val="0"/>
                <color rgb="FFFF0000"/>
              </font>
              <fill>
                <patternFill>
                  <bgColor rgb="FFFFC000"/>
                </patternFill>
              </fill>
            </x14:dxf>
          </x14:cfRule>
          <xm:sqref>B27</xm:sqref>
        </x14:conditionalFormatting>
      </x14:conditionalFormatting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92A9C-2A85-45E0-80FB-F76AD43F3E87}">
  <sheetPr codeName="Sheet17"/>
  <dimension ref="A2:AA487"/>
  <sheetViews>
    <sheetView showGridLines="0" zoomScale="60" zoomScaleNormal="60" workbookViewId="0">
      <selection activeCell="G46" sqref="G46"/>
    </sheetView>
  </sheetViews>
  <sheetFormatPr defaultColWidth="24.28515625" defaultRowHeight="27" customHeight="1"/>
  <cols>
    <col min="1" max="1" width="16.7109375" style="1" customWidth="1"/>
    <col min="2" max="2" width="16.7109375" style="2" hidden="1" customWidth="1"/>
    <col min="3" max="32" width="16.7109375" style="2" customWidth="1"/>
    <col min="33" max="16384" width="24.28515625" style="2"/>
  </cols>
  <sheetData>
    <row r="2" spans="1:27" ht="36" customHeight="1">
      <c r="B2" s="77"/>
    </row>
    <row r="3" spans="1:27" ht="33.75" customHeight="1"/>
    <row r="4" spans="1:27" ht="13.5" customHeight="1" thickBot="1">
      <c r="A4" s="3"/>
      <c r="B4" s="4"/>
    </row>
    <row r="5" spans="1:27" ht="18.75" customHeight="1" thickBot="1">
      <c r="A5" s="369" t="s">
        <v>408</v>
      </c>
      <c r="B5" s="370"/>
      <c r="C5" s="370"/>
      <c r="D5" s="370"/>
      <c r="E5" s="370"/>
      <c r="F5" s="370"/>
      <c r="G5" s="370"/>
      <c r="H5" s="370"/>
      <c r="I5" s="370"/>
      <c r="J5" s="370"/>
      <c r="K5" s="370"/>
      <c r="L5" s="370"/>
      <c r="M5" s="370"/>
      <c r="N5" s="370"/>
      <c r="O5" s="370"/>
      <c r="P5" s="370"/>
      <c r="Q5" s="371"/>
    </row>
    <row r="6" spans="1:27" customFormat="1" ht="13.5" thickBot="1"/>
    <row r="7" spans="1:27" ht="16.149999999999999" customHeight="1" thickBot="1">
      <c r="A7" s="352" t="s">
        <v>409</v>
      </c>
      <c r="B7" s="353"/>
      <c r="C7" s="353"/>
      <c r="D7" s="353"/>
      <c r="E7" s="353"/>
      <c r="F7" s="353"/>
      <c r="G7" s="353"/>
      <c r="H7" s="353"/>
      <c r="I7" s="353"/>
      <c r="J7" s="353"/>
      <c r="K7" s="353"/>
      <c r="L7" s="353"/>
      <c r="M7" s="353"/>
      <c r="N7" s="353"/>
      <c r="O7" s="353"/>
      <c r="P7" s="353"/>
      <c r="Q7" s="353"/>
      <c r="R7" s="353"/>
      <c r="S7" s="353"/>
      <c r="T7" s="353"/>
      <c r="U7" s="353"/>
      <c r="V7" s="353"/>
      <c r="W7" s="353"/>
      <c r="X7" s="353"/>
      <c r="Y7" s="353"/>
      <c r="Z7" s="353"/>
      <c r="AA7" s="354"/>
    </row>
    <row r="8" spans="1:27" ht="16.149999999999999" customHeight="1" thickBot="1">
      <c r="A8" s="160"/>
      <c r="B8" s="161"/>
      <c r="C8" s="355" t="s">
        <v>393</v>
      </c>
      <c r="D8" s="356"/>
      <c r="E8" s="356"/>
      <c r="F8" s="356"/>
      <c r="G8" s="357"/>
      <c r="H8" s="355" t="s">
        <v>271</v>
      </c>
      <c r="I8" s="356"/>
      <c r="J8" s="356"/>
      <c r="K8" s="356"/>
      <c r="L8" s="357"/>
      <c r="M8" s="355" t="s">
        <v>272</v>
      </c>
      <c r="N8" s="356"/>
      <c r="O8" s="356"/>
      <c r="P8" s="356"/>
      <c r="Q8" s="357"/>
      <c r="R8" s="355" t="s">
        <v>273</v>
      </c>
      <c r="S8" s="356"/>
      <c r="T8" s="356"/>
      <c r="U8" s="356"/>
      <c r="V8" s="357"/>
      <c r="W8" s="355" t="s">
        <v>274</v>
      </c>
      <c r="X8" s="356"/>
      <c r="Y8" s="356"/>
      <c r="Z8" s="356"/>
      <c r="AA8" s="357"/>
    </row>
    <row r="9" spans="1:27" ht="16.149999999999999" customHeight="1" thickBot="1">
      <c r="A9" s="160"/>
      <c r="B9" s="162"/>
      <c r="C9" s="163" t="s">
        <v>275</v>
      </c>
      <c r="D9" s="163" t="s">
        <v>276</v>
      </c>
      <c r="E9" s="163" t="s">
        <v>277</v>
      </c>
      <c r="F9" s="163" t="s">
        <v>278</v>
      </c>
      <c r="G9" s="164" t="s">
        <v>261</v>
      </c>
      <c r="H9" s="163" t="s">
        <v>275</v>
      </c>
      <c r="I9" s="163" t="s">
        <v>276</v>
      </c>
      <c r="J9" s="163" t="s">
        <v>277</v>
      </c>
      <c r="K9" s="163" t="s">
        <v>278</v>
      </c>
      <c r="L9" s="164" t="s">
        <v>261</v>
      </c>
      <c r="M9" s="163" t="s">
        <v>275</v>
      </c>
      <c r="N9" s="163" t="s">
        <v>276</v>
      </c>
      <c r="O9" s="163" t="s">
        <v>277</v>
      </c>
      <c r="P9" s="163" t="s">
        <v>278</v>
      </c>
      <c r="Q9" s="164" t="s">
        <v>261</v>
      </c>
      <c r="R9" s="163" t="s">
        <v>275</v>
      </c>
      <c r="S9" s="163" t="s">
        <v>276</v>
      </c>
      <c r="T9" s="163" t="s">
        <v>277</v>
      </c>
      <c r="U9" s="163" t="s">
        <v>278</v>
      </c>
      <c r="V9" s="164" t="s">
        <v>261</v>
      </c>
      <c r="W9" s="163" t="s">
        <v>275</v>
      </c>
      <c r="X9" s="163" t="s">
        <v>276</v>
      </c>
      <c r="Y9" s="163" t="s">
        <v>277</v>
      </c>
      <c r="Z9" s="163" t="s">
        <v>278</v>
      </c>
      <c r="AA9" s="164" t="s">
        <v>261</v>
      </c>
    </row>
    <row r="10" spans="1:27" ht="16.149999999999999" hidden="1" customHeight="1" thickBot="1">
      <c r="A10" s="165"/>
      <c r="B10" s="166"/>
      <c r="C10" s="167" t="s">
        <v>279</v>
      </c>
      <c r="D10" s="167" t="s">
        <v>280</v>
      </c>
      <c r="E10" s="167" t="s">
        <v>280</v>
      </c>
      <c r="F10" s="167"/>
      <c r="G10" s="168"/>
      <c r="H10" s="167" t="s">
        <v>281</v>
      </c>
      <c r="I10" s="167" t="s">
        <v>282</v>
      </c>
      <c r="J10" s="167" t="s">
        <v>282</v>
      </c>
      <c r="K10" s="167"/>
      <c r="L10" s="167"/>
      <c r="M10" s="167" t="s">
        <v>283</v>
      </c>
      <c r="N10" s="167" t="s">
        <v>284</v>
      </c>
      <c r="O10" s="167" t="s">
        <v>282</v>
      </c>
      <c r="P10" s="167"/>
      <c r="Q10" s="167"/>
      <c r="R10" s="167" t="s">
        <v>283</v>
      </c>
      <c r="S10" s="167" t="s">
        <v>284</v>
      </c>
      <c r="T10" s="167" t="s">
        <v>282</v>
      </c>
      <c r="U10" s="167"/>
      <c r="V10" s="167"/>
      <c r="W10" s="167" t="s">
        <v>283</v>
      </c>
      <c r="X10" s="167" t="s">
        <v>284</v>
      </c>
      <c r="Y10" s="167" t="s">
        <v>282</v>
      </c>
      <c r="Z10" s="167"/>
      <c r="AA10" s="167"/>
    </row>
    <row r="11" spans="1:27" ht="16.149999999999999" customHeight="1" thickBot="1">
      <c r="A11" s="169" t="s">
        <v>261</v>
      </c>
      <c r="B11" s="170"/>
      <c r="C11" s="171"/>
      <c r="D11" s="171"/>
      <c r="E11" s="171"/>
      <c r="F11" s="171"/>
      <c r="G11" s="172">
        <f>SUM(C11:F11)</f>
        <v>0</v>
      </c>
      <c r="H11" s="171"/>
      <c r="I11" s="171"/>
      <c r="J11" s="171"/>
      <c r="K11" s="171"/>
      <c r="L11" s="172">
        <f>SUM(H11:K11)</f>
        <v>0</v>
      </c>
      <c r="M11" s="171"/>
      <c r="N11" s="171"/>
      <c r="O11" s="171"/>
      <c r="P11" s="171"/>
      <c r="Q11" s="172">
        <f>SUM(M11:P11)</f>
        <v>0</v>
      </c>
      <c r="R11" s="171"/>
      <c r="S11" s="171"/>
      <c r="T11" s="171"/>
      <c r="U11" s="171"/>
      <c r="V11" s="172">
        <f>SUM(R11:U11)</f>
        <v>0</v>
      </c>
      <c r="W11" s="171"/>
      <c r="X11" s="171"/>
      <c r="Y11" s="171"/>
      <c r="Z11" s="171"/>
      <c r="AA11" s="172">
        <f>SUM(W11:Z11)</f>
        <v>0</v>
      </c>
    </row>
    <row r="12" spans="1:27" ht="16.149999999999999" customHeight="1">
      <c r="A12" s="173"/>
      <c r="B12" s="173"/>
      <c r="C12" s="174"/>
      <c r="D12" s="174"/>
      <c r="E12" s="174"/>
      <c r="F12" s="174"/>
      <c r="G12" s="174"/>
      <c r="H12" s="174"/>
      <c r="I12" s="174"/>
      <c r="J12" s="174"/>
      <c r="K12" s="174"/>
      <c r="L12" s="174"/>
      <c r="M12" s="175"/>
      <c r="N12" s="175"/>
      <c r="O12" s="175"/>
      <c r="P12" s="175"/>
      <c r="Q12" s="175"/>
      <c r="R12" s="175"/>
      <c r="S12" s="175"/>
      <c r="T12" s="175"/>
      <c r="U12" s="175"/>
      <c r="V12" s="175"/>
      <c r="W12" s="175"/>
      <c r="X12" s="175"/>
      <c r="Y12" s="175"/>
      <c r="Z12" s="175"/>
      <c r="AA12" s="175"/>
    </row>
    <row r="13" spans="1:27" ht="16.149999999999999" customHeight="1" thickBot="1">
      <c r="A13" s="173"/>
      <c r="B13" s="173"/>
      <c r="C13" s="174"/>
      <c r="D13" s="174"/>
      <c r="E13" s="174"/>
      <c r="F13" s="174"/>
      <c r="G13" s="174"/>
      <c r="H13" s="174"/>
      <c r="I13" s="174"/>
      <c r="J13" s="174"/>
      <c r="K13" s="174"/>
      <c r="L13" s="174"/>
      <c r="M13" s="175"/>
      <c r="N13" s="175"/>
      <c r="O13" s="175"/>
      <c r="P13" s="175"/>
      <c r="Q13" s="175"/>
      <c r="R13" s="175"/>
      <c r="S13" s="175"/>
      <c r="T13" s="175"/>
      <c r="U13" s="175"/>
      <c r="V13" s="175"/>
      <c r="W13" s="175"/>
      <c r="X13" s="175"/>
      <c r="Y13" s="175"/>
      <c r="Z13" s="175"/>
      <c r="AA13" s="175"/>
    </row>
    <row r="14" spans="1:27" ht="16.149999999999999" customHeight="1" thickBot="1">
      <c r="A14" s="173"/>
      <c r="B14" s="173"/>
      <c r="C14" s="355" t="s">
        <v>295</v>
      </c>
      <c r="D14" s="356"/>
      <c r="E14" s="356"/>
      <c r="F14" s="356"/>
      <c r="G14" s="357"/>
      <c r="H14" s="355" t="s">
        <v>296</v>
      </c>
      <c r="I14" s="356"/>
      <c r="J14" s="356"/>
      <c r="K14" s="356"/>
      <c r="L14" s="357"/>
      <c r="M14" s="355" t="s">
        <v>297</v>
      </c>
      <c r="N14" s="356"/>
      <c r="O14" s="356"/>
      <c r="P14" s="356"/>
      <c r="Q14" s="357"/>
      <c r="R14" s="176"/>
      <c r="S14" s="176"/>
      <c r="T14" s="176"/>
      <c r="U14" s="176"/>
      <c r="V14" s="176"/>
      <c r="W14" s="176"/>
      <c r="X14" s="176"/>
      <c r="Y14" s="176"/>
      <c r="Z14" s="176"/>
      <c r="AA14" s="176"/>
    </row>
    <row r="15" spans="1:27" ht="16.149999999999999" customHeight="1" thickBot="1">
      <c r="A15" s="173"/>
      <c r="B15" s="173"/>
      <c r="C15" s="163" t="s">
        <v>275</v>
      </c>
      <c r="D15" s="163" t="s">
        <v>276</v>
      </c>
      <c r="E15" s="163" t="s">
        <v>277</v>
      </c>
      <c r="F15" s="163" t="s">
        <v>278</v>
      </c>
      <c r="G15" s="164" t="s">
        <v>261</v>
      </c>
      <c r="H15" s="163" t="s">
        <v>275</v>
      </c>
      <c r="I15" s="163" t="s">
        <v>276</v>
      </c>
      <c r="J15" s="163" t="s">
        <v>277</v>
      </c>
      <c r="K15" s="163" t="s">
        <v>278</v>
      </c>
      <c r="L15" s="164" t="s">
        <v>261</v>
      </c>
      <c r="M15" s="163" t="s">
        <v>275</v>
      </c>
      <c r="N15" s="163" t="s">
        <v>276</v>
      </c>
      <c r="O15" s="163" t="s">
        <v>277</v>
      </c>
      <c r="P15" s="163" t="s">
        <v>278</v>
      </c>
      <c r="Q15" s="164" t="s">
        <v>261</v>
      </c>
      <c r="R15" s="176"/>
      <c r="S15" s="176"/>
      <c r="T15" s="176"/>
      <c r="U15" s="176"/>
      <c r="V15" s="176"/>
      <c r="W15" s="176"/>
      <c r="X15" s="176"/>
      <c r="Y15" s="176"/>
      <c r="Z15" s="176"/>
      <c r="AA15" s="176"/>
    </row>
    <row r="16" spans="1:27" ht="16.149999999999999" hidden="1" customHeight="1" thickBot="1">
      <c r="A16" s="173"/>
      <c r="B16" s="173"/>
      <c r="C16" s="167" t="s">
        <v>299</v>
      </c>
      <c r="D16" s="167" t="s">
        <v>286</v>
      </c>
      <c r="E16" s="167" t="s">
        <v>282</v>
      </c>
      <c r="F16" s="167"/>
      <c r="G16" s="168"/>
      <c r="H16" s="167" t="s">
        <v>410</v>
      </c>
      <c r="I16" s="167" t="s">
        <v>300</v>
      </c>
      <c r="J16" s="167" t="s">
        <v>282</v>
      </c>
      <c r="K16" s="167"/>
      <c r="L16" s="168"/>
      <c r="M16" s="167" t="s">
        <v>301</v>
      </c>
      <c r="N16" s="167" t="s">
        <v>302</v>
      </c>
      <c r="O16" s="167" t="s">
        <v>282</v>
      </c>
      <c r="P16" s="167"/>
      <c r="Q16" s="168"/>
      <c r="R16" s="175"/>
      <c r="S16" s="175"/>
      <c r="T16" s="175"/>
      <c r="U16" s="175"/>
      <c r="V16" s="175"/>
      <c r="W16" s="175"/>
      <c r="X16" s="175"/>
      <c r="Y16" s="175"/>
      <c r="Z16" s="175"/>
      <c r="AA16" s="175"/>
    </row>
    <row r="17" spans="1:27" ht="16.149999999999999" customHeight="1" thickBot="1">
      <c r="A17" s="169" t="s">
        <v>261</v>
      </c>
      <c r="B17" s="173"/>
      <c r="C17" s="171"/>
      <c r="D17" s="171"/>
      <c r="E17" s="171"/>
      <c r="F17" s="171"/>
      <c r="G17" s="172">
        <f>SUM(C17:F17)</f>
        <v>0</v>
      </c>
      <c r="H17" s="171"/>
      <c r="I17" s="171"/>
      <c r="J17" s="171"/>
      <c r="K17" s="171"/>
      <c r="L17" s="172">
        <f>SUM(H17:K17)</f>
        <v>0</v>
      </c>
      <c r="M17" s="171"/>
      <c r="N17" s="171"/>
      <c r="O17" s="171"/>
      <c r="P17" s="171"/>
      <c r="Q17" s="172">
        <f>SUM(M17:P17)</f>
        <v>0</v>
      </c>
      <c r="R17" s="175"/>
      <c r="S17" s="175"/>
      <c r="T17" s="175"/>
      <c r="U17" s="175"/>
      <c r="V17" s="175"/>
      <c r="W17" s="175"/>
      <c r="X17" s="175"/>
      <c r="Y17" s="175"/>
      <c r="Z17" s="175"/>
      <c r="AA17" s="175"/>
    </row>
    <row r="18" spans="1:27" ht="16.149999999999999" customHeight="1">
      <c r="A18" s="173"/>
      <c r="B18" s="173"/>
      <c r="C18" s="174"/>
      <c r="D18" s="174"/>
      <c r="E18" s="174"/>
      <c r="F18" s="174"/>
      <c r="G18" s="174"/>
      <c r="H18" s="174"/>
      <c r="I18" s="174"/>
      <c r="J18" s="174"/>
      <c r="K18" s="174"/>
      <c r="L18" s="174"/>
      <c r="M18" s="174"/>
      <c r="N18" s="174"/>
      <c r="O18" s="174"/>
      <c r="P18" s="174"/>
      <c r="Q18" s="177"/>
      <c r="R18" s="175"/>
      <c r="S18" s="175"/>
      <c r="T18" s="175"/>
      <c r="U18" s="175"/>
      <c r="V18" s="175"/>
      <c r="W18" s="175"/>
      <c r="X18" s="175"/>
      <c r="Y18" s="175"/>
      <c r="Z18" s="175"/>
      <c r="AA18" s="175"/>
    </row>
    <row r="19" spans="1:27" ht="16.149999999999999" customHeight="1" thickBot="1">
      <c r="A19" s="173"/>
      <c r="B19" s="173"/>
      <c r="C19" s="174"/>
      <c r="D19" s="174"/>
      <c r="E19" s="174"/>
      <c r="F19" s="174"/>
      <c r="G19" s="174"/>
      <c r="H19" s="174"/>
      <c r="I19" s="174"/>
      <c r="J19" s="174"/>
      <c r="K19" s="174"/>
      <c r="L19" s="174"/>
      <c r="M19" s="174"/>
      <c r="N19" s="174"/>
      <c r="O19" s="174"/>
      <c r="P19" s="174"/>
      <c r="Q19" s="177"/>
      <c r="R19" s="175"/>
      <c r="S19" s="175"/>
      <c r="T19" s="175"/>
      <c r="U19" s="175"/>
      <c r="V19" s="175"/>
      <c r="W19" s="175"/>
      <c r="X19" s="175"/>
      <c r="Y19" s="175"/>
      <c r="Z19" s="175"/>
      <c r="AA19" s="175"/>
    </row>
    <row r="20" spans="1:27" ht="16.149999999999999" customHeight="1" thickBot="1">
      <c r="A20" s="336" t="s">
        <v>411</v>
      </c>
      <c r="B20" s="337"/>
      <c r="C20" s="337"/>
      <c r="D20" s="337"/>
      <c r="E20" s="337"/>
      <c r="F20" s="337"/>
      <c r="G20" s="337"/>
      <c r="H20" s="337"/>
      <c r="I20" s="337"/>
      <c r="J20" s="337"/>
      <c r="K20" s="337"/>
      <c r="L20" s="337"/>
      <c r="M20" s="338"/>
      <c r="N20" s="178"/>
      <c r="O20" s="179"/>
      <c r="P20" s="180"/>
      <c r="Q20" s="180"/>
      <c r="R20" s="181"/>
      <c r="S20" s="181"/>
      <c r="T20" s="181"/>
      <c r="U20" s="181"/>
      <c r="V20" s="181"/>
      <c r="W20" s="181"/>
      <c r="X20" s="181"/>
      <c r="Y20" s="181"/>
      <c r="Z20" s="181"/>
      <c r="AA20" s="181"/>
    </row>
    <row r="21" spans="1:27" ht="63.4" customHeight="1" thickBot="1">
      <c r="A21" s="160"/>
      <c r="B21" s="119" t="s">
        <v>311</v>
      </c>
      <c r="C21" s="120" t="s">
        <v>311</v>
      </c>
      <c r="D21" s="88" t="s">
        <v>312</v>
      </c>
      <c r="E21" s="88" t="s">
        <v>313</v>
      </c>
      <c r="F21" s="88" t="s">
        <v>314</v>
      </c>
      <c r="G21" s="88" t="s">
        <v>315</v>
      </c>
      <c r="H21" s="88" t="s">
        <v>316</v>
      </c>
      <c r="I21" s="120" t="s">
        <v>317</v>
      </c>
      <c r="J21" s="88" t="s">
        <v>318</v>
      </c>
      <c r="K21" s="88" t="s">
        <v>319</v>
      </c>
      <c r="L21" s="88" t="s">
        <v>320</v>
      </c>
      <c r="M21" s="88" t="s">
        <v>321</v>
      </c>
      <c r="N21" s="182"/>
      <c r="O21" s="179"/>
      <c r="P21" s="180"/>
      <c r="Q21" s="180"/>
      <c r="R21" s="368"/>
      <c r="S21" s="368"/>
      <c r="T21" s="368"/>
      <c r="U21" s="368"/>
      <c r="V21" s="368"/>
      <c r="W21" s="368"/>
      <c r="X21" s="368"/>
      <c r="Y21" s="368"/>
      <c r="Z21" s="368"/>
      <c r="AA21" s="368"/>
    </row>
    <row r="22" spans="1:27" ht="16.149999999999999" customHeight="1" thickBot="1">
      <c r="A22" s="169" t="s">
        <v>261</v>
      </c>
      <c r="B22" s="183"/>
      <c r="C22" s="13">
        <f>SUM(D22:H22)</f>
        <v>0</v>
      </c>
      <c r="D22" s="53"/>
      <c r="E22" s="53"/>
      <c r="F22" s="53"/>
      <c r="G22" s="53"/>
      <c r="H22" s="53"/>
      <c r="I22" s="13">
        <f>SUM(J22:M22)</f>
        <v>0</v>
      </c>
      <c r="J22" s="53"/>
      <c r="K22" s="53"/>
      <c r="L22" s="53"/>
      <c r="M22" s="53"/>
      <c r="N22" s="184"/>
      <c r="O22" s="179"/>
      <c r="P22" s="180"/>
      <c r="Q22" s="180"/>
      <c r="R22" s="185"/>
      <c r="S22" s="185"/>
      <c r="T22" s="185"/>
      <c r="U22" s="185"/>
      <c r="V22" s="186"/>
      <c r="W22" s="185"/>
      <c r="X22" s="185"/>
      <c r="Y22" s="185"/>
      <c r="Z22" s="185"/>
      <c r="AA22" s="186"/>
    </row>
    <row r="23" spans="1:27" ht="16.149999999999999" customHeight="1">
      <c r="A23" s="187"/>
      <c r="B23" s="187"/>
      <c r="C23" s="188"/>
      <c r="D23" s="188"/>
      <c r="E23" s="188"/>
      <c r="F23" s="188"/>
      <c r="G23" s="188"/>
      <c r="H23" s="188"/>
      <c r="I23" s="188"/>
      <c r="J23" s="188"/>
      <c r="K23" s="188"/>
      <c r="L23" s="188"/>
      <c r="M23" s="188"/>
      <c r="N23" s="188"/>
      <c r="O23" s="179"/>
      <c r="P23" s="180"/>
      <c r="Q23" s="180"/>
      <c r="R23" s="189"/>
      <c r="S23" s="189"/>
      <c r="T23" s="189"/>
      <c r="U23" s="189"/>
      <c r="V23" s="190"/>
      <c r="W23" s="189"/>
      <c r="X23" s="189"/>
      <c r="Y23" s="189"/>
      <c r="Z23" s="189"/>
      <c r="AA23" s="190"/>
    </row>
    <row r="24" spans="1:27" ht="16.149999999999999" customHeight="1" thickBot="1">
      <c r="A24" s="173"/>
      <c r="B24" s="173"/>
      <c r="C24" s="174"/>
      <c r="D24" s="174"/>
      <c r="E24" s="174"/>
      <c r="F24" s="174"/>
      <c r="G24" s="174"/>
      <c r="H24" s="174"/>
      <c r="I24" s="191"/>
      <c r="J24" s="191"/>
      <c r="K24" s="191"/>
      <c r="L24" s="191"/>
      <c r="M24" s="191"/>
      <c r="N24" s="191"/>
      <c r="O24" s="192"/>
      <c r="P24" s="193"/>
      <c r="Q24" s="180"/>
      <c r="R24" s="188"/>
      <c r="S24" s="188"/>
      <c r="T24" s="188"/>
      <c r="U24" s="188"/>
      <c r="V24" s="190"/>
      <c r="W24" s="188"/>
      <c r="X24" s="188"/>
      <c r="Y24" s="188"/>
      <c r="Z24" s="188"/>
      <c r="AA24" s="190"/>
    </row>
    <row r="25" spans="1:27" ht="16.149999999999999" customHeight="1" thickBot="1">
      <c r="A25" s="336" t="s">
        <v>411</v>
      </c>
      <c r="B25" s="337"/>
      <c r="C25" s="337"/>
      <c r="D25" s="337"/>
      <c r="E25" s="337"/>
      <c r="F25" s="337"/>
      <c r="G25" s="337"/>
      <c r="H25" s="337"/>
      <c r="I25" s="337"/>
      <c r="J25" s="337"/>
      <c r="K25" s="337"/>
      <c r="L25" s="337"/>
      <c r="M25" s="337"/>
      <c r="N25" s="337"/>
      <c r="O25" s="337"/>
      <c r="P25" s="338"/>
      <c r="Q25" s="180"/>
      <c r="R25" s="188"/>
      <c r="S25" s="188"/>
      <c r="T25" s="188"/>
      <c r="U25" s="188"/>
      <c r="V25" s="190"/>
      <c r="W25" s="188"/>
      <c r="X25" s="188"/>
      <c r="Y25" s="188"/>
      <c r="Z25" s="188"/>
      <c r="AA25" s="190"/>
    </row>
    <row r="26" spans="1:27" ht="63.4" customHeight="1" thickBot="1">
      <c r="A26" s="160"/>
      <c r="B26" s="133" t="s">
        <v>385</v>
      </c>
      <c r="C26" s="134" t="s">
        <v>322</v>
      </c>
      <c r="D26" s="90" t="s">
        <v>323</v>
      </c>
      <c r="E26" s="90" t="s">
        <v>324</v>
      </c>
      <c r="F26" s="90" t="s">
        <v>325</v>
      </c>
      <c r="G26" s="88" t="s">
        <v>326</v>
      </c>
      <c r="H26" s="88" t="s">
        <v>327</v>
      </c>
      <c r="I26" s="134" t="s">
        <v>328</v>
      </c>
      <c r="J26" s="88" t="s">
        <v>329</v>
      </c>
      <c r="K26" s="88" t="s">
        <v>330</v>
      </c>
      <c r="L26" s="88" t="s">
        <v>331</v>
      </c>
      <c r="M26" s="134" t="s">
        <v>332</v>
      </c>
      <c r="N26" s="88" t="s">
        <v>333</v>
      </c>
      <c r="O26" s="88" t="s">
        <v>334</v>
      </c>
      <c r="P26" s="134" t="s">
        <v>335</v>
      </c>
      <c r="Q26" s="180"/>
      <c r="R26" s="188"/>
      <c r="S26" s="188"/>
      <c r="T26" s="188"/>
      <c r="U26" s="188"/>
      <c r="V26" s="190"/>
      <c r="W26" s="188"/>
      <c r="X26" s="188"/>
      <c r="Y26" s="188"/>
      <c r="Z26" s="188"/>
      <c r="AA26" s="190"/>
    </row>
    <row r="27" spans="1:27" ht="16.149999999999999" customHeight="1" thickBot="1">
      <c r="A27" s="169" t="s">
        <v>261</v>
      </c>
      <c r="B27" s="183">
        <v>0</v>
      </c>
      <c r="C27" s="13">
        <f>SUM(D27:H27)</f>
        <v>0</v>
      </c>
      <c r="D27" s="53"/>
      <c r="E27" s="53"/>
      <c r="F27" s="53"/>
      <c r="G27" s="53"/>
      <c r="H27" s="53"/>
      <c r="I27" s="13">
        <f>SUM(J27:L27)</f>
        <v>0</v>
      </c>
      <c r="J27" s="53"/>
      <c r="K27" s="53"/>
      <c r="L27" s="53"/>
      <c r="M27" s="13">
        <f>SUM(N27:O27)</f>
        <v>0</v>
      </c>
      <c r="N27" s="53"/>
      <c r="O27" s="53"/>
      <c r="P27" s="53"/>
      <c r="Q27" s="180"/>
      <c r="R27" s="188"/>
      <c r="S27" s="188"/>
      <c r="T27" s="188"/>
      <c r="U27" s="188"/>
      <c r="V27" s="190"/>
      <c r="W27" s="188"/>
      <c r="X27" s="188"/>
      <c r="Y27" s="188"/>
      <c r="Z27" s="188"/>
      <c r="AA27" s="190"/>
    </row>
    <row r="28" spans="1:27" ht="16.149999999999999" customHeight="1">
      <c r="A28" s="173"/>
      <c r="B28" s="173"/>
      <c r="C28" s="194"/>
      <c r="D28" s="194"/>
      <c r="E28" s="194"/>
      <c r="F28" s="194"/>
      <c r="G28" s="194"/>
      <c r="H28" s="194"/>
      <c r="I28" s="194"/>
      <c r="J28" s="194"/>
      <c r="K28" s="194"/>
      <c r="L28" s="194"/>
      <c r="M28" s="194"/>
      <c r="N28" s="194"/>
      <c r="O28" s="192"/>
      <c r="P28" s="193"/>
      <c r="Q28" s="180"/>
      <c r="R28" s="188"/>
      <c r="S28" s="188"/>
      <c r="T28" s="188"/>
      <c r="U28" s="188"/>
      <c r="V28" s="190"/>
      <c r="W28" s="188"/>
      <c r="X28" s="188"/>
      <c r="Y28" s="188"/>
      <c r="Z28" s="188"/>
      <c r="AA28" s="190"/>
    </row>
    <row r="29" spans="1:27" ht="16.149999999999999" customHeight="1" thickBot="1">
      <c r="A29" s="173"/>
      <c r="B29" s="173"/>
      <c r="C29" s="195"/>
      <c r="D29" s="195"/>
      <c r="E29" s="195"/>
      <c r="F29" s="195"/>
      <c r="G29" s="195"/>
      <c r="H29" s="195"/>
      <c r="I29" s="195"/>
      <c r="J29" s="195"/>
      <c r="K29" s="195"/>
      <c r="L29" s="195"/>
      <c r="M29" s="195"/>
      <c r="N29" s="195"/>
      <c r="O29" s="192"/>
      <c r="P29" s="193"/>
      <c r="Q29" s="180"/>
      <c r="R29" s="188"/>
      <c r="S29" s="188"/>
      <c r="T29" s="188"/>
      <c r="U29" s="188"/>
      <c r="V29" s="190"/>
      <c r="W29" s="188"/>
      <c r="X29" s="188"/>
      <c r="Y29" s="188"/>
      <c r="Z29" s="188"/>
      <c r="AA29" s="190"/>
    </row>
    <row r="30" spans="1:27" ht="31.15" customHeight="1" thickBot="1">
      <c r="A30" s="325" t="s">
        <v>412</v>
      </c>
      <c r="B30" s="326"/>
      <c r="C30" s="326"/>
      <c r="D30" s="326"/>
      <c r="E30" s="326"/>
      <c r="F30" s="336" t="s">
        <v>413</v>
      </c>
      <c r="G30" s="337"/>
      <c r="H30" s="337"/>
      <c r="I30" s="337"/>
      <c r="J30" s="337"/>
      <c r="K30" s="337"/>
      <c r="L30" s="337"/>
      <c r="M30" s="337"/>
      <c r="N30" s="338"/>
      <c r="O30" s="336" t="s">
        <v>414</v>
      </c>
      <c r="P30" s="337"/>
      <c r="Q30" s="337"/>
      <c r="R30" s="337"/>
      <c r="S30" s="338"/>
      <c r="T30" s="188"/>
      <c r="U30" s="188"/>
      <c r="V30" s="190"/>
      <c r="W30" s="188"/>
      <c r="X30" s="188"/>
      <c r="Y30" s="188"/>
      <c r="Z30" s="188"/>
      <c r="AA30" s="190"/>
    </row>
    <row r="31" spans="1:27" ht="29.65" customHeight="1" thickBot="1">
      <c r="A31" s="196"/>
      <c r="B31" s="145"/>
      <c r="C31" s="238" t="s">
        <v>339</v>
      </c>
      <c r="D31" s="239" t="s">
        <v>340</v>
      </c>
      <c r="E31" s="240" t="s">
        <v>341</v>
      </c>
      <c r="F31" s="238" t="s">
        <v>342</v>
      </c>
      <c r="G31" s="239" t="s">
        <v>343</v>
      </c>
      <c r="H31" s="239" t="s">
        <v>344</v>
      </c>
      <c r="I31" s="239" t="s">
        <v>345</v>
      </c>
      <c r="J31" s="239" t="s">
        <v>346</v>
      </c>
      <c r="K31" s="239" t="s">
        <v>347</v>
      </c>
      <c r="L31" s="239" t="s">
        <v>277</v>
      </c>
      <c r="M31" s="239" t="s">
        <v>348</v>
      </c>
      <c r="N31" s="240" t="s">
        <v>349</v>
      </c>
      <c r="O31" s="238" t="s">
        <v>350</v>
      </c>
      <c r="P31" s="239" t="s">
        <v>351</v>
      </c>
      <c r="Q31" s="239" t="s">
        <v>352</v>
      </c>
      <c r="R31" s="239" t="s">
        <v>277</v>
      </c>
      <c r="S31" s="240" t="s">
        <v>353</v>
      </c>
      <c r="T31" s="188"/>
      <c r="U31" s="188"/>
      <c r="V31" s="190"/>
      <c r="W31" s="188"/>
      <c r="X31" s="188"/>
      <c r="Y31" s="188"/>
      <c r="Z31" s="188"/>
      <c r="AA31" s="190"/>
    </row>
    <row r="32" spans="1:27" ht="16.149999999999999" hidden="1" customHeight="1" thickBot="1">
      <c r="A32" s="93"/>
      <c r="B32" s="93"/>
      <c r="C32" s="146" t="s">
        <v>354</v>
      </c>
      <c r="D32" s="94" t="s">
        <v>355</v>
      </c>
      <c r="E32" s="146" t="s">
        <v>356</v>
      </c>
      <c r="F32" s="147" t="s">
        <v>357</v>
      </c>
      <c r="G32" s="96" t="s">
        <v>358</v>
      </c>
      <c r="H32" s="94" t="s">
        <v>359</v>
      </c>
      <c r="I32" s="96" t="s">
        <v>360</v>
      </c>
      <c r="J32" s="94" t="s">
        <v>361</v>
      </c>
      <c r="K32" s="96" t="s">
        <v>362</v>
      </c>
      <c r="L32" s="94" t="s">
        <v>363</v>
      </c>
      <c r="M32" s="96" t="s">
        <v>364</v>
      </c>
      <c r="N32" s="148" t="s">
        <v>365</v>
      </c>
      <c r="O32" s="148" t="s">
        <v>366</v>
      </c>
      <c r="P32" s="94" t="s">
        <v>367</v>
      </c>
      <c r="Q32" s="94" t="s">
        <v>368</v>
      </c>
      <c r="R32" s="96" t="s">
        <v>370</v>
      </c>
      <c r="S32" s="96" t="s">
        <v>370</v>
      </c>
      <c r="T32" s="188"/>
      <c r="U32" s="188"/>
      <c r="V32" s="190"/>
      <c r="W32" s="188"/>
      <c r="X32" s="188"/>
      <c r="Y32" s="188"/>
      <c r="Z32" s="188"/>
      <c r="AA32" s="190"/>
    </row>
    <row r="33" spans="1:27" ht="16.149999999999999" customHeight="1" thickBot="1">
      <c r="A33" s="169" t="s">
        <v>261</v>
      </c>
      <c r="B33" s="197" t="s">
        <v>287</v>
      </c>
      <c r="C33" s="53"/>
      <c r="D33" s="18"/>
      <c r="E33" s="103"/>
      <c r="F33" s="53"/>
      <c r="G33" s="18"/>
      <c r="H33" s="18"/>
      <c r="I33" s="18"/>
      <c r="J33" s="18"/>
      <c r="K33" s="18"/>
      <c r="L33" s="18"/>
      <c r="M33" s="18"/>
      <c r="N33" s="19"/>
      <c r="O33" s="198"/>
      <c r="P33" s="199"/>
      <c r="Q33" s="200"/>
      <c r="R33" s="200"/>
      <c r="S33" s="201"/>
      <c r="T33" s="188"/>
      <c r="U33" s="188"/>
      <c r="V33" s="190"/>
      <c r="W33" s="188"/>
      <c r="X33" s="188"/>
      <c r="Y33" s="188"/>
      <c r="Z33" s="188"/>
      <c r="AA33" s="190"/>
    </row>
    <row r="34" spans="1:27" ht="16.149999999999999" customHeight="1"/>
    <row r="35" spans="1:27" ht="16.149999999999999" customHeight="1"/>
    <row r="36" spans="1:27" ht="16.149999999999999" customHeight="1"/>
    <row r="37" spans="1:27" ht="16.149999999999999" customHeight="1">
      <c r="A37" s="112" t="s">
        <v>298</v>
      </c>
      <c r="B37" s="58"/>
      <c r="C37" s="58"/>
      <c r="D37" s="52"/>
    </row>
    <row r="38" spans="1:27" ht="16.149999999999999" customHeight="1">
      <c r="A38" s="58"/>
      <c r="B38" s="58"/>
      <c r="C38" s="58"/>
      <c r="D38" s="58"/>
    </row>
    <row r="39" spans="1:27" ht="16.149999999999999" customHeight="1">
      <c r="A39" s="334" t="s">
        <v>415</v>
      </c>
      <c r="B39" s="334"/>
      <c r="C39" s="334"/>
      <c r="D39" s="113">
        <f>SUM($G$11+$L$11+$Q$11+$V$11+$AA$11+$G$17+$L$17+$Q$17)</f>
        <v>0</v>
      </c>
    </row>
    <row r="40" spans="1:27" ht="16.149999999999999" customHeight="1">
      <c r="A40" s="334" t="s">
        <v>416</v>
      </c>
      <c r="B40" s="334"/>
      <c r="C40" s="334"/>
      <c r="D40" s="113">
        <f>C22+I22+C27+I27+M27+P27</f>
        <v>0</v>
      </c>
    </row>
    <row r="41" spans="1:27" ht="16.149999999999999" customHeight="1">
      <c r="A41" s="334" t="s">
        <v>417</v>
      </c>
      <c r="B41" s="334"/>
      <c r="C41" s="334"/>
      <c r="D41" s="113">
        <f>SUM($O$33:$S$33)</f>
        <v>0</v>
      </c>
    </row>
    <row r="42" spans="1:27" ht="16.149999999999999" customHeight="1">
      <c r="A42" s="334" t="s">
        <v>418</v>
      </c>
      <c r="B42" s="334"/>
      <c r="C42" s="334"/>
      <c r="D42" s="113">
        <f>SUM($C$33:$E$33)</f>
        <v>0</v>
      </c>
    </row>
    <row r="43" spans="1:27" ht="16.149999999999999" customHeight="1">
      <c r="A43" s="334" t="s">
        <v>419</v>
      </c>
      <c r="B43" s="334"/>
      <c r="C43" s="334"/>
      <c r="D43" s="113">
        <f>SUM($F$33:$N$33)</f>
        <v>0</v>
      </c>
    </row>
    <row r="44" spans="1:27" ht="16.149999999999999" customHeight="1">
      <c r="A44" s="58"/>
      <c r="B44" s="58"/>
      <c r="C44" s="58"/>
      <c r="D44" s="113"/>
    </row>
    <row r="45" spans="1:27" ht="16.149999999999999" customHeight="1">
      <c r="A45" s="58" t="s">
        <v>308</v>
      </c>
      <c r="B45" s="58"/>
      <c r="C45" s="58"/>
      <c r="D45" s="115" t="str">
        <f>IF(AND(D39=D40, D39=D41, D39=D42, D39=D43), "Yes", "No")</f>
        <v>Yes</v>
      </c>
    </row>
    <row r="46" spans="1:27" ht="16.149999999999999" customHeight="1">
      <c r="A46" s="58"/>
      <c r="B46" s="44"/>
      <c r="C46" s="44"/>
      <c r="D46" s="58"/>
    </row>
    <row r="47" spans="1:27" ht="16.149999999999999" customHeight="1">
      <c r="A47" s="335" t="s">
        <v>420</v>
      </c>
      <c r="B47" s="335"/>
      <c r="C47" s="335"/>
      <c r="D47" s="335"/>
    </row>
    <row r="48" spans="1:27" ht="16.149999999999999" customHeight="1">
      <c r="A48" s="335"/>
      <c r="B48" s="335"/>
      <c r="C48" s="335"/>
      <c r="D48" s="335"/>
    </row>
    <row r="49" spans="1:4" ht="16.149999999999999" customHeight="1">
      <c r="A49" s="335"/>
      <c r="B49" s="335"/>
      <c r="C49" s="335"/>
      <c r="D49" s="335"/>
    </row>
    <row r="50" spans="1:4" ht="16.149999999999999" customHeight="1">
      <c r="A50" s="111"/>
      <c r="B50" s="113"/>
      <c r="C50" s="58"/>
      <c r="D50" s="58"/>
    </row>
    <row r="51" spans="1:4" ht="16.149999999999999" customHeight="1">
      <c r="A51" s="358"/>
      <c r="B51" s="359"/>
      <c r="C51" s="359"/>
      <c r="D51" s="360"/>
    </row>
    <row r="52" spans="1:4" ht="16.149999999999999" customHeight="1">
      <c r="A52" s="361"/>
      <c r="B52" s="362"/>
      <c r="C52" s="362"/>
      <c r="D52" s="363"/>
    </row>
    <row r="53" spans="1:4" ht="16.149999999999999" customHeight="1">
      <c r="A53" s="361"/>
      <c r="B53" s="362"/>
      <c r="C53" s="362"/>
      <c r="D53" s="363"/>
    </row>
    <row r="54" spans="1:4" ht="16.149999999999999" customHeight="1">
      <c r="A54" s="361"/>
      <c r="B54" s="362"/>
      <c r="C54" s="362"/>
      <c r="D54" s="363"/>
    </row>
    <row r="55" spans="1:4" ht="16.149999999999999" customHeight="1">
      <c r="A55" s="364"/>
      <c r="B55" s="365"/>
      <c r="C55" s="365"/>
      <c r="D55" s="366"/>
    </row>
    <row r="56" spans="1:4" ht="16.149999999999999" customHeight="1"/>
    <row r="57" spans="1:4" ht="16.149999999999999" customHeight="1"/>
    <row r="58" spans="1:4" ht="16.149999999999999" customHeight="1"/>
    <row r="59" spans="1:4" ht="16.149999999999999" customHeight="1"/>
    <row r="60" spans="1:4" ht="16.149999999999999" customHeight="1"/>
    <row r="61" spans="1:4" ht="16.149999999999999" customHeight="1"/>
    <row r="62" spans="1:4" ht="16.149999999999999" customHeight="1"/>
    <row r="63" spans="1:4" ht="16.149999999999999" customHeight="1"/>
    <row r="64" spans="1:4" ht="16.149999999999999" customHeight="1"/>
    <row r="65" ht="16.149999999999999" customHeight="1"/>
    <row r="66" ht="16.149999999999999" customHeight="1"/>
    <row r="67" ht="16.149999999999999" customHeight="1"/>
    <row r="68" ht="16.149999999999999" customHeight="1"/>
    <row r="69" ht="16.149999999999999" customHeight="1"/>
    <row r="70" ht="16.149999999999999" customHeight="1"/>
    <row r="71" ht="16.149999999999999" customHeight="1"/>
    <row r="72" ht="16.149999999999999" customHeight="1"/>
    <row r="73" ht="16.149999999999999" customHeight="1"/>
    <row r="74" ht="16.149999999999999" customHeight="1"/>
    <row r="75" ht="16.149999999999999" customHeight="1"/>
    <row r="76" ht="16.149999999999999" customHeight="1"/>
    <row r="77" ht="16.149999999999999" customHeight="1"/>
    <row r="78" ht="16.149999999999999" customHeight="1"/>
    <row r="79" ht="16.149999999999999" customHeight="1"/>
    <row r="80" ht="16.149999999999999" customHeight="1"/>
    <row r="81" ht="16.149999999999999" customHeight="1"/>
    <row r="82" ht="16.149999999999999" customHeight="1"/>
    <row r="83" ht="16.149999999999999" customHeight="1"/>
    <row r="84" ht="16.149999999999999" customHeight="1"/>
    <row r="85" ht="16.149999999999999" customHeight="1"/>
    <row r="86" ht="16.149999999999999" customHeight="1"/>
    <row r="87" ht="16.149999999999999" customHeight="1"/>
    <row r="88" ht="16.149999999999999" customHeight="1"/>
    <row r="89" ht="16.149999999999999" customHeight="1"/>
    <row r="90" ht="16.149999999999999" customHeight="1"/>
    <row r="91" ht="16.149999999999999" customHeight="1"/>
    <row r="92" ht="16.149999999999999" customHeight="1"/>
    <row r="93" ht="16.149999999999999" customHeight="1"/>
    <row r="94" ht="16.149999999999999" customHeight="1"/>
    <row r="95" ht="16.149999999999999" customHeight="1"/>
    <row r="96" ht="16.149999999999999" customHeight="1"/>
    <row r="97" ht="16.149999999999999" customHeight="1"/>
    <row r="98" ht="16.149999999999999" customHeight="1"/>
    <row r="99" ht="16.149999999999999" customHeight="1"/>
    <row r="100" ht="16.149999999999999" customHeight="1"/>
    <row r="101" ht="16.149999999999999" customHeight="1"/>
    <row r="102" ht="16.149999999999999" customHeight="1"/>
    <row r="103" ht="16.149999999999999" customHeight="1"/>
    <row r="104" ht="16.149999999999999" customHeight="1"/>
    <row r="105" ht="16.149999999999999" customHeight="1"/>
    <row r="106" ht="16.149999999999999" customHeight="1"/>
    <row r="107" ht="16.149999999999999" customHeight="1"/>
    <row r="108" ht="16.149999999999999" customHeight="1"/>
    <row r="109" ht="16.149999999999999" customHeight="1"/>
    <row r="110" ht="16.149999999999999" customHeight="1"/>
    <row r="111" ht="16.149999999999999" customHeight="1"/>
    <row r="112" ht="16.149999999999999" customHeight="1"/>
    <row r="113" ht="16.149999999999999" customHeight="1"/>
    <row r="114" ht="16.149999999999999" customHeight="1"/>
    <row r="115" ht="16.149999999999999" customHeight="1"/>
    <row r="116" ht="16.149999999999999" customHeight="1"/>
    <row r="117" ht="16.149999999999999" customHeight="1"/>
    <row r="118" ht="16.149999999999999" customHeight="1"/>
    <row r="119" ht="16.149999999999999" customHeight="1"/>
    <row r="120" ht="16.149999999999999" customHeight="1"/>
    <row r="121" ht="16.149999999999999" customHeight="1"/>
    <row r="122" ht="16.149999999999999" customHeight="1"/>
    <row r="123" ht="16.149999999999999" customHeight="1"/>
    <row r="124" ht="16.149999999999999" customHeight="1"/>
    <row r="125" ht="16.149999999999999" customHeight="1"/>
    <row r="126" ht="16.149999999999999" customHeight="1"/>
    <row r="127" ht="16.149999999999999" customHeight="1"/>
    <row r="128" ht="16.149999999999999" customHeight="1"/>
    <row r="129" ht="16.149999999999999" customHeight="1"/>
    <row r="130" ht="16.149999999999999" customHeight="1"/>
    <row r="131" ht="16.149999999999999" customHeight="1"/>
    <row r="132" ht="16.149999999999999" customHeight="1"/>
    <row r="133" ht="16.149999999999999" customHeight="1"/>
    <row r="134" ht="16.149999999999999" customHeight="1"/>
    <row r="135" ht="16.149999999999999" customHeight="1"/>
    <row r="136" ht="16.149999999999999" customHeight="1"/>
    <row r="137" ht="16.149999999999999" customHeight="1"/>
    <row r="138" ht="16.149999999999999" customHeight="1"/>
    <row r="139" ht="16.149999999999999" customHeight="1"/>
    <row r="140" ht="16.149999999999999" customHeight="1"/>
    <row r="141" ht="16.149999999999999" customHeight="1"/>
    <row r="142" ht="16.149999999999999" customHeight="1"/>
    <row r="143" ht="16.149999999999999" customHeight="1"/>
    <row r="144" ht="16.149999999999999" customHeight="1"/>
    <row r="145" ht="16.149999999999999" customHeight="1"/>
    <row r="146" ht="16.149999999999999" customHeight="1"/>
    <row r="147" ht="16.149999999999999" customHeight="1"/>
    <row r="148" ht="16.149999999999999" customHeight="1"/>
    <row r="149" ht="16.149999999999999" customHeight="1"/>
    <row r="150" ht="16.149999999999999" customHeight="1"/>
    <row r="151" ht="16.149999999999999" customHeight="1"/>
    <row r="152" ht="16.149999999999999" customHeight="1"/>
    <row r="153" ht="16.149999999999999" customHeight="1"/>
    <row r="154" ht="16.149999999999999" customHeight="1"/>
    <row r="155" ht="16.149999999999999" customHeight="1"/>
    <row r="156" ht="16.149999999999999" customHeight="1"/>
    <row r="157" ht="16.149999999999999" customHeight="1"/>
    <row r="158" ht="16.149999999999999" customHeight="1"/>
    <row r="159" ht="16.149999999999999" customHeight="1"/>
    <row r="160" ht="16.149999999999999" customHeight="1"/>
    <row r="161" ht="16.149999999999999" customHeight="1"/>
    <row r="162" ht="16.149999999999999" customHeight="1"/>
    <row r="163" ht="16.149999999999999" customHeight="1"/>
    <row r="164" ht="16.149999999999999" customHeight="1"/>
    <row r="165" ht="16.149999999999999" customHeight="1"/>
    <row r="166" ht="16.149999999999999" customHeight="1"/>
    <row r="167" ht="16.149999999999999" customHeight="1"/>
    <row r="168" ht="16.149999999999999" customHeight="1"/>
    <row r="169" ht="16.149999999999999" customHeight="1"/>
    <row r="170" ht="16.149999999999999" customHeight="1"/>
    <row r="171" ht="16.149999999999999" customHeight="1"/>
    <row r="172" ht="16.149999999999999" customHeight="1"/>
    <row r="173" ht="16.149999999999999" customHeight="1"/>
    <row r="174" ht="16.149999999999999" customHeight="1"/>
    <row r="175" ht="16.149999999999999" customHeight="1"/>
    <row r="176" ht="16.149999999999999" customHeight="1"/>
    <row r="177" ht="16.149999999999999" customHeight="1"/>
    <row r="178" ht="16.149999999999999" customHeight="1"/>
    <row r="179" ht="16.149999999999999" customHeight="1"/>
    <row r="180" ht="16.149999999999999" customHeight="1"/>
    <row r="181" ht="16.149999999999999" customHeight="1"/>
    <row r="182" ht="16.149999999999999" customHeight="1"/>
    <row r="183" ht="16.149999999999999" customHeight="1"/>
    <row r="184" ht="16.149999999999999" customHeight="1"/>
    <row r="185" ht="16.149999999999999" customHeight="1"/>
    <row r="186" ht="16.149999999999999" customHeight="1"/>
    <row r="187" ht="16.149999999999999" customHeight="1"/>
    <row r="188" ht="16.149999999999999" customHeight="1"/>
    <row r="189" ht="16.149999999999999" customHeight="1"/>
    <row r="190" ht="16.149999999999999" customHeight="1"/>
    <row r="191" ht="16.149999999999999" customHeight="1"/>
    <row r="192" ht="16.149999999999999" customHeight="1"/>
    <row r="193" ht="16.149999999999999" customHeight="1"/>
    <row r="194" ht="16.149999999999999" customHeight="1"/>
    <row r="195" ht="16.149999999999999" customHeight="1"/>
    <row r="196" ht="16.149999999999999" customHeight="1"/>
    <row r="197" ht="16.149999999999999" customHeight="1"/>
    <row r="198" ht="16.149999999999999" customHeight="1"/>
    <row r="199" ht="16.149999999999999" customHeight="1"/>
    <row r="200" ht="16.149999999999999" customHeight="1"/>
    <row r="201" ht="16.149999999999999" customHeight="1"/>
    <row r="202" ht="16.149999999999999" customHeight="1"/>
    <row r="203" ht="16.149999999999999" customHeight="1"/>
    <row r="204" ht="16.149999999999999" customHeight="1"/>
    <row r="205" ht="16.149999999999999" customHeight="1"/>
    <row r="206" ht="16.149999999999999" customHeight="1"/>
    <row r="207" ht="16.149999999999999" customHeight="1"/>
    <row r="208" ht="16.149999999999999" customHeight="1"/>
    <row r="209" ht="16.149999999999999" customHeight="1"/>
    <row r="210" ht="16.149999999999999" customHeight="1"/>
    <row r="211" ht="16.149999999999999" customHeight="1"/>
    <row r="212" ht="16.149999999999999" customHeight="1"/>
    <row r="213" ht="16.149999999999999" customHeight="1"/>
    <row r="214" ht="16.149999999999999" customHeight="1"/>
    <row r="215" ht="16.149999999999999" customHeight="1"/>
    <row r="216" ht="16.149999999999999" customHeight="1"/>
    <row r="217" ht="16.149999999999999" customHeight="1"/>
    <row r="218" ht="16.149999999999999" customHeight="1"/>
    <row r="219" ht="16.149999999999999" customHeight="1"/>
    <row r="220" ht="16.149999999999999" customHeight="1"/>
    <row r="221" ht="16.149999999999999" customHeight="1"/>
    <row r="222" ht="16.149999999999999" customHeight="1"/>
    <row r="223" ht="16.149999999999999" customHeight="1"/>
    <row r="224" ht="16.149999999999999" customHeight="1"/>
    <row r="225" ht="16.149999999999999" customHeight="1"/>
    <row r="226" ht="16.149999999999999" customHeight="1"/>
    <row r="227" ht="16.149999999999999" customHeight="1"/>
    <row r="228" ht="16.149999999999999" customHeight="1"/>
    <row r="229" ht="16.149999999999999" customHeight="1"/>
    <row r="230" ht="16.149999999999999" customHeight="1"/>
    <row r="231" ht="16.149999999999999" customHeight="1"/>
    <row r="232" ht="16.149999999999999" customHeight="1"/>
    <row r="233" ht="16.149999999999999" customHeight="1"/>
    <row r="234" ht="16.149999999999999" customHeight="1"/>
    <row r="235" ht="16.149999999999999" customHeight="1"/>
    <row r="236" ht="16.149999999999999" customHeight="1"/>
    <row r="237" ht="16.149999999999999" customHeight="1"/>
    <row r="238" ht="16.149999999999999" customHeight="1"/>
    <row r="239" ht="16.149999999999999" customHeight="1"/>
    <row r="240" ht="16.149999999999999" customHeight="1"/>
    <row r="241" ht="16.149999999999999" customHeight="1"/>
    <row r="242" ht="16.149999999999999" customHeight="1"/>
    <row r="243" ht="16.149999999999999" customHeight="1"/>
    <row r="244" ht="16.149999999999999" customHeight="1"/>
    <row r="245" ht="16.149999999999999" customHeight="1"/>
    <row r="246" ht="16.149999999999999" customHeight="1"/>
    <row r="247" ht="16.149999999999999" customHeight="1"/>
    <row r="248" ht="16.149999999999999" customHeight="1"/>
    <row r="249" ht="16.149999999999999" customHeight="1"/>
    <row r="250" ht="16.149999999999999" customHeight="1"/>
    <row r="251" ht="16.149999999999999" customHeight="1"/>
    <row r="252" ht="16.149999999999999" customHeight="1"/>
    <row r="253" ht="16.149999999999999" customHeight="1"/>
    <row r="254" ht="16.149999999999999" customHeight="1"/>
    <row r="255" ht="16.149999999999999" customHeight="1"/>
    <row r="256" ht="16.149999999999999" customHeight="1"/>
    <row r="257" ht="16.149999999999999" customHeight="1"/>
    <row r="258" ht="16.149999999999999" customHeight="1"/>
    <row r="259" ht="16.149999999999999" customHeight="1"/>
    <row r="260" ht="16.149999999999999" customHeight="1"/>
    <row r="261" ht="16.149999999999999" customHeight="1"/>
    <row r="262" ht="16.149999999999999" customHeight="1"/>
    <row r="263" ht="16.149999999999999" customHeight="1"/>
    <row r="264" ht="16.149999999999999" customHeight="1"/>
    <row r="265" ht="16.149999999999999" customHeight="1"/>
    <row r="266" ht="16.149999999999999" customHeight="1"/>
    <row r="267" ht="16.149999999999999" customHeight="1"/>
    <row r="268" ht="16.149999999999999" customHeight="1"/>
    <row r="269" ht="16.149999999999999" customHeight="1"/>
    <row r="270" ht="16.149999999999999" customHeight="1"/>
    <row r="271" ht="16.149999999999999" customHeight="1"/>
    <row r="272" ht="16.149999999999999" customHeight="1"/>
    <row r="273" ht="16.149999999999999" customHeight="1"/>
    <row r="274" ht="16.149999999999999" customHeight="1"/>
    <row r="275" ht="16.149999999999999" customHeight="1"/>
    <row r="276" ht="16.149999999999999" customHeight="1"/>
    <row r="277" ht="16.149999999999999" customHeight="1"/>
    <row r="278" ht="16.149999999999999" customHeight="1"/>
    <row r="279" ht="16.149999999999999" customHeight="1"/>
    <row r="280" ht="16.149999999999999" customHeight="1"/>
    <row r="281" ht="16.149999999999999" customHeight="1"/>
    <row r="282" ht="16.149999999999999" customHeight="1"/>
    <row r="283" ht="16.149999999999999" customHeight="1"/>
    <row r="284" ht="16.149999999999999" customHeight="1"/>
    <row r="285" ht="16.149999999999999" customHeight="1"/>
    <row r="286" ht="16.149999999999999" customHeight="1"/>
    <row r="287" ht="16.149999999999999" customHeight="1"/>
    <row r="288" ht="16.149999999999999" customHeight="1"/>
    <row r="289" ht="16.149999999999999" customHeight="1"/>
    <row r="290" ht="16.149999999999999" customHeight="1"/>
    <row r="291" ht="16.149999999999999" customHeight="1"/>
    <row r="292" ht="16.149999999999999" customHeight="1"/>
    <row r="293" ht="16.149999999999999" customHeight="1"/>
    <row r="294" ht="16.149999999999999" customHeight="1"/>
    <row r="295" ht="16.149999999999999" customHeight="1"/>
    <row r="296" ht="16.149999999999999" customHeight="1"/>
    <row r="297" ht="16.149999999999999" customHeight="1"/>
    <row r="298" ht="16.149999999999999" customHeight="1"/>
    <row r="299" ht="16.149999999999999" customHeight="1"/>
    <row r="300" ht="16.149999999999999" customHeight="1"/>
    <row r="301" ht="16.149999999999999" customHeight="1"/>
    <row r="302" ht="16.149999999999999" customHeight="1"/>
    <row r="303" ht="16.149999999999999" customHeight="1"/>
    <row r="304" ht="16.149999999999999" customHeight="1"/>
    <row r="305" ht="16.149999999999999" customHeight="1"/>
    <row r="306" ht="16.149999999999999" customHeight="1"/>
    <row r="307" ht="16.149999999999999" customHeight="1"/>
    <row r="308" ht="16.149999999999999" customHeight="1"/>
    <row r="309" ht="16.149999999999999" customHeight="1"/>
    <row r="310" ht="16.149999999999999" customHeight="1"/>
    <row r="311" ht="16.149999999999999" customHeight="1"/>
    <row r="312" ht="16.149999999999999" customHeight="1"/>
    <row r="313" ht="16.149999999999999" customHeight="1"/>
    <row r="314" ht="16.149999999999999" customHeight="1"/>
    <row r="315" ht="16.149999999999999" customHeight="1"/>
    <row r="316" ht="16.149999999999999" customHeight="1"/>
    <row r="317" ht="16.149999999999999" customHeight="1"/>
    <row r="318" ht="16.149999999999999" customHeight="1"/>
    <row r="319" ht="16.149999999999999" customHeight="1"/>
    <row r="320" ht="16.149999999999999" customHeight="1"/>
    <row r="321" ht="16.149999999999999" customHeight="1"/>
    <row r="322" ht="16.149999999999999" customHeight="1"/>
    <row r="323" ht="16.149999999999999" customHeight="1"/>
    <row r="324" ht="16.149999999999999" customHeight="1"/>
    <row r="325" ht="16.149999999999999" customHeight="1"/>
    <row r="326" ht="16.149999999999999" customHeight="1"/>
    <row r="327" ht="16.149999999999999" customHeight="1"/>
    <row r="328" ht="16.149999999999999" customHeight="1"/>
    <row r="329" ht="16.149999999999999" customHeight="1"/>
    <row r="330" ht="16.149999999999999" customHeight="1"/>
    <row r="331" ht="16.149999999999999" customHeight="1"/>
    <row r="332" ht="16.149999999999999" customHeight="1"/>
    <row r="333" ht="16.149999999999999" customHeight="1"/>
    <row r="334" ht="16.149999999999999" customHeight="1"/>
    <row r="335" ht="16.149999999999999" customHeight="1"/>
    <row r="336" ht="16.149999999999999" customHeight="1"/>
    <row r="337" ht="16.149999999999999" customHeight="1"/>
    <row r="338" ht="16.149999999999999" customHeight="1"/>
    <row r="339" ht="16.149999999999999" customHeight="1"/>
    <row r="340" ht="16.149999999999999" customHeight="1"/>
    <row r="341" ht="16.149999999999999" customHeight="1"/>
    <row r="342" ht="16.149999999999999" customHeight="1"/>
    <row r="343" ht="16.149999999999999" customHeight="1"/>
    <row r="344" ht="16.149999999999999" customHeight="1"/>
    <row r="345" ht="16.149999999999999" customHeight="1"/>
    <row r="346" ht="16.149999999999999" customHeight="1"/>
    <row r="347" ht="16.149999999999999" customHeight="1"/>
    <row r="348" ht="16.149999999999999" customHeight="1"/>
    <row r="349" ht="16.149999999999999" customHeight="1"/>
    <row r="350" ht="16.149999999999999" customHeight="1"/>
    <row r="351" ht="16.149999999999999" customHeight="1"/>
    <row r="352" ht="16.149999999999999" customHeight="1"/>
    <row r="353" ht="16.149999999999999" customHeight="1"/>
    <row r="354" ht="16.149999999999999" customHeight="1"/>
    <row r="355" ht="16.149999999999999" customHeight="1"/>
    <row r="356" ht="16.149999999999999" customHeight="1"/>
    <row r="357" ht="16.149999999999999" customHeight="1"/>
    <row r="358" ht="16.149999999999999" customHeight="1"/>
    <row r="359" ht="16.149999999999999" customHeight="1"/>
    <row r="360" ht="16.149999999999999" customHeight="1"/>
    <row r="361" ht="16.149999999999999" customHeight="1"/>
    <row r="362" ht="16.149999999999999" customHeight="1"/>
    <row r="363" ht="16.149999999999999" customHeight="1"/>
    <row r="364" ht="16.149999999999999" customHeight="1"/>
    <row r="365" ht="16.149999999999999" customHeight="1"/>
    <row r="366" ht="16.149999999999999" customHeight="1"/>
    <row r="367" ht="16.149999999999999" customHeight="1"/>
    <row r="368" ht="16.149999999999999" customHeight="1"/>
    <row r="369" ht="16.149999999999999" customHeight="1"/>
    <row r="370" ht="16.149999999999999" customHeight="1"/>
    <row r="371" ht="16.149999999999999" customHeight="1"/>
    <row r="372" ht="16.149999999999999" customHeight="1"/>
    <row r="373" ht="16.149999999999999" customHeight="1"/>
    <row r="374" ht="16.149999999999999" customHeight="1"/>
    <row r="375" ht="16.149999999999999" customHeight="1"/>
    <row r="376" ht="16.149999999999999" customHeight="1"/>
    <row r="377" ht="16.149999999999999" customHeight="1"/>
    <row r="378" ht="16.149999999999999" customHeight="1"/>
    <row r="379" ht="16.149999999999999" customHeight="1"/>
    <row r="380" ht="16.149999999999999" customHeight="1"/>
    <row r="381" ht="16.149999999999999" customHeight="1"/>
    <row r="382" ht="16.149999999999999" customHeight="1"/>
    <row r="383" ht="16.149999999999999" customHeight="1"/>
    <row r="384" ht="16.149999999999999" customHeight="1"/>
    <row r="385" ht="16.149999999999999" customHeight="1"/>
    <row r="386" ht="16.149999999999999" customHeight="1"/>
    <row r="387" ht="16.149999999999999" customHeight="1"/>
    <row r="388" ht="16.149999999999999" customHeight="1"/>
    <row r="389" ht="16.149999999999999" customHeight="1"/>
    <row r="390" ht="16.149999999999999" customHeight="1"/>
    <row r="391" ht="16.149999999999999" customHeight="1"/>
    <row r="392" ht="16.149999999999999" customHeight="1"/>
    <row r="393" ht="16.149999999999999" customHeight="1"/>
    <row r="394" ht="16.149999999999999" customHeight="1"/>
    <row r="395" ht="16.149999999999999" customHeight="1"/>
    <row r="396" ht="16.149999999999999" customHeight="1"/>
    <row r="397" ht="16.149999999999999" customHeight="1"/>
    <row r="398" ht="16.149999999999999" customHeight="1"/>
    <row r="399" ht="16.149999999999999" customHeight="1"/>
    <row r="400" ht="16.149999999999999" customHeight="1"/>
    <row r="401" ht="16.149999999999999" customHeight="1"/>
    <row r="402" ht="16.149999999999999" customHeight="1"/>
    <row r="403" ht="16.149999999999999" customHeight="1"/>
    <row r="404" ht="16.149999999999999" customHeight="1"/>
    <row r="405" ht="16.149999999999999" customHeight="1"/>
    <row r="406" ht="16.149999999999999" customHeight="1"/>
    <row r="407" ht="16.149999999999999" customHeight="1"/>
    <row r="408" ht="16.149999999999999" customHeight="1"/>
    <row r="409" ht="16.149999999999999" customHeight="1"/>
    <row r="410" ht="16.149999999999999" customHeight="1"/>
    <row r="411" ht="16.149999999999999" customHeight="1"/>
    <row r="412" ht="16.149999999999999" customHeight="1"/>
    <row r="413" ht="16.149999999999999" customHeight="1"/>
    <row r="414" ht="16.149999999999999" customHeight="1"/>
    <row r="415" ht="16.149999999999999" customHeight="1"/>
    <row r="416" ht="16.149999999999999" customHeight="1"/>
    <row r="417" ht="16.149999999999999" customHeight="1"/>
    <row r="418" ht="16.149999999999999" customHeight="1"/>
    <row r="419" ht="16.149999999999999" customHeight="1"/>
    <row r="420" ht="16.149999999999999" customHeight="1"/>
    <row r="421" ht="16.149999999999999" customHeight="1"/>
    <row r="422" ht="16.149999999999999" customHeight="1"/>
    <row r="423" ht="16.149999999999999" customHeight="1"/>
    <row r="424" ht="16.149999999999999" customHeight="1"/>
    <row r="425" ht="16.149999999999999" customHeight="1"/>
    <row r="426" ht="16.149999999999999" customHeight="1"/>
    <row r="427" ht="16.149999999999999" customHeight="1"/>
    <row r="428" ht="16.149999999999999" customHeight="1"/>
    <row r="429" ht="16.149999999999999" customHeight="1"/>
    <row r="430" ht="16.149999999999999" customHeight="1"/>
    <row r="431" ht="16.149999999999999" customHeight="1"/>
    <row r="432" ht="16.149999999999999" customHeight="1"/>
    <row r="433" ht="16.149999999999999" customHeight="1"/>
    <row r="434" ht="16.149999999999999" customHeight="1"/>
    <row r="435" ht="16.149999999999999" customHeight="1"/>
    <row r="436" ht="16.149999999999999" customHeight="1"/>
    <row r="437" ht="16.149999999999999" customHeight="1"/>
    <row r="438" ht="16.149999999999999" customHeight="1"/>
    <row r="439" ht="16.149999999999999" customHeight="1"/>
    <row r="440" ht="16.149999999999999" customHeight="1"/>
    <row r="441" ht="16.149999999999999" customHeight="1"/>
    <row r="442" ht="16.149999999999999" customHeight="1"/>
    <row r="443" ht="16.149999999999999" customHeight="1"/>
    <row r="444" ht="16.149999999999999" customHeight="1"/>
    <row r="445" ht="16.149999999999999" customHeight="1"/>
    <row r="446" ht="16.149999999999999" customHeight="1"/>
    <row r="447" ht="16.149999999999999" customHeight="1"/>
    <row r="448" ht="16.149999999999999" customHeight="1"/>
    <row r="449" ht="16.149999999999999" customHeight="1"/>
    <row r="450" ht="16.149999999999999" customHeight="1"/>
    <row r="451" ht="16.149999999999999" customHeight="1"/>
    <row r="452" ht="16.149999999999999" customHeight="1"/>
    <row r="453" ht="16.149999999999999" customHeight="1"/>
    <row r="454" ht="16.149999999999999" customHeight="1"/>
    <row r="455" ht="16.149999999999999" customHeight="1"/>
    <row r="456" ht="16.149999999999999" customHeight="1"/>
    <row r="457" ht="16.149999999999999" customHeight="1"/>
    <row r="458" ht="16.149999999999999" customHeight="1"/>
    <row r="459" ht="16.149999999999999" customHeight="1"/>
    <row r="460" ht="16.149999999999999" customHeight="1"/>
    <row r="461" ht="16.149999999999999" customHeight="1"/>
    <row r="462" ht="16.149999999999999" customHeight="1"/>
    <row r="463" ht="16.149999999999999" customHeight="1"/>
    <row r="464" ht="16.149999999999999" customHeight="1"/>
    <row r="465" ht="16.149999999999999" customHeight="1"/>
    <row r="466" ht="16.149999999999999" customHeight="1"/>
    <row r="467" ht="16.149999999999999" customHeight="1"/>
    <row r="468" ht="16.149999999999999" customHeight="1"/>
    <row r="469" ht="16.149999999999999" customHeight="1"/>
    <row r="470" ht="16.149999999999999" customHeight="1"/>
    <row r="471" ht="16.149999999999999" customHeight="1"/>
    <row r="472" ht="16.149999999999999" customHeight="1"/>
    <row r="473" ht="16.149999999999999" customHeight="1"/>
    <row r="474" ht="16.149999999999999" customHeight="1"/>
    <row r="475" ht="16.149999999999999" customHeight="1"/>
    <row r="476" ht="16.149999999999999" customHeight="1"/>
    <row r="477" ht="16.149999999999999" customHeight="1"/>
    <row r="478" ht="16.149999999999999" customHeight="1"/>
    <row r="479" ht="16.149999999999999" customHeight="1"/>
    <row r="480" ht="16.149999999999999" customHeight="1"/>
    <row r="481" ht="16.149999999999999" customHeight="1"/>
    <row r="482" ht="16.149999999999999" customHeight="1"/>
    <row r="483" ht="16.149999999999999" customHeight="1"/>
    <row r="484" ht="16.149999999999999" customHeight="1"/>
    <row r="485" ht="16.149999999999999" customHeight="1"/>
    <row r="486" ht="16.149999999999999" customHeight="1"/>
    <row r="487" ht="16.149999999999999" customHeight="1"/>
  </sheetData>
  <sheetProtection selectLockedCells="1"/>
  <mergeCells count="24">
    <mergeCell ref="A51:D55"/>
    <mergeCell ref="A39:C39"/>
    <mergeCell ref="A40:C40"/>
    <mergeCell ref="A41:C41"/>
    <mergeCell ref="A42:C42"/>
    <mergeCell ref="A43:C43"/>
    <mergeCell ref="A47:D49"/>
    <mergeCell ref="A30:E30"/>
    <mergeCell ref="F30:N30"/>
    <mergeCell ref="O30:S30"/>
    <mergeCell ref="A5:Q5"/>
    <mergeCell ref="H14:L14"/>
    <mergeCell ref="M14:Q14"/>
    <mergeCell ref="A20:M20"/>
    <mergeCell ref="R21:V21"/>
    <mergeCell ref="W21:AA21"/>
    <mergeCell ref="A25:P25"/>
    <mergeCell ref="A7:AA7"/>
    <mergeCell ref="C8:G8"/>
    <mergeCell ref="H8:L8"/>
    <mergeCell ref="M8:Q8"/>
    <mergeCell ref="R8:V8"/>
    <mergeCell ref="W8:AA8"/>
    <mergeCell ref="C14:G14"/>
  </mergeCells>
  <conditionalFormatting sqref="D39:D45">
    <cfRule type="duplicateValues" dxfId="16" priority="3"/>
  </conditionalFormatting>
  <conditionalFormatting sqref="D45">
    <cfRule type="containsText" dxfId="15" priority="1" operator="containsText" text="No">
      <formula>NOT(ISERROR(SEARCH("No",D45)))</formula>
    </cfRule>
    <cfRule type="containsText" dxfId="14" priority="2" operator="containsText" text="Yes">
      <formula>NOT(ISERROR(SEARCH("Yes",D45)))</formula>
    </cfRule>
  </conditionalFormatting>
  <dataValidations count="3">
    <dataValidation errorStyle="warning" operator="lessThanOrEqual" allowBlank="1" showInputMessage="1" showErrorMessage="1" errorTitle="Large number" error="The number you entered is very large or non numeric, is this correct?" sqref="A6:AA6 AB6:XFD1048576 A1:A5 B1:Q4 R1:XFD5 E34:AA1048576 A34:D36 A56:D1048576" xr:uid="{321A31F6-663C-46E3-A2A8-0F70BE7369B3}"/>
    <dataValidation type="whole" allowBlank="1" showInputMessage="1" showErrorMessage="1" errorTitle="Error" error="Please enter a whole number greater than zero and less than 10,000." sqref="G11 Q17 L11 Q11 G17 L17 V11 AA11 T24:AA33 R24:S29 C33:S33 J27:L27 N27:P27 D27:H27 D22:H22 J22:M22" xr:uid="{E397F226-EC83-43BF-B616-FD0273C614E9}">
      <formula1>0</formula1>
      <formula2>10000</formula2>
    </dataValidation>
    <dataValidation type="whole" allowBlank="1" showInputMessage="1" showErrorMessage="1" sqref="C11:F11 H11:K11 M11:P11 R11:U11 W11:Z11 C17:F17 H17:K17 M17:P17" xr:uid="{265C5CE1-CCFC-4090-B7CB-56FD1CA95D81}">
      <formula1>0</formula1>
      <formula2>10000</formula2>
    </dataValidation>
  </dataValidations>
  <printOptions horizontalCentered="1"/>
  <pageMargins left="0.19685039370078741" right="0.19685039370078741" top="0.78740157480314965" bottom="0.39370078740157483" header="0.51181102362204722" footer="0.51181102362204722"/>
  <pageSetup paperSize="9" scale="68" orientation="landscape" r:id="rId1"/>
  <headerFooter alignWithMargins="0">
    <oddHeader>&amp;LAnnual Returns 2016-17&amp;C&amp;"Aptos"&amp;10&amp;K000000 OFFICIAL&amp;1#_x000D_&amp;RLE1- Number of wholetime firefighters leaving&amp;LAnnual Returns 2016-17</oddHeader>
    <oddFooter>&amp;C_x000D_&amp;1#&amp;"Aptos"&amp;10&amp;K000000 OFFICIAL</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E321E-FA8C-496D-9FE6-127C5CE3E177}">
  <sheetPr codeName="Sheet14">
    <tabColor rgb="FFFFC000"/>
  </sheetPr>
  <dimension ref="A1:AE9"/>
  <sheetViews>
    <sheetView workbookViewId="0">
      <selection activeCell="AD9" sqref="AD9"/>
    </sheetView>
  </sheetViews>
  <sheetFormatPr defaultRowHeight="12.75"/>
  <cols>
    <col min="1" max="1" width="15.140625" customWidth="1"/>
    <col min="5" max="5" width="18.28515625" customWidth="1"/>
    <col min="9" max="9" width="18.28515625" style="274" customWidth="1"/>
    <col min="13" max="13" width="18.42578125" customWidth="1"/>
    <col min="17" max="17" width="18.140625" customWidth="1"/>
    <col min="21" max="21" width="18.7109375" customWidth="1"/>
    <col min="25" max="25" width="18.140625" customWidth="1"/>
    <col min="29" max="29" width="18.28515625" customWidth="1"/>
  </cols>
  <sheetData>
    <row r="1" spans="1:31" s="278" customFormat="1" ht="45.75" customHeight="1">
      <c r="A1" s="277" t="s">
        <v>421</v>
      </c>
      <c r="B1" s="278">
        <f>COUNTIF(4:9,"No, check notes and consider email to FRS") +COUNTIF(4:9,"Check") + COUNTIF(4:9,"&gt;0.5")</f>
        <v>0</v>
      </c>
    </row>
    <row r="3" spans="1:31" ht="15">
      <c r="A3" s="272" t="s">
        <v>422</v>
      </c>
      <c r="B3" s="272"/>
      <c r="C3" s="272"/>
      <c r="D3" s="273"/>
      <c r="E3" s="272" t="s">
        <v>423</v>
      </c>
      <c r="F3" s="272"/>
      <c r="G3" s="272"/>
      <c r="H3" s="273"/>
      <c r="I3" s="275" t="s">
        <v>424</v>
      </c>
      <c r="J3" s="272"/>
      <c r="K3" s="272"/>
      <c r="M3" s="272" t="s">
        <v>425</v>
      </c>
      <c r="N3" s="272"/>
      <c r="O3" s="272"/>
      <c r="P3" s="273"/>
      <c r="Q3" s="272" t="s">
        <v>426</v>
      </c>
      <c r="R3" s="272"/>
      <c r="S3" s="272"/>
      <c r="T3" s="273"/>
      <c r="U3" s="272" t="s">
        <v>427</v>
      </c>
      <c r="V3" s="272"/>
      <c r="W3" s="272"/>
      <c r="Y3" s="272" t="s">
        <v>428</v>
      </c>
      <c r="Z3" s="272"/>
      <c r="AA3" s="272"/>
      <c r="AB3" s="273"/>
      <c r="AC3" s="272" t="s">
        <v>429</v>
      </c>
      <c r="AD3" s="272"/>
      <c r="AE3" s="272"/>
    </row>
    <row r="4" spans="1:31" ht="38.25">
      <c r="A4" s="274" t="s">
        <v>430</v>
      </c>
      <c r="B4" t="str">
        <f>IF(LE1a!I27=SUM(LE1b!C69:E69),"Yes","No, check notes and consider email to FRS")</f>
        <v>Yes</v>
      </c>
      <c r="E4" s="274" t="s">
        <v>308</v>
      </c>
      <c r="F4" t="str">
        <f>IF(LE1b!V31="Yes","Yes","No, check notes and consider email to FRS")</f>
        <v>Yes</v>
      </c>
      <c r="I4" s="274" t="s">
        <v>431</v>
      </c>
      <c r="J4" t="str">
        <f>IF(LE2a!G30=SUM(LE2b!C59:E59),"Yes","No, check notes and consider email to FRS")</f>
        <v>Yes</v>
      </c>
      <c r="M4" s="274" t="s">
        <v>308</v>
      </c>
      <c r="N4" t="str">
        <f>IF(LE2b!$V$31="Yes","Yes","No, check notes and consider email to FRS")</f>
        <v>Yes</v>
      </c>
      <c r="Q4" s="274" t="s">
        <v>432</v>
      </c>
      <c r="R4" t="str">
        <f>IF(LE3a!G27=SUM(LE3b!C59:E59),"Yes","No, check notes and consider email to FRS")</f>
        <v>Yes</v>
      </c>
      <c r="U4" s="274" t="s">
        <v>308</v>
      </c>
      <c r="V4" t="str">
        <f>IF(LE3b!X31="Yes","Yes","No, check notes and consider email to FRS")</f>
        <v>Yes</v>
      </c>
      <c r="Y4" s="274" t="s">
        <v>433</v>
      </c>
      <c r="Z4" t="str">
        <f>IF(LE4a!B27=SUM(LE4b!C33:E33),"Yes","No, check, may need to email FRS")</f>
        <v>Yes</v>
      </c>
      <c r="AC4" s="274" t="s">
        <v>308</v>
      </c>
      <c r="AD4" t="str">
        <f>IF(LE4b!D45="Yes","Yes","No,check, may need to email FRS")</f>
        <v>Yes</v>
      </c>
    </row>
    <row r="5" spans="1:31" ht="25.5">
      <c r="A5" s="274" t="s">
        <v>434</v>
      </c>
      <c r="B5" t="e">
        <f>IF(OR(AND((LE1a!$I$27-'LE1a PY'!$I$27)/'LE1a PY'!$I$27 &gt; 0.5, LE1a!$I$27-'LE1a PY'!$I$27 &gt;= 10), AND((LE1a!$I$27-'LE1a PY'!$I$27)/'LE1a PY'!$I$27 &lt; -0.5, LE1a!$I$27-'LE1a PY'!$I$27 &lt;= -10)),"Check","Pass")</f>
        <v>#DIV/0!</v>
      </c>
      <c r="E5" s="274" t="s">
        <v>435</v>
      </c>
      <c r="F5" t="e">
        <f>SUM(LE1b!F19,LE1b!K19,LE1b!P19,LE1b!U19,LE1b!F32,LE1b!K32,LE1b!P32)/LE1b!V25</f>
        <v>#DIV/0!</v>
      </c>
      <c r="I5" s="274" t="s">
        <v>436</v>
      </c>
      <c r="J5" t="e">
        <f>IF(OR(AND((LE2a!$G$30-'LE2a PY'!G27)/'LE2a PY'!G27&gt;0.5,LE2a!G30-'LE2a PY'!G27&gt;=10),AND((LE2a!$G$30-'LE2a PY'!$G$27)/'LE2a PY'!$G$27&lt;-0.5,LE2a!$G$30-'LE2a PY'!$G$27&lt;=-10)),"Check","Pass")</f>
        <v>#DIV/0!</v>
      </c>
      <c r="M5" s="274" t="s">
        <v>435</v>
      </c>
      <c r="N5" t="e">
        <f>SUM(LE2b!F17,LE2b!K17,LE2b!P17,LE2b!U17,LE2b!F28,LE2b!K28,LE2b!P28)/LE2b!V25</f>
        <v>#DIV/0!</v>
      </c>
      <c r="Q5" s="274" t="s">
        <v>437</v>
      </c>
      <c r="R5" t="e">
        <f>IF(OR(AND((LE3a!$G$27-'LE3a PY'!$G$27)/'LE3a PY'!G27&gt;0.5,LE3a!$G$27-'LE3a PY'!$G$27&gt;=10),AND((LE3a!$G$27-'LE3a PY'!$G$27)/'LE3a PY'!G27&lt;-0.5,LE3a!$G$27-'LE3a PY'!$G$27&lt;=-10)),"Check","Pass")</f>
        <v>#DIV/0!</v>
      </c>
      <c r="U5" s="274" t="s">
        <v>435</v>
      </c>
      <c r="V5" t="e">
        <f>SUM(LE3b!F17,LE3b!K17,LE3b!P17,LE3b!U17,LE3b!Z17,LE3b!F28,LE3b!K28,LE3b!P28)/LE3b!X25</f>
        <v>#DIV/0!</v>
      </c>
      <c r="Y5" s="274" t="s">
        <v>438</v>
      </c>
      <c r="Z5" t="e">
        <f>IF(OR(AND((LE4a!$B$27-'LE4a PY'!$B$27)/'LE4a PY'!O27&gt;0.5,LE4a!$B$27-'LE4a PY'!$B$27&gt;=10),AND((LE4a!$B$27-'LE4a PY'!$B$27)/'LE4a PY'!O27&lt;-0.5,LE4a!$B$27-'LE4a PY'!$B$27&lt;=-10)),"Check","Pass")</f>
        <v>#DIV/0!</v>
      </c>
      <c r="AC5" s="274" t="s">
        <v>435</v>
      </c>
      <c r="AD5" t="e">
        <f>SUM(LE4b!F11,LE4b!K11,LE4b!P11,LE4b!U11,LE4b!Z11,LE4b!F17,LE4b!K17,LE4b!P17)/LE4b!D39</f>
        <v>#DIV/0!</v>
      </c>
    </row>
    <row r="6" spans="1:31">
      <c r="E6" s="274" t="s">
        <v>439</v>
      </c>
      <c r="F6" t="e">
        <f>LE1b!P56/LE1b!V26</f>
        <v>#DIV/0!</v>
      </c>
      <c r="I6" s="274" t="s">
        <v>440</v>
      </c>
      <c r="M6" s="274" t="s">
        <v>439</v>
      </c>
      <c r="N6" t="e">
        <f>LE2b!P48/LE2b!V26</f>
        <v>#DIV/0!</v>
      </c>
      <c r="Q6" s="274" t="s">
        <v>440</v>
      </c>
      <c r="U6" s="274" t="s">
        <v>439</v>
      </c>
      <c r="V6" t="e">
        <f>LE3b!P48/LE3b!X26</f>
        <v>#DIV/0!</v>
      </c>
      <c r="Y6" s="274" t="s">
        <v>440</v>
      </c>
      <c r="AC6" s="274" t="s">
        <v>439</v>
      </c>
      <c r="AD6" t="e">
        <f>LE4b!P27/LE4b!D40</f>
        <v>#DIV/0!</v>
      </c>
    </row>
    <row r="7" spans="1:31">
      <c r="E7" s="274" t="s">
        <v>441</v>
      </c>
      <c r="F7" t="e">
        <f>LE1b!E69/LE1b!V28</f>
        <v>#DIV/0!</v>
      </c>
      <c r="M7" s="274" t="s">
        <v>441</v>
      </c>
      <c r="N7" t="e">
        <f>LE2b!E59/LE2b!V28</f>
        <v>#DIV/0!</v>
      </c>
      <c r="U7" s="274" t="s">
        <v>441</v>
      </c>
      <c r="V7" t="e">
        <f>LE3b!E59/LE3b!X28</f>
        <v>#DIV/0!</v>
      </c>
      <c r="AC7" s="274" t="s">
        <v>441</v>
      </c>
      <c r="AD7" t="e">
        <f>LE4b!E33/LE4b!D42</f>
        <v>#DIV/0!</v>
      </c>
    </row>
    <row r="8" spans="1:31">
      <c r="D8" s="84"/>
      <c r="E8" s="274" t="s">
        <v>442</v>
      </c>
      <c r="F8" t="e">
        <f>LE1b!N69/LE1b!V29</f>
        <v>#DIV/0!</v>
      </c>
      <c r="M8" s="274" t="s">
        <v>442</v>
      </c>
      <c r="N8" t="e">
        <f>LE2b!N59/LE2b!V29</f>
        <v>#DIV/0!</v>
      </c>
      <c r="U8" s="274" t="s">
        <v>442</v>
      </c>
      <c r="V8" t="e">
        <f>LE3b!N59/LE3b!X29</f>
        <v>#DIV/0!</v>
      </c>
      <c r="AC8" s="274" t="s">
        <v>442</v>
      </c>
      <c r="AD8" t="e">
        <f>LE4b!N33/LE4b!D43</f>
        <v>#DIV/0!</v>
      </c>
    </row>
    <row r="9" spans="1:31" ht="25.5">
      <c r="E9" s="274" t="s">
        <v>443</v>
      </c>
      <c r="F9" t="e">
        <f>LE1b!S69/LE1b!V27</f>
        <v>#DIV/0!</v>
      </c>
      <c r="M9" s="274" t="s">
        <v>443</v>
      </c>
      <c r="N9" t="e">
        <f>LE2b!S59/LE2b!V27</f>
        <v>#DIV/0!</v>
      </c>
      <c r="U9" s="274" t="s">
        <v>443</v>
      </c>
      <c r="V9" t="e">
        <f>LE3b!S59/LE3b!X27</f>
        <v>#DIV/0!</v>
      </c>
      <c r="AC9" s="274" t="s">
        <v>443</v>
      </c>
      <c r="AD9" t="e">
        <f>LE4b!S33/LE4b!D41</f>
        <v>#DIV/0!</v>
      </c>
    </row>
  </sheetData>
  <conditionalFormatting sqref="A1:B1">
    <cfRule type="containsText" dxfId="13" priority="21" operator="containsText" text="No, email FRS">
      <formula>NOT(ISERROR(SEARCH("No, email FRS",A1)))</formula>
    </cfRule>
  </conditionalFormatting>
  <conditionalFormatting sqref="A4:XFD9">
    <cfRule type="containsText" dxfId="12" priority="17" operator="containsText" text="Pass">
      <formula>NOT(ISERROR(SEARCH("Pass",A4)))</formula>
    </cfRule>
    <cfRule type="containsText" dxfId="11" priority="18" operator="containsText" text="Check">
      <formula>NOT(ISERROR(SEARCH("Check",A4)))</formula>
    </cfRule>
  </conditionalFormatting>
  <conditionalFormatting sqref="B1">
    <cfRule type="cellIs" dxfId="10" priority="19" operator="equal">
      <formula>0</formula>
    </cfRule>
    <cfRule type="cellIs" dxfId="9" priority="20" operator="greaterThan">
      <formula>0</formula>
    </cfRule>
  </conditionalFormatting>
  <conditionalFormatting sqref="C1:XFD1">
    <cfRule type="containsText" dxfId="8" priority="23" operator="containsText" text="No, email FRS">
      <formula>NOT(ISERROR(SEARCH("No, email FRS",C1)))</formula>
    </cfRule>
  </conditionalFormatting>
  <conditionalFormatting sqref="F5:F9">
    <cfRule type="cellIs" dxfId="7" priority="16" operator="greaterThan">
      <formula>0.5</formula>
    </cfRule>
  </conditionalFormatting>
  <conditionalFormatting sqref="J5">
    <cfRule type="cellIs" dxfId="6" priority="12" operator="greaterThan">
      <formula>0.5</formula>
    </cfRule>
  </conditionalFormatting>
  <conditionalFormatting sqref="N5:N9">
    <cfRule type="cellIs" dxfId="5" priority="11" operator="greaterThan">
      <formula>0.5</formula>
    </cfRule>
  </conditionalFormatting>
  <conditionalFormatting sqref="R5">
    <cfRule type="cellIs" dxfId="4" priority="9" operator="greaterThan">
      <formula>0.5</formula>
    </cfRule>
  </conditionalFormatting>
  <conditionalFormatting sqref="V5:V9">
    <cfRule type="cellIs" dxfId="3" priority="7" operator="greaterThan">
      <formula>0.5</formula>
    </cfRule>
  </conditionalFormatting>
  <conditionalFormatting sqref="Z5">
    <cfRule type="cellIs" dxfId="2" priority="4" operator="greaterThan">
      <formula>0.5</formula>
    </cfRule>
  </conditionalFormatting>
  <conditionalFormatting sqref="AB1:AC1">
    <cfRule type="containsText" dxfId="1" priority="22" operator="containsText" text="Yes">
      <formula>NOT(ISERROR(SEARCH("Yes",AB1)))</formula>
    </cfRule>
  </conditionalFormatting>
  <conditionalFormatting sqref="AD5:AD9">
    <cfRule type="cellIs" dxfId="0" priority="1" operator="greaterThan">
      <formula>0.5</formula>
    </cfRule>
  </conditionalFormatting>
  <pageMargins left="0.7" right="0.7" top="0.75" bottom="0.75" header="0.3" footer="0.3"/>
  <headerFooter>
    <oddHeader>&amp;C&amp;"Aptos"&amp;10&amp;K000000 OFFICIAL&amp;1#_x000D_</oddHeader>
    <oddFooter>&amp;C_x000D_&amp;1#&amp;"Aptos"&amp;10&amp;K000000 OFFICIAL</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68FA1-A279-4699-9719-D6A8918CA088}">
  <sheetPr codeName="Sheet19">
    <tabColor rgb="FFFF0000"/>
  </sheetPr>
  <dimension ref="A1:C4"/>
  <sheetViews>
    <sheetView workbookViewId="0">
      <selection activeCell="C1" sqref="C1:C3"/>
    </sheetView>
  </sheetViews>
  <sheetFormatPr defaultColWidth="9.28515625" defaultRowHeight="12.75"/>
  <cols>
    <col min="1" max="1" width="23.85546875" style="71" customWidth="1"/>
    <col min="2" max="16384" width="9.28515625" style="71"/>
  </cols>
  <sheetData>
    <row r="1" spans="1:3">
      <c r="A1" s="70" t="s">
        <v>444</v>
      </c>
      <c r="C1" s="70" t="s">
        <v>445</v>
      </c>
    </row>
    <row r="2" spans="1:3">
      <c r="A2" s="71">
        <v>500</v>
      </c>
      <c r="C2" s="71">
        <v>0.6</v>
      </c>
    </row>
    <row r="3" spans="1:3">
      <c r="A3" s="71">
        <v>150</v>
      </c>
      <c r="C3" s="71">
        <v>1.4</v>
      </c>
    </row>
    <row r="4" spans="1:3">
      <c r="A4" s="71">
        <v>30</v>
      </c>
    </row>
  </sheetData>
  <pageMargins left="0.7" right="0.7" top="0.75" bottom="0.75" header="0.3" footer="0.3"/>
  <headerFooter>
    <oddHeader>&amp;C&amp;"Aptos"&amp;10&amp;K000000 OFFICIAL&amp;1#_x000D_</oddHeader>
    <oddFooter>&amp;C_x000D_&amp;1#&amp;"Aptos"&amp;10&amp;K000000 OFFICIAL</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2.xml><?xml version="1.0" encoding="utf-8"?>
<p:properties xmlns:p="http://schemas.microsoft.com/office/2006/metadata/properties" xmlns:xsi="http://www.w3.org/2001/XMLSchema-instance" xmlns:pc="http://schemas.microsoft.com/office/infopath/2007/PartnerControls">
  <documentManagement>
    <HOMigrated xmlns="f2aea08d-7fae-41c6-92ff-91df552a059b">false</HOMigrated>
    <lcf76f155ced4ddcb4097134ff3c332f xmlns="f8e9d96c-a07e-4933-9220-38ca5ec96d4e">
      <Terms xmlns="http://schemas.microsoft.com/office/infopath/2007/PartnerControls"/>
    </lcf76f155ced4ddcb4097134ff3c332f>
    <lae2bfa7b6474897ab4a53f76ea236c7 xmlns="f2aea08d-7fae-41c6-92ff-91df552a059b">
      <Terms xmlns="http://schemas.microsoft.com/office/infopath/2007/PartnerControls">
        <TermInfo xmlns="http://schemas.microsoft.com/office/infopath/2007/PartnerControls">
          <TermName xmlns="http://schemas.microsoft.com/office/infopath/2007/PartnerControls">Official</TermName>
          <TermId xmlns="http://schemas.microsoft.com/office/infopath/2007/PartnerControls">14c80daa-741b-422c-9722-f71693c9ede4</TermId>
        </TermInfo>
      </Terms>
    </lae2bfa7b6474897ab4a53f76ea236c7>
    <TaxCatchAll xmlns="f2aea08d-7fae-41c6-92ff-91df552a059b">
      <Value>3</Value>
      <Value>2</Value>
      <Value>1</Value>
    </TaxCatchAll>
    <HOworkspaceType xmlns="f2aea08d-7fae-41c6-92ff-91df552a059b">Continuous Teamwork</HOworkspaceType>
    <id2a76e1917c4be6961e12b425f79256 xmlns="f2aea08d-7fae-41c6-92ff-91df552a059b">
      <Terms xmlns="http://schemas.microsoft.com/office/infopath/2007/PartnerControls">
        <TermInfo xmlns="http://schemas.microsoft.com/office/infopath/2007/PartnerControls">
          <TermName xmlns="http://schemas.microsoft.com/office/infopath/2007/PartnerControls">Police and Fire Analysis Unit (A)</TermName>
          <TermId xmlns="http://schemas.microsoft.com/office/infopath/2007/PartnerControls">755c0ad7-1cd3-4e30-b1c3-86b5a4ff9bf7</TermId>
        </TermInfo>
      </Terms>
    </id2a76e1917c4be6961e12b425f79256>
    <ie640504e2964b25856743efbfa846d6 xmlns="f2aea08d-7fae-41c6-92ff-91df552a059b">
      <Terms xmlns="http://schemas.microsoft.com/office/infopath/2007/PartnerControls">
        <TermInfo xmlns="http://schemas.microsoft.com/office/infopath/2007/PartnerControls">
          <TermName xmlns="http://schemas.microsoft.com/office/infopath/2007/PartnerControls">Crown</TermName>
          <TermId xmlns="http://schemas.microsoft.com/office/infopath/2007/PartnerControls">69589897-2828-4761-976e-717fd8e631c9</TermId>
        </TermInfo>
      </Terms>
    </ie640504e2964b25856743efbfa846d6>
    <i8d248d2f27048728597da4d9cc9bde9 xmlns="f2aea08d-7fae-41c6-92ff-91df552a059b" xsi:nil="true"/>
    <TaxCatchAllLabel xmlns="f2aea08d-7fae-41c6-92ff-91df552a059b" xsi:nil="true"/>
  </documentManagement>
</p:properties>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HO document" ma:contentTypeID="0x010100B49A4B2752467149B314925194543C540100BA87D6D06E82E64EBECCFEC12E2E263E" ma:contentTypeVersion="47" ma:contentTypeDescription="Create a new document." ma:contentTypeScope="" ma:versionID="9520cb303aee352842bd1bcbd0bb13f4">
  <xsd:schema xmlns:xsd="http://www.w3.org/2001/XMLSchema" xmlns:xs="http://www.w3.org/2001/XMLSchema" xmlns:p="http://schemas.microsoft.com/office/2006/metadata/properties" xmlns:ns2="f2aea08d-7fae-41c6-92ff-91df552a059b" xmlns:ns3="f8e9d96c-a07e-4933-9220-38ca5ec96d4e" targetNamespace="http://schemas.microsoft.com/office/2006/metadata/properties" ma:root="true" ma:fieldsID="ccc15b9e1335e42b2f8779d952448836" ns2:_="" ns3:_="">
    <xsd:import namespace="f2aea08d-7fae-41c6-92ff-91df552a059b"/>
    <xsd:import namespace="f8e9d96c-a07e-4933-9220-38ca5ec96d4e"/>
    <xsd:element name="properties">
      <xsd:complexType>
        <xsd:sequence>
          <xsd:element name="documentManagement">
            <xsd:complexType>
              <xsd:all>
                <xsd:element ref="ns2:i8d248d2f27048728597da4d9cc9bde9" minOccurs="0"/>
                <xsd:element ref="ns2:TaxCatchAll" minOccurs="0"/>
                <xsd:element ref="ns2:HOworkspaceType" minOccurs="0"/>
                <xsd:element ref="ns2:HOMigrated" minOccurs="0"/>
                <xsd:element ref="ns2:TaxCatchAllLabel" minOccurs="0"/>
                <xsd:element ref="ns2:ie640504e2964b25856743efbfa846d6" minOccurs="0"/>
                <xsd:element ref="ns2:id2a76e1917c4be6961e12b425f79256" minOccurs="0"/>
                <xsd:element ref="ns2:lae2bfa7b6474897ab4a53f76ea236c7" minOccurs="0"/>
                <xsd:element ref="ns3:MediaServiceMetadata" minOccurs="0"/>
                <xsd:element ref="ns3:MediaServiceFastMetadata" minOccurs="0"/>
                <xsd:element ref="ns3:MediaServiceSearchProperties" minOccurs="0"/>
                <xsd:element ref="ns3:MediaServiceDateTaken" minOccurs="0"/>
                <xsd:element ref="ns3:MediaServiceGenerationTime" minOccurs="0"/>
                <xsd:element ref="ns3:MediaServiceEventHashCode" minOccurs="0"/>
                <xsd:element ref="ns3:MediaLengthInSeconds" minOccurs="0"/>
                <xsd:element ref="ns3:MediaServiceOCR" minOccurs="0"/>
                <xsd:element ref="ns3:lcf76f155ced4ddcb4097134ff3c332f"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ea08d-7fae-41c6-92ff-91df552a059b" elementFormDefault="qualified">
    <xsd:import namespace="http://schemas.microsoft.com/office/2006/documentManagement/types"/>
    <xsd:import namespace="http://schemas.microsoft.com/office/infopath/2007/PartnerControls"/>
    <xsd:element name="i8d248d2f27048728597da4d9cc9bde9" ma:index="8" nillable="true" ma:displayName="Government Security Classification_0" ma:hidden="true" ma:internalName="i8d248d2f27048728597da4d9cc9bde9" ma:readOnly="false">
      <xsd:simpleType>
        <xsd:restriction base="dms:Note"/>
      </xsd:simpleType>
    </xsd:element>
    <xsd:element name="TaxCatchAll" ma:index="9" nillable="true" ma:displayName="Taxonomy Catch All Column" ma:hidden="true" ma:list="{1d06f445-af8f-4fa1-b139-95757d447b16}" ma:internalName="TaxCatchAll" ma:readOnly="false" ma:showField="CatchAllData"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HOworkspaceType" ma:index="13" nillable="true" ma:displayName="Workspace Type" ma:default="Continuous Teamwork" ma:internalName="HOworkspaceType" ma:readOnly="false">
      <xsd:simpleType>
        <xsd:restriction base="dms:Text"/>
      </xsd:simpleType>
    </xsd:element>
    <xsd:element name="HOMigrated" ma:index="14" nillable="true" ma:displayName="Migrated" ma:default="0" ma:internalName="HOMigrated" ma:readOnly="false">
      <xsd:simpleType>
        <xsd:restriction base="dms:Boolean"/>
      </xsd:simpleType>
    </xsd:element>
    <xsd:element name="TaxCatchAllLabel" ma:index="15" nillable="true" ma:displayName="Taxonomy Catch All Column1" ma:hidden="true" ma:list="{1d06f445-af8f-4fa1-b139-95757d447b16}" ma:internalName="TaxCatchAllLabel" ma:readOnly="false" ma:showField="CatchAllDataLabel" ma:web="f2aea08d-7fae-41c6-92ff-91df552a059b">
      <xsd:complexType>
        <xsd:complexContent>
          <xsd:extension base="dms:MultiChoiceLookup">
            <xsd:sequence>
              <xsd:element name="Value" type="dms:Lookup" maxOccurs="unbounded" minOccurs="0" nillable="true"/>
            </xsd:sequence>
          </xsd:extension>
        </xsd:complexContent>
      </xsd:complexType>
    </xsd:element>
    <xsd:element name="ie640504e2964b25856743efbfa846d6" ma:index="16" ma:taxonomy="true" ma:internalName="ie640504e2964b25856743efbfa846d6" ma:taxonomyFieldName="HOCopyrightLevel" ma:displayName="Copyright level" ma:readOnly="false" ma:default="2;#Crown|69589897-2828-4761-976e-717fd8e631c9" ma:fieldId="{cf401361-b24e-474c-b011-be6eb76c0e76}" ma:sspId="756ca3a0-e5c0-40d7-8522-e7aae8be603d" ma:termSetId="bdd694c6-7266-48f2-93d6-d15992cd203e" ma:anchorId="00000000-0000-0000-0000-000000000000" ma:open="false" ma:isKeyword="false">
      <xsd:complexType>
        <xsd:sequence>
          <xsd:element ref="pc:Terms" minOccurs="0" maxOccurs="1"/>
        </xsd:sequence>
      </xsd:complexType>
    </xsd:element>
    <xsd:element name="id2a76e1917c4be6961e12b425f79256" ma:index="17" nillable="true" ma:taxonomy="true" ma:internalName="id2a76e1917c4be6961e12b425f79256" ma:taxonomyFieldName="HOBusinessUnit" ma:displayName="Business unit" ma:readOnly="false" ma:default="1;#Police and Fire Analysis Unit (A)|755c0ad7-1cd3-4e30-b1c3-86b5a4ff9bf7" ma:fieldId="{3b5e598a-f171-4153-9648-acf311d7477b}" ma:sspId="756ca3a0-e5c0-40d7-8522-e7aae8be603d" ma:termSetId="55eb802e-fbca-455b-a7d2-d5919d4ea3d2" ma:anchorId="00000000-0000-0000-0000-000000000000" ma:open="false" ma:isKeyword="false">
      <xsd:complexType>
        <xsd:sequence>
          <xsd:element ref="pc:Terms" minOccurs="0" maxOccurs="1"/>
        </xsd:sequence>
      </xsd:complexType>
    </xsd:element>
    <xsd:element name="lae2bfa7b6474897ab4a53f76ea236c7" ma:index="18" ma:taxonomy="true" ma:internalName="lae2bfa7b6474897ab4a53f76ea236c7" ma:taxonomyFieldName="HOGovernmentSecurityClassification" ma:displayName="Government Security Classification" ma:readOnly="false" ma:default="3;#Official|14c80daa-741b-422c-9722-f71693c9ede4" ma:fieldId="{5ae2bfa7-b647-4897-ab4a-53f76ea236c7}" ma:sspId="756ca3a0-e5c0-40d7-8522-e7aae8be603d" ma:termSetId="56209604-fc17-4ace-9b7b-f45f0f17d50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8e9d96c-a07e-4933-9220-38ca5ec96d4e" elementFormDefault="qualified">
    <xsd:import namespace="http://schemas.microsoft.com/office/2006/documentManagement/types"/>
    <xsd:import namespace="http://schemas.microsoft.com/office/infopath/2007/PartnerControls"/>
    <xsd:element name="MediaServiceMetadata" ma:index="19" nillable="true" ma:displayName="MediaServiceMetadata" ma:hidden="true" ma:internalName="MediaServiceMetadata" ma:readOnly="true">
      <xsd:simpleType>
        <xsd:restriction base="dms:Note"/>
      </xsd:simpleType>
    </xsd:element>
    <xsd:element name="MediaServiceFastMetadata" ma:index="20" nillable="true" ma:displayName="MediaServiceFastMetadata" ma:hidden="true" ma:internalName="MediaServiceFastMetadata"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element name="MediaServiceGenerationTime" ma:index="23" nillable="true" ma:displayName="MediaServiceGenerationTime" ma:hidden="true" ma:internalName="MediaServiceGenerationTime" ma:readOnly="true">
      <xsd:simpleType>
        <xsd:restriction base="dms:Text"/>
      </xsd:simpleType>
    </xsd:element>
    <xsd:element name="MediaServiceEventHashCode" ma:index="24" nillable="true" ma:displayName="MediaServiceEventHashCode" ma:hidden="true" ma:internalName="MediaServiceEventHashCode" ma:readOnly="true">
      <xsd:simpleType>
        <xsd:restriction base="dms:Text"/>
      </xsd:simpleType>
    </xsd:element>
    <xsd:element name="MediaLengthInSeconds" ma:index="25" nillable="true" ma:displayName="MediaLengthInSeconds" ma:hidden="true" ma:internalName="MediaLengthInSeconds" ma:readOnly="true">
      <xsd:simpleType>
        <xsd:restriction base="dms:Unknown"/>
      </xsd:simpleType>
    </xsd:element>
    <xsd:element name="MediaServiceOCR" ma:index="26" nillable="true" ma:displayName="Extracted Text" ma:internalName="MediaServiceOCR" ma:readOnly="true">
      <xsd:simpleType>
        <xsd:restriction base="dms:Note">
          <xsd:maxLength value="255"/>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56ca3a0-e5c0-40d7-8522-e7aae8be603d" ma:termSetId="09814cd3-568e-fe90-9814-8d621ff8fb84" ma:anchorId="fba54fb3-c3e1-fe81-a776-ca4b69148c4d" ma:open="true" ma:isKeyword="false">
      <xsd:complexType>
        <xsd:sequence>
          <xsd:element ref="pc:Terms" minOccurs="0" maxOccurs="1"/>
        </xsd:sequence>
      </xsd:complex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A60CF03-D763-49AE-8E31-38973C11BF48}">
  <ds:schemaRefs>
    <ds:schemaRef ds:uri="http://www.w3.org/2001/XMLSchema"/>
    <ds:schemaRef ds:uri="http://www.boldonjames.com/2008/01/sie/internal/label"/>
  </ds:schemaRefs>
</ds:datastoreItem>
</file>

<file path=customXml/itemProps2.xml><?xml version="1.0" encoding="utf-8"?>
<ds:datastoreItem xmlns:ds="http://schemas.openxmlformats.org/officeDocument/2006/customXml" ds:itemID="{0D0552FA-9DF2-4753-8664-54DE7E9B4EB3}">
  <ds:schemaRefs>
    <ds:schemaRef ds:uri="http://purl.org/dc/elements/1.1/"/>
    <ds:schemaRef ds:uri="http://schemas.microsoft.com/office/2006/documentManagement/types"/>
    <ds:schemaRef ds:uri="http://schemas.openxmlformats.org/package/2006/metadata/core-properties"/>
    <ds:schemaRef ds:uri="http://schemas.microsoft.com/office/2006/metadata/properties"/>
    <ds:schemaRef ds:uri="http://www.w3.org/XML/1998/namespace"/>
    <ds:schemaRef ds:uri="http://purl.org/dc/dcmitype/"/>
    <ds:schemaRef ds:uri="http://purl.org/dc/terms/"/>
    <ds:schemaRef ds:uri="http://schemas.microsoft.com/office/infopath/2007/PartnerControls"/>
    <ds:schemaRef ds:uri="f8e9d96c-a07e-4933-9220-38ca5ec96d4e"/>
    <ds:schemaRef ds:uri="f2aea08d-7fae-41c6-92ff-91df552a059b"/>
  </ds:schemaRefs>
</ds:datastoreItem>
</file>

<file path=customXml/itemProps3.xml><?xml version="1.0" encoding="utf-8"?>
<ds:datastoreItem xmlns:ds="http://schemas.openxmlformats.org/officeDocument/2006/customXml" ds:itemID="{B8208C06-343D-4873-A6AC-FE3727F625FA}">
  <ds:schemaRefs>
    <ds:schemaRef ds:uri="http://schemas.microsoft.com/sharepoint/v3/contenttype/forms"/>
  </ds:schemaRefs>
</ds:datastoreItem>
</file>

<file path=customXml/itemProps4.xml><?xml version="1.0" encoding="utf-8"?>
<ds:datastoreItem xmlns:ds="http://schemas.openxmlformats.org/officeDocument/2006/customXml" ds:itemID="{49A065EB-F2D7-4B73-9939-F1403913B95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2aea08d-7fae-41c6-92ff-91df552a059b"/>
    <ds:schemaRef ds:uri="f8e9d96c-a07e-4933-9220-38ca5ec96d4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bd41ebe-fca6-4f2c-aecb-bf3a17e72416}" enabled="1" method="Privileged" siteId="{bf346810-9c7d-43de-a872-24a2ef3995a8}"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17</vt:i4>
      </vt:variant>
      <vt:variant>
        <vt:lpstr>Named Ranges</vt:lpstr>
      </vt:variant>
      <vt:variant>
        <vt:i4>11</vt:i4>
      </vt:variant>
    </vt:vector>
  </HeadingPairs>
  <TitlesOfParts>
    <vt:vector size="28" baseType="lpstr">
      <vt:lpstr>Cover</vt:lpstr>
      <vt:lpstr>Guidance</vt:lpstr>
      <vt:lpstr>LE - PY data</vt:lpstr>
      <vt:lpstr>LE1a PY</vt:lpstr>
      <vt:lpstr>LE1a</vt:lpstr>
      <vt:lpstr>LE1b</vt:lpstr>
      <vt:lpstr>LE2a PY</vt:lpstr>
      <vt:lpstr>LE2a</vt:lpstr>
      <vt:lpstr>LE2b</vt:lpstr>
      <vt:lpstr>LE3a PY</vt:lpstr>
      <vt:lpstr>LE3a</vt:lpstr>
      <vt:lpstr>LE3b</vt:lpstr>
      <vt:lpstr>LE4a PY</vt:lpstr>
      <vt:lpstr>LE4a</vt:lpstr>
      <vt:lpstr>LE4b</vt:lpstr>
      <vt:lpstr>QA checks</vt:lpstr>
      <vt:lpstr>QA check thresholds</vt:lpstr>
      <vt:lpstr>Guidance!_Toc252461075</vt:lpstr>
      <vt:lpstr>Cover!Print_Area</vt:lpstr>
      <vt:lpstr>Guidance!Print_Area</vt:lpstr>
      <vt:lpstr>LE1a!Print_Area</vt:lpstr>
      <vt:lpstr>LE1b!Print_Area</vt:lpstr>
      <vt:lpstr>LE2a!Print_Area</vt:lpstr>
      <vt:lpstr>LE2b!Print_Area</vt:lpstr>
      <vt:lpstr>LE3a!Print_Area</vt:lpstr>
      <vt:lpstr>LE3b!Print_Area</vt:lpstr>
      <vt:lpstr>LE4a!Print_Area</vt:lpstr>
      <vt:lpstr>LE4b!Print_Area</vt:lpstr>
    </vt:vector>
  </TitlesOfParts>
  <Manager/>
  <Company>Home Office</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pgaught</dc:creator>
  <cp:keywords/>
  <dc:description/>
  <cp:lastModifiedBy>Katrina Ihebunezie</cp:lastModifiedBy>
  <cp:revision/>
  <dcterms:created xsi:type="dcterms:W3CDTF">2010-12-02T10:38:27Z</dcterms:created>
  <dcterms:modified xsi:type="dcterms:W3CDTF">2026-01-13T18:31:27Z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f542ebec-0b53-4199-a566-ba1379c6c6af</vt:lpwstr>
  </property>
  <property fmtid="{D5CDD505-2E9C-101B-9397-08002B2CF9AE}" pid="3" name="bjSaver">
    <vt:lpwstr>ig6IkrDXgt7J2rnu42lyCuKlHypbKmMh</vt:lpwstr>
  </property>
  <property fmtid="{D5CDD505-2E9C-101B-9397-08002B2CF9AE}" pid="4" name="bjDocumentSecurityLabel">
    <vt:lpwstr>No Marking</vt:lpwstr>
  </property>
  <property fmtid="{D5CDD505-2E9C-101B-9397-08002B2CF9AE}" pid="5" name="ContentTypeId">
    <vt:lpwstr>0x010100B49A4B2752467149B314925194543C540100BA87D6D06E82E64EBECCFEC12E2E263E</vt:lpwstr>
  </property>
  <property fmtid="{D5CDD505-2E9C-101B-9397-08002B2CF9AE}" pid="6" name="HOCopyrightLevel">
    <vt:lpwstr>2;#Crown|69589897-2828-4761-976e-717fd8e631c9</vt:lpwstr>
  </property>
  <property fmtid="{D5CDD505-2E9C-101B-9397-08002B2CF9AE}" pid="7" name="HOGovernmentSecurityClassification">
    <vt:lpwstr>3;#Official|14c80daa-741b-422c-9722-f71693c9ede4</vt:lpwstr>
  </property>
  <property fmtid="{D5CDD505-2E9C-101B-9397-08002B2CF9AE}" pid="8" name="HOBusinessUnit">
    <vt:lpwstr>1;#Police and Fire Analysis Unit (A)|755c0ad7-1cd3-4e30-b1c3-86b5a4ff9bf7</vt:lpwstr>
  </property>
  <property fmtid="{D5CDD505-2E9C-101B-9397-08002B2CF9AE}" pid="9" name="MediaServiceImageTags">
    <vt:lpwstr/>
  </property>
</Properties>
</file>