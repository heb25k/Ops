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ttinghamshire/"/>
    </mc:Choice>
  </mc:AlternateContent>
  <xr:revisionPtr revIDLastSave="0" documentId="8_{914172C5-1B57-4226-9E20-E15A5C83FBAF}"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<sst xmlns="http://schemas.openxmlformats.org/spreadsheetml/2006/main" count="1069" uniqueCount="560">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</sst>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17" fillId="6" borderId="0" xfId="3" applyFont="1" applyFill="1" applyAlignment="1">
      <alignment horizontal="left" vertical="center"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7" fillId="7" borderId="7" xfId="3" applyFont="1" applyFill="1" applyBorder="1" applyAlignment="1" applyProtection="1">
      <alignment horizontal="right" vertical="center"/>
      <protection locked="0"/>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xf>
    <xf numFmtId="0" fontId="17" fillId="0" borderId="0" xfId="0" applyFont="1" applyAlignment="1">
      <alignment horizontal="left" wrapText="1"/>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26" t="s">
        <v>127</v>
      </c>
      <c r="B6" s="227"/>
      <c r="C6" s="227"/>
      <c r="D6" s="227"/>
      <c r="E6" s="227"/>
      <c r="F6" s="228"/>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9" t="s">
        <v>1</v>
      </c>
      <c r="B7" s="230"/>
      <c r="C7" s="230"/>
      <c r="D7" s="230"/>
      <c r="E7" s="230"/>
      <c r="F7" s="231"/>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32" t="s">
        <v>2</v>
      </c>
      <c r="B8" s="233"/>
      <c r="C8" s="233"/>
      <c r="D8" s="233"/>
      <c r="E8" s="233"/>
      <c r="F8" s="234"/>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35" t="str">
        <f>VLOOKUP(B250,B251:D316,2,FALSE)</f>
        <v>Oxfordshire</v>
      </c>
      <c r="B10" s="236"/>
      <c r="C10" s="236"/>
      <c r="D10" s="236"/>
      <c r="E10" s="236"/>
      <c r="F10" s="237"/>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8" t="str">
        <f>VLOOKUP(B250,B251:D316,3,FALSE)</f>
        <v>E31000031</v>
      </c>
      <c r="B11" s="239"/>
      <c r="C11" s="239"/>
      <c r="D11" s="239"/>
      <c r="E11" s="239"/>
      <c r="F11" s="240"/>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18" t="s">
        <v>4</v>
      </c>
      <c r="C13" s="218"/>
      <c r="D13" s="218"/>
      <c r="E13" s="218"/>
      <c r="F13" s="218"/>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17" t="s">
        <v>6</v>
      </c>
      <c r="C14" s="217"/>
      <c r="D14" s="217"/>
      <c r="E14" s="217"/>
      <c r="F14" s="217"/>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17" t="s">
        <v>8</v>
      </c>
      <c r="C15" s="217"/>
      <c r="D15" s="217"/>
      <c r="E15" s="217"/>
      <c r="F15" s="217"/>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17" t="s">
        <v>10</v>
      </c>
      <c r="C16" s="217"/>
      <c r="D16" s="217"/>
      <c r="E16" s="217"/>
      <c r="F16" s="217"/>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17" t="s">
        <v>12</v>
      </c>
      <c r="C17" s="217"/>
      <c r="D17" s="217"/>
      <c r="E17" s="217"/>
      <c r="F17" s="217"/>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17" t="s">
        <v>14</v>
      </c>
      <c r="C18" s="217"/>
      <c r="D18" s="217"/>
      <c r="E18" s="217"/>
      <c r="F18" s="217"/>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17" t="s">
        <v>16</v>
      </c>
      <c r="C19" s="217"/>
      <c r="D19" s="217"/>
      <c r="E19" s="217"/>
      <c r="F19" s="217"/>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17" t="s">
        <v>18</v>
      </c>
      <c r="C20" s="217"/>
      <c r="D20" s="217"/>
      <c r="E20" s="217"/>
      <c r="F20" s="217"/>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17" t="s">
        <v>20</v>
      </c>
      <c r="C21" s="217"/>
      <c r="D21" s="217"/>
      <c r="E21" s="217"/>
      <c r="F21" s="217"/>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17" t="s">
        <v>22</v>
      </c>
      <c r="C22" s="217"/>
      <c r="D22" s="217"/>
      <c r="E22" s="217"/>
      <c r="F22" s="217"/>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17" t="s">
        <v>24</v>
      </c>
      <c r="C23" s="217"/>
      <c r="D23" s="217"/>
      <c r="E23" s="217"/>
      <c r="F23" s="217"/>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17" t="s">
        <v>26</v>
      </c>
      <c r="C24" s="217"/>
      <c r="D24" s="217"/>
      <c r="E24" s="217"/>
      <c r="F24" s="217"/>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41" t="s">
        <v>28</v>
      </c>
      <c r="C25" s="241"/>
      <c r="D25" s="241"/>
      <c r="E25" s="241"/>
      <c r="F25" s="241"/>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23" t="s">
        <v>30</v>
      </c>
      <c r="C28" s="223"/>
      <c r="D28" s="223"/>
      <c r="E28" s="223"/>
      <c r="F28" s="223"/>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42" t="s">
        <v>559</v>
      </c>
      <c r="B30" s="242"/>
      <c r="C30" s="242"/>
      <c r="D30" s="242"/>
      <c r="E30" s="242"/>
      <c r="F30" s="242"/>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5"/>
      <c r="C32" s="225"/>
      <c r="D32" s="225"/>
      <c r="E32" s="225"/>
      <c r="F32" s="225"/>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24"/>
      <c r="C33" s="225"/>
      <c r="D33" s="225"/>
      <c r="E33" s="225"/>
      <c r="F33" s="225"/>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19" t="s">
        <v>33</v>
      </c>
      <c r="B35" s="219"/>
      <c r="C35" s="219"/>
      <c r="D35" s="219"/>
      <c r="E35" s="219"/>
      <c r="F35" s="219"/>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20"/>
      <c r="B36" s="221"/>
      <c r="C36" s="221"/>
      <c r="D36" s="221"/>
      <c r="E36" s="221"/>
      <c r="F36" s="222"/>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34</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 ref="B20:F20"/>
    <mergeCell ref="B13:F13"/>
    <mergeCell ref="A35:F35"/>
    <mergeCell ref="A36:F36"/>
    <mergeCell ref="B21:F21"/>
    <mergeCell ref="B24:F24"/>
    <mergeCell ref="B28:F28"/>
    <mergeCell ref="B33:F33"/>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Oxfordshire</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Oxfordshire</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Oxfordshire</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Oxfordshire</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Oxfordshire</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Oxfordshire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Oxfordshire</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Oxfordshire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Oxfordshire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Oxfordshire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Oxfordshire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Oxfordshire</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Oxfordshire</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2026-01-13T18:51:04Z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