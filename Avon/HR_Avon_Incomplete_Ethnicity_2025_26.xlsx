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Avon/"/>
    </mc:Choice>
  </mc:AlternateContent>
  <xr:revisionPtr revIDLastSave="33" documentId="8_{6007874F-683F-4464-8A0B-7977AE371745}" xr6:coauthVersionLast="47" xr6:coauthVersionMax="47" xr10:uidLastSave="{A8855782-02D2-4746-89D1-4EBC032F4EDD}"/>
  <workbookProtection workbookAlgorithmName="SHA-512" workbookHashValue="VMuR+pKsVxOq4JXNCFcIhcaua1ntY/xoHNhI3ou/xNM9mSu3VB1R+RAFB0pAMck0AhM5dHNUb24Ke+sxjwvEPQ==" workbookSaltValue="wdGS3Mt+b0OuISa2K7L2yw=="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O71"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K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B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J37" i="60" s="1"/>
  <c r="L35" i="60" a="1"/>
  <c r="L35" i="60" s="1"/>
  <c r="D26" i="60" a="1"/>
  <c r="D26" i="60" s="1"/>
  <c r="B21" i="60" a="1"/>
  <c r="B21" i="60" s="1"/>
  <c r="K34" i="60" a="1"/>
  <c r="K34" i="60" s="1"/>
  <c r="M35" i="60" a="1"/>
  <c r="M35" i="60" s="1"/>
  <c r="F26" i="60" a="1"/>
  <c r="F26" i="60" s="1"/>
  <c r="N47" i="60" a="1"/>
  <c r="N47" i="60" s="1"/>
  <c r="N49"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M37" i="60" s="1"/>
  <c r="G28" i="60" a="1"/>
  <c r="G28" i="60" s="1"/>
  <c r="D12" i="60" a="1"/>
  <c r="D12" i="60" s="1"/>
  <c r="R48" i="60" a="1"/>
  <c r="R48" i="60" s="1"/>
  <c r="N34" i="60" a="1"/>
  <c r="N34" i="60" s="1"/>
  <c r="J36" i="60" a="1"/>
  <c r="J36" i="60" s="1"/>
  <c r="L13" i="60" a="1"/>
  <c r="L13" i="60" s="1"/>
  <c r="J54" i="60" a="1"/>
  <c r="J54" i="60" s="1"/>
  <c r="J56" i="60" s="1"/>
  <c r="O34" i="60" a="1"/>
  <c r="O34" i="60" s="1"/>
  <c r="O37"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22"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C37" i="60" s="1"/>
  <c r="T48" i="60" a="1"/>
  <c r="T48" i="60" s="1"/>
  <c r="C53" i="60" a="1"/>
  <c r="C53" i="60" s="1"/>
  <c r="C56" i="60" s="1"/>
  <c r="D35" i="60" a="1"/>
  <c r="D35" i="60" s="1"/>
  <c r="D19" i="60" a="1"/>
  <c r="D19" i="60" s="1"/>
  <c r="D22" i="60" s="1"/>
  <c r="H62" i="60" a="1"/>
  <c r="H62" i="60" s="1"/>
  <c r="H61" i="60" a="1"/>
  <c r="H61" i="60" s="1"/>
  <c r="E26" i="60" a="1"/>
  <c r="E26" i="60" s="1"/>
  <c r="E29"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B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S2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N16"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E56"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P56" i="55" s="1"/>
  <c r="L25" i="55" a="1"/>
  <c r="L25" i="55" s="1"/>
  <c r="P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F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R56"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2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F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B34" i="56" s="1"/>
  <c r="P55" i="56" a="1"/>
  <c r="P55" i="56" s="1"/>
  <c r="K34" i="56" a="1"/>
  <c r="K34" i="56" s="1"/>
  <c r="D13" i="56" a="1"/>
  <c r="D13" i="56" s="1"/>
  <c r="H33" i="56" a="1"/>
  <c r="H33" i="56" s="1"/>
  <c r="H15" i="56" a="1"/>
  <c r="H15" i="56" s="1"/>
  <c r="R2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B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K66"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M18"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M42"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F23" i="59" s="1"/>
  <c r="H13" i="59" a="1"/>
  <c r="H13" i="59" s="1"/>
  <c r="H17"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44"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35"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U13" i="53" l="1"/>
  <c r="K46" i="56"/>
  <c r="L66" i="53"/>
  <c r="Q18" i="53"/>
  <c r="F15" i="53"/>
  <c r="E26" i="56"/>
  <c r="F12" i="56"/>
  <c r="K25" i="56"/>
  <c r="Y16" i="56"/>
  <c r="Z14" i="56"/>
  <c r="L36" i="56"/>
  <c r="M16" i="55"/>
  <c r="K24" i="56"/>
  <c r="R16" i="55"/>
  <c r="D51" i="59"/>
  <c r="J42" i="53"/>
  <c r="O30" i="53"/>
  <c r="P17" i="53"/>
  <c r="J54" i="53"/>
  <c r="K17" i="53"/>
  <c r="G46" i="56"/>
  <c r="I46" i="56"/>
  <c r="F36" i="56"/>
  <c r="E26" i="55"/>
  <c r="G66" i="53"/>
  <c r="P56" i="56"/>
  <c r="I26" i="56"/>
  <c r="R22" i="56"/>
  <c r="B35" i="56"/>
  <c r="N16" i="56"/>
  <c r="K13" i="60"/>
  <c r="B37"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P17" i="59" s="1"/>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F51"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K49" i="60" s="1"/>
  <c r="J15" i="60"/>
  <c r="P46" i="60"/>
  <c r="B28" i="60"/>
  <c r="E56" i="60"/>
  <c r="F48" i="60"/>
  <c r="B37" i="60"/>
  <c r="K13" i="59"/>
  <c r="K17" i="59" s="1"/>
  <c r="E26" i="59"/>
  <c r="K13" i="53"/>
  <c r="F66" i="53"/>
  <c r="B41" i="53"/>
  <c r="V16" i="56"/>
  <c r="Z11" i="56"/>
  <c r="E56" i="56"/>
  <c r="B46" i="56"/>
  <c r="P14" i="56"/>
  <c r="P23" i="56"/>
  <c r="D46" i="55"/>
  <c r="D56" i="55"/>
  <c r="Q56" i="55"/>
  <c r="S16" i="55"/>
  <c r="F23" i="55"/>
  <c r="K12" i="55"/>
  <c r="G29" i="60"/>
  <c r="C29" i="60"/>
  <c r="B26" i="60"/>
  <c r="B29" i="60" s="1"/>
  <c r="P19" i="60"/>
  <c r="P22" i="60" s="1"/>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F56" i="60" l="1"/>
  <c r="Q22" i="60"/>
  <c r="K56" i="60"/>
  <c r="T30" i="53"/>
  <c r="U18" i="53"/>
  <c r="B36" i="55"/>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F24" i="53"/>
  <c r="F25" i="53" s="1"/>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U56" i="60" l="1"/>
  <c r="K23" i="53"/>
  <c r="K24" i="53" s="1"/>
  <c r="P23" i="53"/>
  <c r="P24" i="53" s="1"/>
  <c r="P25" i="53" s="1"/>
  <c r="U26" i="59"/>
  <c r="F26" i="53"/>
  <c r="F27" i="53"/>
  <c r="F28" i="53"/>
  <c r="U26" i="56"/>
  <c r="U42" i="37" s="1"/>
  <c r="W42" i="37" s="1"/>
  <c r="X42" i="37" s="1"/>
  <c r="U26" i="55"/>
  <c r="S44" i="30" s="1"/>
  <c r="U44" i="30" s="1"/>
  <c r="V44" i="30" s="1"/>
  <c r="U22" i="60"/>
  <c r="B46" i="37"/>
  <c r="W21" i="37" s="1"/>
  <c r="W26" i="37" s="1"/>
  <c r="U24" i="29"/>
  <c r="K25" i="53" l="1"/>
  <c r="U25" i="53" s="1"/>
  <c r="U24" i="53"/>
  <c r="F29" i="53"/>
  <c r="P26" i="53"/>
  <c r="P27" i="53" s="1"/>
  <c r="P28" i="53" s="1"/>
  <c r="P29" i="53" s="1"/>
  <c r="P30" i="53" s="1"/>
  <c r="K26" i="53"/>
  <c r="K27" i="53" s="1"/>
  <c r="U27"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F30" i="53" l="1"/>
  <c r="K28" i="53"/>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K29" i="53" l="1"/>
  <c r="U29" i="53" s="1"/>
  <c r="U28" i="53"/>
  <c r="K30" i="53"/>
  <c r="U30" i="53" s="1"/>
  <c r="S47" i="29" s="1"/>
  <c r="P15" i="42"/>
  <c r="U15" i="42"/>
  <c r="U49" i="42"/>
  <c r="P22" i="42"/>
  <c r="P56" i="42"/>
  <c r="K15" i="42"/>
  <c r="K49" i="42"/>
  <c r="F22" i="42"/>
  <c r="F56" i="42"/>
  <c r="K22" i="42"/>
  <c r="K56" i="42"/>
  <c r="F15" i="42"/>
  <c r="F49" i="42"/>
  <c r="U18" i="42" l="1"/>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<sst xmlns="http://schemas.openxmlformats.org/spreadsheetml/2006/main" count="2019" uniqueCount="569">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</sst>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Bedfordshire</v>
      </c>
      <c r="B10" s="415"/>
      <c r="C10" s="415"/>
      <c r="D10" s="415"/>
      <c r="E10" s="415"/>
      <c r="F10" s="416"/>
      <c r="G10" s="181"/>
    </row>
    <row r="11" spans="1:7" ht="16.5" thickBot="1">
      <c r="A11" s="417" t="str">
        <f>VLOOKUP(B250,B251:D316,3,FALSE)</f>
        <v>E31000002</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2</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2K2E9SMmb20ixqmcqjf43OHCfUF5K0ISzZhrxODvs0YalOpmo9So9trJvVg2GB4Hd/n0IC++zLBN6ObKUP0dpg==" saltValue="ncN7/fJqN+5cD8ZfMOYWvw=="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gsDoV6wMSs+BBfx1rWuUL52GrGVrsTkMeur6ICPAqeQKP1Z+ubhGLUN5PDZ/GPUT1LrFNgYly/SeQje44MLtGQ==" saltValue="A/rlLgCsaBau7J9NFhduSQ=="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Bedfordshire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TVMdcqdtqeKNU7r4HR7Ioq6rk3VKkVW+SVUyZyTvUIV2IuIAeXiX7JtAXjVdnnJiWUov7M4tZ1dG9094a6ppuA==" saltValue="7DRiY0BEvzA2FY5zC2GlRg=="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Bedfordshire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itmFlGNQl+RmgRbdXNwiGZG+dMK5t8xutuDNrFmLx1oZm0W5LpM7hgazTg/AJ+7BgKBHDhHtd/P7aWgAU56s7Q==" saltValue="f66GjNyVGuOEE8t5CbYTNA=="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Bedfordshire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ld+LDBGfR2vxKLMzC1uRjMZJAh+5hkT355CmPwwf2Ahuw8PZ2JqABbKJJQ3VXmWJt9VbodEMbS2dP41MHVKY3w==" saltValue="oGHmg4sytOuVa8MVa3HaFg=="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Bedfordshire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VeBR7lP4floOj7xMltz08FIW/rRvlIiPJezBG4VlMRuejiJmKcxejyJ+lqxx7yHq8EKHlf9zWBMh2iXGL5kbpA==" saltValue="qAg8wJI+/74G95hj1appHQ=="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Bedfordshire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N7JikfWx6pTaN0Mq8TSalHp2vch5HkzLsdmCWHb4l9YVg90Wj8bp810N8QwuA3NnkKlr2DsagrCppL8LqT1Amg==" saltValue="EX1mPNsO+3rgLBjO+JIw8g=="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Bedfordshire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Lt81JF52ZKYY16LRZcMMTfDXWYzUEsju/bBygmP5Pt2Al0CKzF7Ec/ivVlIcnqSGWYqicr6SYQXXeZAIHU2Ldg==" saltValue="P7lE5BvYU4QGCjooyrBXYA=="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Bedfordshire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BMPn9rtgbBjeoXdXkghWzSYKuCblaxBqjOphqsD/GM3DmBdKabDfOQ926oC1rbLSnwuscEfkqSmqI+6NMDvHAA==" saltValue="IUh/TP1X54Zh0tmfMQ/kUw=="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3.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