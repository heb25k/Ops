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Template FRS/"/>
    </mc:Choice>
  </mc:AlternateContent>
  <xr:revisionPtr revIDLastSave="33" documentId="8_{5942AFE0-1EA6-4D5D-8B0D-F56FB658C3F9}" xr6:coauthVersionLast="47" xr6:coauthVersionMax="47" xr10:uidLastSave="{ACF17CD5-F5D1-452D-9225-9FC613FA6674}"/>
  <workbookProtection workbookAlgorithmName="SHA-512" workbookHashValue="IaRMAy00J1Kto/oAgGJgrxv8iGPWJMcCjDFcF6sn1d47cU3L8XKcJ75x20EGu5cK0heIMbdXvbyH0xPV7KTLNQ==" workbookSaltValue="+qoYZgxK5YU5Jut2cB05cQ==" workbookSpinCount="100000" lockStructure="1"/>
  <bookViews>
    <workbookView xWindow="-110" yWindow="-110" windowWidth="22780" windowHeight="14540" tabRatio="848" xr2:uid="{00000000-000D-0000-FFFF-FFFF00000000}"/>
  </bookViews>
  <sheets>
    <sheet name="Cover" sheetId="28" r:id="rId1"/>
    <sheet name="Guidance" sheetId="8" r:id="rId2"/>
    <sheet name="HR1 - PY data" sheetId="50" state="hidden" r:id="rId3"/>
    <sheet name="HR1 PY" sheetId="51" state="hidden" r:id="rId4"/>
    <sheet name="HR1" sheetId="26" r:id="rId5"/>
    <sheet name="HR2to5 - PY data" sheetId="62" state="hidden" r:id="rId6"/>
    <sheet name="HR2 PY" sheetId="53" state="hidden" r:id="rId7"/>
    <sheet name="HR2" sheetId="29" r:id="rId8"/>
    <sheet name="HR3 PY" sheetId="55" state="hidden" r:id="rId9"/>
    <sheet name="HR3" sheetId="30" r:id="rId10"/>
    <sheet name="HR4 PY" sheetId="56" state="hidden" r:id="rId11"/>
    <sheet name="HR4" sheetId="37" r:id="rId12"/>
    <sheet name="HR5 PY" sheetId="57" state="hidden" r:id="rId13"/>
    <sheet name="HR5" sheetId="39" r:id="rId14"/>
    <sheet name="HR6and7_fy - PY data" sheetId="58" state="hidden" r:id="rId15"/>
    <sheet name="HR6and7_cy - PY data" sheetId="61" state="hidden" r:id="rId16"/>
    <sheet name="HR6 PY" sheetId="59" state="hidden" r:id="rId17"/>
    <sheet name="HR6" sheetId="41" r:id="rId18"/>
    <sheet name="HR7 PY" sheetId="60" state="hidden" r:id="rId19"/>
    <sheet name="HR7" sheetId="42" r:id="rId20"/>
    <sheet name="QA check thresholds" sheetId="32" state="hidden" r:id="rId21"/>
    <sheet name="QA checks" sheetId="64" r:id="rId22"/>
  </sheets>
  <definedNames>
    <definedName name="_xlnm._FilterDatabase" localSheetId="5" hidden="1">'HR2to5 - PY data'!$A$1:$G$1</definedName>
    <definedName name="_xlnm._FilterDatabase" localSheetId="15" hidden="1">'HR6and7_cy - PY data'!$A$1:$G$361</definedName>
    <definedName name="_xlnm._FilterDatabase" localSheetId="14" hidden="1">'HR6and7_fy - PY data'!$A$1:$G$361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3">#REF!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3">'HR5'!$AD$11:$BF$31</definedName>
    <definedName name="HR2_formula">#REF!</definedName>
    <definedName name="HR3_formula">#REF!</definedName>
    <definedName name="HR4_formula" localSheetId="13">#REF!</definedName>
    <definedName name="HR4_formula">#REF!</definedName>
    <definedName name="HR5_formula">#REF!</definedName>
    <definedName name="_xlnm.Print_Area" localSheetId="1">Guidance!$A$1:$M$125</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3">'HR5'!$A$1:$N$32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64" l="1"/>
  <c r="X5" i="64"/>
  <c r="X4" i="64"/>
  <c r="U4" i="64"/>
  <c r="Q4" i="64"/>
  <c r="M4" i="64"/>
  <c r="I4" i="64"/>
  <c r="B8" i="64"/>
  <c r="B6" i="64"/>
  <c r="B5" i="64"/>
  <c r="B4" i="64"/>
  <c r="E4" i="64"/>
  <c r="E6" i="64"/>
  <c r="Q15" i="64" l="1"/>
  <c r="Q14" i="64"/>
  <c r="Q13" i="64"/>
  <c r="Q12" i="64"/>
  <c r="Q11" i="64"/>
  <c r="Q10" i="64"/>
  <c r="Q9" i="64"/>
  <c r="Q8" i="64" a="1"/>
  <c r="Q8" i="64"/>
  <c r="Q7" i="64"/>
  <c r="Q6" i="64"/>
  <c r="Q5" i="64"/>
  <c r="M15" i="64"/>
  <c r="M14" i="64"/>
  <c r="M13" i="64"/>
  <c r="M12" i="64"/>
  <c r="M11" i="64"/>
  <c r="M10" i="64"/>
  <c r="M9" i="64"/>
  <c r="M8" i="64"/>
  <c r="M7" i="64"/>
  <c r="M6" i="64"/>
  <c r="M5" i="64"/>
  <c r="I15" i="64"/>
  <c r="I14" i="64"/>
  <c r="I13" i="64"/>
  <c r="I12" i="64"/>
  <c r="I11" i="64"/>
  <c r="I10" i="64"/>
  <c r="I9" i="64"/>
  <c r="I8" i="64"/>
  <c r="I7" i="64"/>
  <c r="I6" i="64"/>
  <c r="I5" i="64"/>
  <c r="E15" i="64"/>
  <c r="E14" i="64"/>
  <c r="E13" i="64"/>
  <c r="E12" i="64"/>
  <c r="E11" i="64"/>
  <c r="E10" i="64"/>
  <c r="E9" i="64"/>
  <c r="E8" i="64"/>
  <c r="E7" i="64"/>
  <c r="E5" i="64"/>
  <c r="B7" i="64"/>
  <c r="H54" i="29" l="1"/>
  <c r="B39" i="29"/>
  <c r="B42" i="29"/>
  <c r="H42" i="29"/>
  <c r="B35" i="29"/>
  <c r="B18" i="29"/>
  <c r="U20" i="30"/>
  <c r="W20" i="37" l="1"/>
  <c r="I38" i="39"/>
  <c r="I37" i="39"/>
  <c r="L26" i="39"/>
  <c r="B26" i="39"/>
  <c r="B21" i="39"/>
  <c r="P16" i="39"/>
  <c r="K16" i="39"/>
  <c r="F16" i="39"/>
  <c r="Z11" i="39"/>
  <c r="U11" i="39"/>
  <c r="P11" i="39"/>
  <c r="K11" i="39"/>
  <c r="F11" i="39"/>
  <c r="V44" i="37"/>
  <c r="V43" i="37"/>
  <c r="V42" i="37"/>
  <c r="W24" i="37"/>
  <c r="W23" i="37"/>
  <c r="W22" i="37"/>
  <c r="R56" i="37"/>
  <c r="Q56" i="37"/>
  <c r="P56" i="37"/>
  <c r="O56" i="37"/>
  <c r="N56" i="37"/>
  <c r="M56" i="37"/>
  <c r="L56" i="37"/>
  <c r="K56" i="37"/>
  <c r="J56" i="37"/>
  <c r="I56" i="37"/>
  <c r="H56" i="37"/>
  <c r="G56" i="37"/>
  <c r="F56" i="37"/>
  <c r="E56" i="37"/>
  <c r="D56" i="37"/>
  <c r="C56" i="37"/>
  <c r="B56" i="37"/>
  <c r="O46" i="37"/>
  <c r="N46" i="37"/>
  <c r="M46" i="37"/>
  <c r="L46" i="37"/>
  <c r="K46" i="37"/>
  <c r="J46" i="37"/>
  <c r="I46" i="37"/>
  <c r="H46" i="37"/>
  <c r="G46" i="37"/>
  <c r="F46" i="37"/>
  <c r="E46" i="37"/>
  <c r="D46" i="37"/>
  <c r="C46" i="37"/>
  <c r="L36" i="37"/>
  <c r="K36" i="37"/>
  <c r="J36" i="37"/>
  <c r="I36" i="37"/>
  <c r="H36" i="37"/>
  <c r="G36" i="37"/>
  <c r="F36" i="37"/>
  <c r="E36" i="37"/>
  <c r="D36" i="37"/>
  <c r="C36" i="37"/>
  <c r="B36" i="37"/>
  <c r="P26" i="37"/>
  <c r="O26" i="37"/>
  <c r="N26" i="37"/>
  <c r="M26" i="37"/>
  <c r="L26" i="37"/>
  <c r="K26" i="37"/>
  <c r="J26" i="37"/>
  <c r="I26" i="37"/>
  <c r="H26" i="37"/>
  <c r="G26" i="37"/>
  <c r="F26" i="37"/>
  <c r="E26" i="37"/>
  <c r="D26" i="37"/>
  <c r="C26" i="37"/>
  <c r="B26" i="37"/>
  <c r="Z16" i="37"/>
  <c r="Y16" i="37"/>
  <c r="X16" i="37"/>
  <c r="W16" i="37"/>
  <c r="V16" i="37"/>
  <c r="U16" i="37"/>
  <c r="T16" i="37"/>
  <c r="S16" i="37"/>
  <c r="R16" i="37"/>
  <c r="Q16" i="37"/>
  <c r="P16" i="37"/>
  <c r="O16" i="37"/>
  <c r="N16" i="37"/>
  <c r="M16" i="37"/>
  <c r="L16" i="37"/>
  <c r="K16" i="37"/>
  <c r="J16" i="37"/>
  <c r="I16" i="37"/>
  <c r="H16" i="37"/>
  <c r="G16" i="37"/>
  <c r="F16" i="37"/>
  <c r="E16" i="37"/>
  <c r="D16" i="37"/>
  <c r="C16" i="37"/>
  <c r="B16" i="37"/>
  <c r="T46" i="30"/>
  <c r="T45" i="30"/>
  <c r="T44" i="30"/>
  <c r="U22" i="30"/>
  <c r="U23" i="30"/>
  <c r="U24" i="30"/>
  <c r="T49" i="29"/>
  <c r="T48" i="29"/>
  <c r="R56" i="30"/>
  <c r="Q56" i="30"/>
  <c r="P56" i="30"/>
  <c r="O56" i="30"/>
  <c r="N56" i="30"/>
  <c r="M56" i="30"/>
  <c r="L56" i="30"/>
  <c r="K56" i="30"/>
  <c r="J56" i="30"/>
  <c r="I56" i="30"/>
  <c r="H56" i="30"/>
  <c r="G56" i="30"/>
  <c r="F56" i="30"/>
  <c r="E56" i="30"/>
  <c r="D56" i="30"/>
  <c r="C56" i="30"/>
  <c r="B56" i="30"/>
  <c r="O46" i="30"/>
  <c r="N46" i="30"/>
  <c r="M46" i="30"/>
  <c r="L46" i="30"/>
  <c r="K46" i="30"/>
  <c r="J46" i="30"/>
  <c r="I46" i="30"/>
  <c r="H46" i="30"/>
  <c r="G46" i="30"/>
  <c r="F46" i="30"/>
  <c r="E46" i="30"/>
  <c r="D46" i="30"/>
  <c r="C46" i="30"/>
  <c r="B46" i="30"/>
  <c r="L36" i="30"/>
  <c r="K36" i="30"/>
  <c r="J36" i="30"/>
  <c r="I36" i="30"/>
  <c r="H36" i="30"/>
  <c r="G36" i="30"/>
  <c r="F36" i="30"/>
  <c r="E36" i="30"/>
  <c r="D36" i="30"/>
  <c r="C36" i="30"/>
  <c r="B36" i="30"/>
  <c r="P26" i="30"/>
  <c r="O26" i="30"/>
  <c r="N26" i="30"/>
  <c r="M26" i="30"/>
  <c r="L26" i="30"/>
  <c r="K26" i="30"/>
  <c r="J26" i="30"/>
  <c r="I26" i="30"/>
  <c r="H26" i="30"/>
  <c r="G26" i="30"/>
  <c r="F26" i="30"/>
  <c r="E26" i="30"/>
  <c r="D26" i="30"/>
  <c r="C26" i="30"/>
  <c r="B26" i="30"/>
  <c r="U16" i="30"/>
  <c r="T16" i="30"/>
  <c r="S16" i="30"/>
  <c r="R16" i="30"/>
  <c r="Q16" i="30"/>
  <c r="P16" i="30"/>
  <c r="O16" i="30"/>
  <c r="N16" i="30"/>
  <c r="M16" i="30"/>
  <c r="L16" i="30"/>
  <c r="K16" i="30"/>
  <c r="J16" i="30"/>
  <c r="I16" i="30"/>
  <c r="H16" i="30"/>
  <c r="G16" i="30"/>
  <c r="F16" i="30"/>
  <c r="E16" i="30"/>
  <c r="D16" i="30"/>
  <c r="C16" i="30"/>
  <c r="B16" i="30"/>
  <c r="R66" i="29"/>
  <c r="Q66" i="29"/>
  <c r="P66" i="29"/>
  <c r="O66" i="29"/>
  <c r="N66" i="29"/>
  <c r="M66" i="29"/>
  <c r="L66" i="29"/>
  <c r="K66" i="29"/>
  <c r="J66" i="29"/>
  <c r="I66" i="29"/>
  <c r="H66" i="29"/>
  <c r="G66" i="29"/>
  <c r="F66" i="29"/>
  <c r="E66" i="29"/>
  <c r="D66" i="29"/>
  <c r="C66" i="29"/>
  <c r="B66" i="29"/>
  <c r="O54" i="29"/>
  <c r="N54" i="29"/>
  <c r="M54" i="29"/>
  <c r="L54" i="29"/>
  <c r="K54" i="29"/>
  <c r="J54" i="29"/>
  <c r="I54" i="29"/>
  <c r="G54" i="29"/>
  <c r="F54" i="29"/>
  <c r="E54" i="29"/>
  <c r="D54" i="29"/>
  <c r="C54" i="29"/>
  <c r="B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U25" i="29"/>
  <c r="F19" i="26"/>
  <c r="C19" i="26"/>
  <c r="C71" i="60"/>
  <c r="D71" i="60"/>
  <c r="E71" i="60"/>
  <c r="G71" i="60"/>
  <c r="I71" i="60"/>
  <c r="J71" i="60"/>
  <c r="K71" i="60"/>
  <c r="M71" i="60"/>
  <c r="N71" i="60"/>
  <c r="D63" i="60"/>
  <c r="E63" i="60"/>
  <c r="F63" i="60"/>
  <c r="I63" i="60"/>
  <c r="J63" i="60"/>
  <c r="K63" i="60"/>
  <c r="L63" i="60"/>
  <c r="D5" i="60"/>
  <c r="D4" i="60"/>
  <c r="D4" i="59"/>
  <c r="D4" i="57"/>
  <c r="D4" i="56"/>
  <c r="D4" i="55"/>
  <c r="D4" i="53"/>
  <c r="B19" i="26"/>
  <c r="D19" i="26"/>
  <c r="E19" i="26"/>
  <c r="D4" i="51"/>
  <c r="I36" i="39" l="1"/>
  <c r="U21" i="30"/>
  <c r="U26" i="30" s="1"/>
  <c r="B47" i="29" l="1"/>
  <c r="A11" i="28"/>
  <c r="C250" i="28"/>
  <c r="A10" i="28"/>
  <c r="E4" i="59" l="1"/>
  <c r="E4" i="57"/>
  <c r="E4" i="56"/>
  <c r="P53" i="56" s="1" a="1"/>
  <c r="P53" i="56" s="1"/>
  <c r="E4" i="55"/>
  <c r="M41" i="55" s="1" a="1"/>
  <c r="M41" i="55" s="1"/>
  <c r="E4" i="60"/>
  <c r="E4" i="53"/>
  <c r="E4" i="51"/>
  <c r="L47" i="29"/>
  <c r="L48" i="29"/>
  <c r="L49" i="29"/>
  <c r="L50" i="29"/>
  <c r="L51" i="29"/>
  <c r="L52" i="29"/>
  <c r="L53" i="29"/>
  <c r="E41" i="39"/>
  <c r="E40" i="39"/>
  <c r="E39" i="39"/>
  <c r="B68" i="60" l="1" a="1"/>
  <c r="B68" i="60" s="1"/>
  <c r="D55" i="60" a="1"/>
  <c r="D55" i="60" s="1"/>
  <c r="F69" i="60" a="1"/>
  <c r="F69" i="60" s="1"/>
  <c r="O21" i="60" a="1"/>
  <c r="O21" i="60" s="1"/>
  <c r="C27" i="60" a="1"/>
  <c r="C27" i="60" s="1"/>
  <c r="B34" i="60" a="1"/>
  <c r="B34" i="60" s="1"/>
  <c r="S48" i="60" a="1"/>
  <c r="S48" i="60" s="1"/>
  <c r="G35" i="60" a="1"/>
  <c r="G35" i="60" s="1"/>
  <c r="G36" i="60" a="1"/>
  <c r="G36" i="60" s="1"/>
  <c r="H27" i="60" a="1"/>
  <c r="H27" i="60" s="1"/>
  <c r="N20" i="60" a="1"/>
  <c r="N20" i="60" s="1"/>
  <c r="L68" i="60" a="1"/>
  <c r="L68" i="60" s="1"/>
  <c r="Q12" i="60" a="1"/>
  <c r="Q12" i="60" s="1"/>
  <c r="T46" i="60" a="1"/>
  <c r="T46" i="60" s="1"/>
  <c r="C47" i="60" a="1"/>
  <c r="C47" i="60" s="1"/>
  <c r="E47" i="60" a="1"/>
  <c r="E47" i="60" s="1"/>
  <c r="L54" i="60" a="1"/>
  <c r="L54" i="60" s="1"/>
  <c r="H35" i="60" a="1"/>
  <c r="H35" i="60" s="1"/>
  <c r="I36" i="60" a="1"/>
  <c r="I36" i="60" s="1"/>
  <c r="J27" i="60" a="1"/>
  <c r="J27" i="60" s="1"/>
  <c r="D14" i="60" a="1"/>
  <c r="D14" i="60" s="1"/>
  <c r="H48" i="60" a="1"/>
  <c r="H48" i="60" s="1"/>
  <c r="J48" i="60" a="1"/>
  <c r="J48" i="60" s="1"/>
  <c r="M48" i="60" a="1"/>
  <c r="M48" i="60" s="1"/>
  <c r="C12" i="60" a="1"/>
  <c r="C12" i="60" s="1"/>
  <c r="O12" i="60" a="1"/>
  <c r="O12" i="60" s="1"/>
  <c r="L19" i="60" a="1"/>
  <c r="L19" i="60" s="1"/>
  <c r="O53" i="60" a="1"/>
  <c r="O53" i="60" s="1"/>
  <c r="C54" i="60" a="1"/>
  <c r="C54" i="60" s="1"/>
  <c r="E54" i="60" a="1"/>
  <c r="E54" i="60" s="1"/>
  <c r="J13" i="60" a="1"/>
  <c r="J13" i="60" s="1"/>
  <c r="M12" i="60" a="1"/>
  <c r="M12" i="60" s="1"/>
  <c r="C14" i="60" a="1"/>
  <c r="C14" i="60" s="1"/>
  <c r="I21" i="60" a="1"/>
  <c r="I21" i="60" s="1"/>
  <c r="M55" i="60" a="1"/>
  <c r="M55" i="60" s="1"/>
  <c r="O55" i="60" a="1"/>
  <c r="O55" i="60" s="1"/>
  <c r="G60" i="60" a="1"/>
  <c r="G60" i="60" s="1"/>
  <c r="R14" i="60" a="1"/>
  <c r="R14" i="60" s="1"/>
  <c r="N12" i="60" a="1"/>
  <c r="N12" i="60" s="1"/>
  <c r="G12" i="60" a="1"/>
  <c r="G12" i="60" s="1"/>
  <c r="J19" i="60" a="1"/>
  <c r="J19" i="60" s="1"/>
  <c r="N46" i="60" a="1"/>
  <c r="N46" i="60" s="1"/>
  <c r="B70" i="60" a="1"/>
  <c r="B70" i="60" s="1"/>
  <c r="H70" i="60" a="1"/>
  <c r="H70" i="60" s="1"/>
  <c r="O70" i="60" a="1"/>
  <c r="O70" i="60" s="1"/>
  <c r="J20" i="60" a="1"/>
  <c r="J20" i="60" s="1"/>
  <c r="E13" i="60" a="1"/>
  <c r="E13" i="60" s="1"/>
  <c r="I46" i="60" a="1"/>
  <c r="I46" i="60" s="1"/>
  <c r="H21" i="60" a="1"/>
  <c r="H21" i="60" s="1"/>
  <c r="B48" i="60" a="1"/>
  <c r="B48" i="60" s="1"/>
  <c r="B13" i="60" a="1"/>
  <c r="B13" i="60" s="1"/>
  <c r="H13" i="60" a="1"/>
  <c r="H13" i="60" s="1"/>
  <c r="Q47" i="60" a="1"/>
  <c r="Q47" i="60" s="1"/>
  <c r="M46" i="60" a="1"/>
  <c r="M46" i="60" s="1"/>
  <c r="I53" i="60" a="1"/>
  <c r="I53" i="60" s="1"/>
  <c r="I14" i="60" a="1"/>
  <c r="I14" i="60" s="1"/>
  <c r="H47" i="60" a="1"/>
  <c r="H47" i="60" s="1"/>
  <c r="L12" i="60" a="1"/>
  <c r="L12" i="60" s="1"/>
  <c r="D53" i="60" a="1"/>
  <c r="D53" i="60" s="1"/>
  <c r="T47" i="60" a="1"/>
  <c r="T47" i="60" s="1"/>
  <c r="G55" i="60" a="1"/>
  <c r="G55" i="60" s="1"/>
  <c r="S12" i="60" a="1"/>
  <c r="S12" i="60" s="1"/>
  <c r="B20" i="60" a="1"/>
  <c r="B20" i="60" s="1"/>
  <c r="O48" i="60" a="1"/>
  <c r="O48" i="60" s="1"/>
  <c r="S13" i="60" a="1"/>
  <c r="S13" i="60" s="1"/>
  <c r="B55" i="60" a="1"/>
  <c r="B55" i="60" s="1"/>
  <c r="H53" i="60" a="1"/>
  <c r="H53" i="60" s="1"/>
  <c r="B69" i="60" a="1"/>
  <c r="B69" i="60" s="1"/>
  <c r="G14" i="60" a="1"/>
  <c r="G14" i="60" s="1"/>
  <c r="T12" i="60" a="1"/>
  <c r="T12" i="60" s="1"/>
  <c r="N21" i="60" a="1"/>
  <c r="N21" i="60" s="1"/>
  <c r="H54" i="60" a="1"/>
  <c r="H54" i="60" s="1"/>
  <c r="O14" i="60" a="1"/>
  <c r="O14" i="60" s="1"/>
  <c r="F68" i="60" a="1"/>
  <c r="F68" i="60" s="1"/>
  <c r="E55" i="60" a="1"/>
  <c r="E55" i="60" s="1"/>
  <c r="N19" i="60" a="1"/>
  <c r="N19" i="60" s="1"/>
  <c r="H14" i="60" a="1"/>
  <c r="H14" i="60" s="1"/>
  <c r="S46" i="60" a="1"/>
  <c r="S46" i="60" s="1"/>
  <c r="C61" i="60" a="1"/>
  <c r="C61" i="60" s="1"/>
  <c r="H19" i="60" a="1"/>
  <c r="H19" i="60" s="1"/>
  <c r="J46" i="60" a="1"/>
  <c r="J46" i="60" s="1"/>
  <c r="O68" i="60" a="1"/>
  <c r="O68" i="60" s="1"/>
  <c r="O71" i="60" s="1"/>
  <c r="L21" i="60" a="1"/>
  <c r="L21" i="60" s="1"/>
  <c r="O19" i="60" a="1"/>
  <c r="O19" i="60" s="1"/>
  <c r="G48" i="60" a="1"/>
  <c r="G48" i="60" s="1"/>
  <c r="R47" i="60" a="1"/>
  <c r="R47" i="60" s="1"/>
  <c r="Q46" i="60" a="1"/>
  <c r="Q46" i="60" s="1"/>
  <c r="M21" i="60" a="1"/>
  <c r="M21" i="60" s="1"/>
  <c r="N53" i="60" a="1"/>
  <c r="N53" i="60" s="1"/>
  <c r="D13" i="60" a="1"/>
  <c r="D13" i="60" s="1"/>
  <c r="G13" i="60" a="1"/>
  <c r="G13" i="60" s="1"/>
  <c r="B12" i="60" a="1"/>
  <c r="B12" i="60" s="1"/>
  <c r="D21" i="60" a="1"/>
  <c r="D21" i="60" s="1"/>
  <c r="E53" i="60" a="1"/>
  <c r="E53" i="60" s="1"/>
  <c r="D48" i="60" a="1"/>
  <c r="D48" i="60" s="1"/>
  <c r="R46" i="60" a="1"/>
  <c r="R46" i="60" s="1"/>
  <c r="L55" i="60" a="1"/>
  <c r="L55" i="60" s="1"/>
  <c r="L14" i="60" a="1"/>
  <c r="L14" i="60" s="1"/>
  <c r="N14" i="60" a="1"/>
  <c r="N14" i="60" s="1"/>
  <c r="I13" i="60" a="1"/>
  <c r="I13" i="60" s="1"/>
  <c r="N13" i="60" a="1"/>
  <c r="N13" i="60" s="1"/>
  <c r="C55" i="60" a="1"/>
  <c r="C55" i="60" s="1"/>
  <c r="R12" i="60" a="1"/>
  <c r="R12" i="60" s="1"/>
  <c r="L53" i="60" a="1"/>
  <c r="L53" i="60" s="1"/>
  <c r="E48" i="60" a="1"/>
  <c r="E48" i="60" s="1"/>
  <c r="O69" i="60" a="1"/>
  <c r="O69" i="60" s="1"/>
  <c r="D20" i="60" a="1"/>
  <c r="D20" i="60" s="1"/>
  <c r="G20" i="60" a="1"/>
  <c r="G20" i="60" s="1"/>
  <c r="Q14" i="60" a="1"/>
  <c r="Q14" i="60" s="1"/>
  <c r="T13" i="60" a="1"/>
  <c r="T13" i="60" s="1"/>
  <c r="H68" i="60" a="1"/>
  <c r="H68" i="60" s="1"/>
  <c r="E14" i="60" a="1"/>
  <c r="E14" i="60" s="1"/>
  <c r="I55" i="60" a="1"/>
  <c r="I55" i="60" s="1"/>
  <c r="M53" i="60" a="1"/>
  <c r="M53" i="60" s="1"/>
  <c r="C26" i="60" a="1"/>
  <c r="C26" i="60" s="1"/>
  <c r="C28" i="60" a="1"/>
  <c r="C28" i="60" s="1"/>
  <c r="M14" i="60" a="1"/>
  <c r="M14" i="60" s="1"/>
  <c r="B14" i="60" a="1"/>
  <c r="B14" i="60" s="1"/>
  <c r="M19" i="60" a="1"/>
  <c r="M19" i="60" s="1"/>
  <c r="H69" i="60" a="1"/>
  <c r="H69" i="60" s="1"/>
  <c r="J55" i="60" a="1"/>
  <c r="J55" i="60" s="1"/>
  <c r="B47" i="60" a="1"/>
  <c r="B47" i="60" s="1"/>
  <c r="D47" i="60" a="1"/>
  <c r="D47" i="60" s="1"/>
  <c r="B35" i="60" a="1"/>
  <c r="B35" i="60" s="1"/>
  <c r="G19" i="60" a="1"/>
  <c r="G19" i="60" s="1"/>
  <c r="I19" i="60" a="1"/>
  <c r="I19" i="60" s="1"/>
  <c r="J21" i="60" a="1"/>
  <c r="J21" i="60" s="1"/>
  <c r="L69" i="60" a="1"/>
  <c r="L69" i="60" s="1"/>
  <c r="I48" i="60" a="1"/>
  <c r="I48" i="60" s="1"/>
  <c r="L48" i="60" a="1"/>
  <c r="L48" i="60" s="1"/>
  <c r="G47" i="60" a="1"/>
  <c r="G47" i="60" s="1"/>
  <c r="G21" i="60" a="1"/>
  <c r="G21" i="60" s="1"/>
  <c r="K21" i="60" s="1"/>
  <c r="O46" i="60" a="1"/>
  <c r="O46" i="60" s="1"/>
  <c r="B54" i="60" a="1"/>
  <c r="B54" i="60" s="1"/>
  <c r="D54" i="60" a="1"/>
  <c r="D54" i="60" s="1"/>
  <c r="N48" i="60" a="1"/>
  <c r="N48" i="60" s="1"/>
  <c r="E21" i="60" a="1"/>
  <c r="E21" i="60" s="1"/>
  <c r="L46" i="60" a="1"/>
  <c r="L46" i="60" s="1"/>
  <c r="C48" i="60" a="1"/>
  <c r="C48" i="60" s="1"/>
  <c r="C13" i="60" a="1"/>
  <c r="C13" i="60" s="1"/>
  <c r="N55" i="60" a="1"/>
  <c r="N55" i="60" s="1"/>
  <c r="C60" i="60" a="1"/>
  <c r="C60" i="60" s="1"/>
  <c r="B60" i="60" s="1"/>
  <c r="G54" i="60" a="1"/>
  <c r="G54" i="60" s="1"/>
  <c r="S47" i="60" a="1"/>
  <c r="S47" i="60" s="1"/>
  <c r="J53" i="60" a="1"/>
  <c r="J53" i="60" s="1"/>
  <c r="J14" i="60" a="1"/>
  <c r="J14" i="60" s="1"/>
  <c r="F70" i="60" a="1"/>
  <c r="F70" i="60" s="1"/>
  <c r="L70" i="60" a="1"/>
  <c r="L70" i="60" s="1"/>
  <c r="H60" i="60" a="1"/>
  <c r="H60" i="60" s="1"/>
  <c r="G53" i="60" a="1"/>
  <c r="G53" i="60" s="1"/>
  <c r="H55" i="60" a="1"/>
  <c r="H55" i="60" s="1"/>
  <c r="C20" i="60" a="1"/>
  <c r="C20" i="60" s="1"/>
  <c r="E20" i="60" a="1"/>
  <c r="E20" i="60" s="1"/>
  <c r="H20" i="60" a="1"/>
  <c r="H20" i="60" s="1"/>
  <c r="G61" i="60" a="1"/>
  <c r="G61" i="60" s="1"/>
  <c r="B61" i="60" s="1"/>
  <c r="L47" i="60" a="1"/>
  <c r="L47" i="60" s="1"/>
  <c r="D34" i="60" a="1"/>
  <c r="D34" i="60" s="1"/>
  <c r="O35" i="60" a="1"/>
  <c r="O35" i="60" s="1"/>
  <c r="D27" i="60" a="1"/>
  <c r="D27" i="60" s="1"/>
  <c r="J12" i="60" a="1"/>
  <c r="J12" i="60" s="1"/>
  <c r="I20" i="60" a="1"/>
  <c r="I20" i="60" s="1"/>
  <c r="K35" i="60" a="1"/>
  <c r="K35" i="60" s="1"/>
  <c r="G62" i="60" a="1"/>
  <c r="G62" i="60" s="1"/>
  <c r="B36" i="60" a="1"/>
  <c r="B36" i="60" s="1"/>
  <c r="H34" i="60" a="1"/>
  <c r="H34" i="60" s="1"/>
  <c r="I12" i="60" a="1"/>
  <c r="I12" i="60" s="1"/>
  <c r="I15" i="60" s="1"/>
  <c r="Q13" i="60" a="1"/>
  <c r="Q13" i="60" s="1"/>
  <c r="I34" i="60" a="1"/>
  <c r="I34" i="60" s="1"/>
  <c r="H26" i="60" a="1"/>
  <c r="H26" i="60" s="1"/>
  <c r="J34" i="60" a="1"/>
  <c r="J34" i="60" s="1"/>
  <c r="J37" i="60" s="1"/>
  <c r="L35" i="60" a="1"/>
  <c r="L35" i="60" s="1"/>
  <c r="D26" i="60" a="1"/>
  <c r="D26" i="60" s="1"/>
  <c r="B21" i="60" a="1"/>
  <c r="B21" i="60" s="1"/>
  <c r="K34" i="60" a="1"/>
  <c r="K34" i="60" s="1"/>
  <c r="M35" i="60" a="1"/>
  <c r="M35" i="60" s="1"/>
  <c r="F26" i="60" a="1"/>
  <c r="F26" i="60" s="1"/>
  <c r="N47" i="60" a="1"/>
  <c r="N47" i="60" s="1"/>
  <c r="N49" i="60" s="1"/>
  <c r="E27" i="60" a="1"/>
  <c r="E27" i="60" s="1"/>
  <c r="M36" i="60" a="1"/>
  <c r="M36" i="60" s="1"/>
  <c r="N35" i="60" a="1"/>
  <c r="N35" i="60" s="1"/>
  <c r="G26" i="60" a="1"/>
  <c r="G26" i="60" s="1"/>
  <c r="L27" i="60" a="1"/>
  <c r="L27" i="60" s="1"/>
  <c r="I26" i="60" a="1"/>
  <c r="I26" i="60" s="1"/>
  <c r="D36" i="60" a="1"/>
  <c r="D36" i="60" s="1"/>
  <c r="E12" i="60" a="1"/>
  <c r="E12" i="60" s="1"/>
  <c r="K28" i="60" a="1"/>
  <c r="K28" i="60" s="1"/>
  <c r="K27" i="60" a="1"/>
  <c r="K27" i="60" s="1"/>
  <c r="K26" i="60" a="1"/>
  <c r="K26" i="60" s="1"/>
  <c r="B53" i="60" a="1"/>
  <c r="B53" i="60" s="1"/>
  <c r="N36" i="60" a="1"/>
  <c r="N36" i="60" s="1"/>
  <c r="M13" i="60" a="1"/>
  <c r="M13" i="60" s="1"/>
  <c r="L34" i="60" a="1"/>
  <c r="L34" i="60" s="1"/>
  <c r="E36" i="60" a="1"/>
  <c r="E36" i="60" s="1"/>
  <c r="L26" i="60" a="1"/>
  <c r="L26" i="60" s="1"/>
  <c r="N54" i="60" a="1"/>
  <c r="N54" i="60" s="1"/>
  <c r="T14" i="60" a="1"/>
  <c r="T14" i="60" s="1"/>
  <c r="M20" i="60" a="1"/>
  <c r="M20" i="60" s="1"/>
  <c r="J26" i="60" a="1"/>
  <c r="J26" i="60" s="1"/>
  <c r="F36" i="60" a="1"/>
  <c r="F36" i="60" s="1"/>
  <c r="K36" i="60" a="1"/>
  <c r="K36" i="60" s="1"/>
  <c r="C46" i="60" a="1"/>
  <c r="C46" i="60" s="1"/>
  <c r="L28" i="60" a="1"/>
  <c r="L28" i="60" s="1"/>
  <c r="D28" i="60" a="1"/>
  <c r="D28" i="60" s="1"/>
  <c r="O13" i="60" a="1"/>
  <c r="O13" i="60" s="1"/>
  <c r="O15" i="60" s="1"/>
  <c r="J47" i="60" a="1"/>
  <c r="J47" i="60" s="1"/>
  <c r="M34" i="60" a="1"/>
  <c r="M34" i="60" s="1"/>
  <c r="M37" i="60" s="1"/>
  <c r="G28" i="60" a="1"/>
  <c r="G28" i="60" s="1"/>
  <c r="D12" i="60" a="1"/>
  <c r="D12" i="60" s="1"/>
  <c r="R48" i="60" a="1"/>
  <c r="R48" i="60" s="1"/>
  <c r="N34" i="60" a="1"/>
  <c r="N34" i="60" s="1"/>
  <c r="J36" i="60" a="1"/>
  <c r="J36" i="60" s="1"/>
  <c r="L13" i="60" a="1"/>
  <c r="L13" i="60" s="1"/>
  <c r="J54" i="60" a="1"/>
  <c r="J54" i="60" s="1"/>
  <c r="J56" i="60" s="1"/>
  <c r="O34" i="60" a="1"/>
  <c r="O34" i="60" s="1"/>
  <c r="O37" i="60" s="1"/>
  <c r="H28" i="60" a="1"/>
  <c r="H28" i="60" s="1"/>
  <c r="H12" i="60" a="1"/>
  <c r="H12" i="60" s="1"/>
  <c r="H15" i="60" s="1"/>
  <c r="S14" i="60" a="1"/>
  <c r="S14" i="60" s="1"/>
  <c r="S15" i="60" s="1"/>
  <c r="L20" i="60" a="1"/>
  <c r="L20" i="60" s="1"/>
  <c r="B19" i="60" a="1"/>
  <c r="B19" i="60" s="1"/>
  <c r="F34" i="60" a="1"/>
  <c r="F34" i="60" s="1"/>
  <c r="I28" i="60" a="1"/>
  <c r="I28" i="60" s="1"/>
  <c r="C19" i="60" a="1"/>
  <c r="C19" i="60" s="1"/>
  <c r="E19" i="60" a="1"/>
  <c r="E19" i="60" s="1"/>
  <c r="E35" i="60" a="1"/>
  <c r="E35" i="60" s="1"/>
  <c r="C36" i="60" a="1"/>
  <c r="C36" i="60" s="1"/>
  <c r="G46" i="60" a="1"/>
  <c r="G46" i="60" s="1"/>
  <c r="B46" i="60" a="1"/>
  <c r="B46" i="60" s="1"/>
  <c r="D46" i="60" a="1"/>
  <c r="D46" i="60" s="1"/>
  <c r="F27" i="60" a="1"/>
  <c r="F27" i="60" s="1"/>
  <c r="L36" i="60" a="1"/>
  <c r="L36" i="60" s="1"/>
  <c r="O20" i="60" a="1"/>
  <c r="O20" i="60" s="1"/>
  <c r="O22" i="60" s="1"/>
  <c r="C21" i="60" a="1"/>
  <c r="C21" i="60" s="1"/>
  <c r="I47" i="60" a="1"/>
  <c r="I47" i="60" s="1"/>
  <c r="C62" i="60" a="1"/>
  <c r="C62" i="60" s="1"/>
  <c r="I35" i="60" a="1"/>
  <c r="I35" i="60" s="1"/>
  <c r="J28" i="60" a="1"/>
  <c r="J28" i="60" s="1"/>
  <c r="E46" i="60" a="1"/>
  <c r="E46" i="60" s="1"/>
  <c r="H46" i="60" a="1"/>
  <c r="H46" i="60" s="1"/>
  <c r="H49" i="60" s="1"/>
  <c r="Q48" i="60" a="1"/>
  <c r="Q48" i="60" s="1"/>
  <c r="G34" i="60" a="1"/>
  <c r="G34" i="60" s="1"/>
  <c r="G37" i="60" s="1"/>
  <c r="C35" i="60" a="1"/>
  <c r="C35" i="60" s="1"/>
  <c r="O36" i="60" a="1"/>
  <c r="O36" i="60" s="1"/>
  <c r="M47" i="60" a="1"/>
  <c r="M47" i="60" s="1"/>
  <c r="O47" i="60" a="1"/>
  <c r="O47" i="60" s="1"/>
  <c r="F28" i="60" a="1"/>
  <c r="F28" i="60" s="1"/>
  <c r="I27" i="60" a="1"/>
  <c r="I27" i="60" s="1"/>
  <c r="E28" i="60" a="1"/>
  <c r="E28" i="60" s="1"/>
  <c r="I54" i="60" a="1"/>
  <c r="I54" i="60" s="1"/>
  <c r="I56" i="60" s="1"/>
  <c r="H36" i="60" a="1"/>
  <c r="H36" i="60" s="1"/>
  <c r="G27" i="60" a="1"/>
  <c r="G27" i="60" s="1"/>
  <c r="C34" i="60" a="1"/>
  <c r="C34" i="60" s="1"/>
  <c r="C37" i="60" s="1"/>
  <c r="T48" i="60" a="1"/>
  <c r="T48" i="60" s="1"/>
  <c r="C53" i="60" a="1"/>
  <c r="C53" i="60" s="1"/>
  <c r="C56" i="60" s="1"/>
  <c r="D35" i="60" a="1"/>
  <c r="D35" i="60" s="1"/>
  <c r="D19" i="60" a="1"/>
  <c r="D19" i="60" s="1"/>
  <c r="D22" i="60" s="1"/>
  <c r="H62" i="60" a="1"/>
  <c r="H62" i="60" s="1"/>
  <c r="H61" i="60" a="1"/>
  <c r="H61" i="60" s="1"/>
  <c r="E26" i="60" a="1"/>
  <c r="E26" i="60" s="1"/>
  <c r="E29" i="60" s="1"/>
  <c r="J35" i="60" a="1"/>
  <c r="J35" i="60" s="1"/>
  <c r="E34" i="60" a="1"/>
  <c r="E34" i="60" s="1"/>
  <c r="M54" i="60" a="1"/>
  <c r="M54" i="60" s="1"/>
  <c r="O54" i="60" a="1"/>
  <c r="O54" i="60" s="1"/>
  <c r="O56" i="60" s="1"/>
  <c r="F35" i="60" a="1"/>
  <c r="F35" i="60" s="1"/>
  <c r="R13" i="60" a="1"/>
  <c r="R13" i="60" s="1"/>
  <c r="F55" i="55" a="1"/>
  <c r="F55" i="55" s="1"/>
  <c r="E13" i="55" a="1"/>
  <c r="E13" i="55" s="1"/>
  <c r="D25" i="55" a="1"/>
  <c r="D25" i="55" s="1"/>
  <c r="T13" i="55" a="1"/>
  <c r="T13" i="55" s="1"/>
  <c r="L35" i="55" a="1"/>
  <c r="L35" i="55" s="1"/>
  <c r="I15" i="55" a="1"/>
  <c r="I15" i="55" s="1"/>
  <c r="O23" i="55" a="1"/>
  <c r="O23" i="55" s="1"/>
  <c r="B53" i="55" a="1"/>
  <c r="B53" i="55" s="1"/>
  <c r="E11" i="55" a="1"/>
  <c r="E11" i="55" s="1"/>
  <c r="O15" i="55" a="1"/>
  <c r="O15" i="55" s="1"/>
  <c r="R13" i="55" a="1"/>
  <c r="R13" i="55" s="1"/>
  <c r="E24" i="55" a="1"/>
  <c r="E24" i="55" s="1"/>
  <c r="T14" i="55" a="1"/>
  <c r="T14" i="55" s="1"/>
  <c r="C21" i="55" a="1"/>
  <c r="C21" i="55" s="1"/>
  <c r="M22" i="55" a="1"/>
  <c r="M22" i="55" s="1"/>
  <c r="J21" i="55" a="1"/>
  <c r="J21" i="55" s="1"/>
  <c r="L51" i="55" a="1"/>
  <c r="L51" i="55" s="1"/>
  <c r="T11" i="55" a="1"/>
  <c r="T11" i="55" s="1"/>
  <c r="Q13" i="55" a="1"/>
  <c r="Q13" i="55" s="1"/>
  <c r="N14" i="55" a="1"/>
  <c r="N14" i="55" s="1"/>
  <c r="E31" i="55" a="1"/>
  <c r="E31" i="55" s="1"/>
  <c r="Q11" i="55" a="1"/>
  <c r="Q11" i="55" s="1"/>
  <c r="O21" i="55" a="1"/>
  <c r="O21" i="55" s="1"/>
  <c r="O54" i="55" a="1"/>
  <c r="O54" i="55" s="1"/>
  <c r="O25" i="55" a="1"/>
  <c r="O25" i="55" s="1"/>
  <c r="O41" i="55" a="1"/>
  <c r="O41" i="55" s="1"/>
  <c r="G12" i="55" a="1"/>
  <c r="G12" i="55" s="1"/>
  <c r="Q14" i="55" a="1"/>
  <c r="Q14" i="55" s="1"/>
  <c r="G13" i="55" a="1"/>
  <c r="G13" i="55" s="1"/>
  <c r="S15" i="55" a="1"/>
  <c r="S15" i="55" s="1"/>
  <c r="H24" i="55" a="1"/>
  <c r="H24" i="55" s="1"/>
  <c r="M12" i="55" a="1"/>
  <c r="M12" i="55" s="1"/>
  <c r="L22" i="55" a="1"/>
  <c r="L22" i="55" s="1"/>
  <c r="O44" i="55" a="1"/>
  <c r="O44" i="55" s="1"/>
  <c r="N13" i="55" a="1"/>
  <c r="N13" i="55" s="1"/>
  <c r="H15" i="55" a="1"/>
  <c r="H15" i="55" s="1"/>
  <c r="B45" i="55" a="1"/>
  <c r="B45" i="55" s="1"/>
  <c r="N43" i="55" a="1"/>
  <c r="N43" i="55" s="1"/>
  <c r="M13" i="55" a="1"/>
  <c r="M13" i="55" s="1"/>
  <c r="O51" i="55" a="1"/>
  <c r="O51" i="55" s="1"/>
  <c r="O45" i="55" a="1"/>
  <c r="O45" i="55" s="1"/>
  <c r="H33" i="55" a="1"/>
  <c r="H33" i="55" s="1"/>
  <c r="H43" i="55" a="1"/>
  <c r="H43" i="55" s="1"/>
  <c r="I12" i="55" a="1"/>
  <c r="I12" i="55" s="1"/>
  <c r="C15" i="55" a="1"/>
  <c r="C15" i="55" s="1"/>
  <c r="I13" i="55" a="1"/>
  <c r="I13" i="55" s="1"/>
  <c r="G21" i="55" a="1"/>
  <c r="G21" i="55" s="1"/>
  <c r="L41" i="55" a="1"/>
  <c r="L41" i="55" s="1"/>
  <c r="B23" i="55" a="1"/>
  <c r="B23" i="55" s="1"/>
  <c r="J45" i="55" a="1"/>
  <c r="J45" i="55" s="1"/>
  <c r="H14" i="55" a="1"/>
  <c r="H14" i="55" s="1"/>
  <c r="E15" i="55" a="1"/>
  <c r="E15" i="55" s="1"/>
  <c r="N52" i="55" a="1"/>
  <c r="N52" i="55" s="1"/>
  <c r="M33" i="55" a="1"/>
  <c r="M33" i="55" s="1"/>
  <c r="C12" i="55" a="1"/>
  <c r="C12" i="55" s="1"/>
  <c r="M24" i="55" a="1"/>
  <c r="M24" i="55" s="1"/>
  <c r="L32" i="55" a="1"/>
  <c r="L32" i="55" s="1"/>
  <c r="F31" i="55" a="1"/>
  <c r="F31" i="55" s="1"/>
  <c r="H34" i="55" a="1"/>
  <c r="H34" i="55" s="1"/>
  <c r="D14" i="55" a="1"/>
  <c r="D14" i="55" s="1"/>
  <c r="I44" i="55" a="1"/>
  <c r="I44" i="55" s="1"/>
  <c r="G11" i="55" a="1"/>
  <c r="G11" i="55" s="1"/>
  <c r="J11" i="55" a="1"/>
  <c r="J11" i="55" s="1"/>
  <c r="E32" i="55" a="1"/>
  <c r="E32" i="55" s="1"/>
  <c r="M21" i="55" a="1"/>
  <c r="M21" i="55" s="1"/>
  <c r="L33" i="55" a="1"/>
  <c r="L33" i="55" s="1"/>
  <c r="E14" i="55" a="1"/>
  <c r="E14" i="55" s="1"/>
  <c r="L42" i="55" a="1"/>
  <c r="L42" i="55" s="1"/>
  <c r="O53" i="55" a="1"/>
  <c r="O53" i="55" s="1"/>
  <c r="D33" i="55" a="1"/>
  <c r="D33" i="55" s="1"/>
  <c r="S11" i="55" a="1"/>
  <c r="S11" i="55" s="1"/>
  <c r="L14" i="55" a="1"/>
  <c r="L14" i="55" s="1"/>
  <c r="E35" i="55" a="1"/>
  <c r="E35" i="55" s="1"/>
  <c r="E55" i="55" a="1"/>
  <c r="E55" i="55" s="1"/>
  <c r="D42" i="55" a="1"/>
  <c r="D42" i="55" s="1"/>
  <c r="K43" i="55" a="1"/>
  <c r="K43" i="55" s="1"/>
  <c r="J35" i="55" a="1"/>
  <c r="J35" i="55" s="1"/>
  <c r="H45" i="55" a="1"/>
  <c r="H45" i="55" s="1"/>
  <c r="K45" i="55" a="1"/>
  <c r="K45" i="55" s="1"/>
  <c r="F44" i="55" a="1"/>
  <c r="F44" i="55" s="1"/>
  <c r="R15" i="55" a="1"/>
  <c r="R15" i="55" s="1"/>
  <c r="F33" i="55" a="1"/>
  <c r="F33" i="55" s="1"/>
  <c r="N45" i="55" a="1"/>
  <c r="N45" i="55" s="1"/>
  <c r="I42" i="55" a="1"/>
  <c r="I42" i="55" s="1"/>
  <c r="C55" i="55" a="1"/>
  <c r="C55" i="55" s="1"/>
  <c r="D45" i="55" a="1"/>
  <c r="D45" i="55" s="1"/>
  <c r="M44" i="55" a="1"/>
  <c r="M44" i="55" s="1"/>
  <c r="E12" i="55" a="1"/>
  <c r="E12" i="55" s="1"/>
  <c r="E41" i="55" a="1"/>
  <c r="E41" i="55" s="1"/>
  <c r="H41" i="55" a="1"/>
  <c r="H41" i="55" s="1"/>
  <c r="B52" i="55" a="1"/>
  <c r="B52" i="55" s="1"/>
  <c r="L34" i="55" a="1"/>
  <c r="L34" i="55" s="1"/>
  <c r="B43" i="55" a="1"/>
  <c r="B43" i="55" s="1"/>
  <c r="J31" i="55" a="1"/>
  <c r="J31" i="55" s="1"/>
  <c r="C32" i="55" a="1"/>
  <c r="C32" i="55" s="1"/>
  <c r="O52" i="55" a="1"/>
  <c r="O52" i="55" s="1"/>
  <c r="M11" i="55" a="1"/>
  <c r="M11" i="55" s="1"/>
  <c r="D43" i="55" a="1"/>
  <c r="D43" i="55" s="1"/>
  <c r="J41" i="55" a="1"/>
  <c r="J41" i="55" s="1"/>
  <c r="M34" i="55" a="1"/>
  <c r="M34" i="55" s="1"/>
  <c r="I51" i="55" a="1"/>
  <c r="I51" i="55" s="1"/>
  <c r="Q52" i="55" a="1"/>
  <c r="Q52" i="55" s="1"/>
  <c r="H32" i="55" a="1"/>
  <c r="H32" i="55" s="1"/>
  <c r="D11" i="55" a="1"/>
  <c r="D11" i="55" s="1"/>
  <c r="E53" i="55" a="1"/>
  <c r="E53" i="55" s="1"/>
  <c r="N25" i="55" a="1"/>
  <c r="N25" i="55" s="1"/>
  <c r="K53" i="55" a="1"/>
  <c r="K53" i="55" s="1"/>
  <c r="F42" i="55" a="1"/>
  <c r="F42" i="55" s="1"/>
  <c r="G52" i="55" a="1"/>
  <c r="G52" i="55" s="1"/>
  <c r="E43" i="55" a="1"/>
  <c r="E43" i="55" s="1"/>
  <c r="C44" i="55" a="1"/>
  <c r="C44" i="55" s="1"/>
  <c r="H54" i="55" a="1"/>
  <c r="H54" i="55" s="1"/>
  <c r="L44" i="55" a="1"/>
  <c r="L44" i="55" s="1"/>
  <c r="G53" i="55" a="1"/>
  <c r="G53" i="55" s="1"/>
  <c r="J34" i="55" a="1"/>
  <c r="J34" i="55" s="1"/>
  <c r="K35" i="55" a="1"/>
  <c r="K35" i="55" s="1"/>
  <c r="G22" i="55" a="1"/>
  <c r="G22" i="55" s="1"/>
  <c r="K54" i="55" a="1"/>
  <c r="K54" i="55" s="1"/>
  <c r="C34" i="55" a="1"/>
  <c r="C34" i="55" s="1"/>
  <c r="B34" i="55" s="1"/>
  <c r="R12" i="55" a="1"/>
  <c r="R12" i="55" s="1"/>
  <c r="R54" i="55" a="1"/>
  <c r="R54" i="55" s="1"/>
  <c r="D23" i="55" a="1"/>
  <c r="D23" i="55" s="1"/>
  <c r="I55" i="55" a="1"/>
  <c r="I55" i="55" s="1"/>
  <c r="E52" i="55" a="1"/>
  <c r="E52" i="55" s="1"/>
  <c r="Q53" i="55" a="1"/>
  <c r="Q53" i="55" s="1"/>
  <c r="J52" i="55" a="1"/>
  <c r="J52" i="55" s="1"/>
  <c r="L52" i="55" a="1"/>
  <c r="L52" i="55" s="1"/>
  <c r="G51" i="55" a="1"/>
  <c r="G51" i="55" s="1"/>
  <c r="K44" i="55" a="1"/>
  <c r="K44" i="55" s="1"/>
  <c r="J54" i="55" a="1"/>
  <c r="J54" i="55" s="1"/>
  <c r="E34" i="55" a="1"/>
  <c r="E34" i="55" s="1"/>
  <c r="D31" i="55" a="1"/>
  <c r="D31" i="55" s="1"/>
  <c r="D22" i="55" a="1"/>
  <c r="D22" i="55" s="1"/>
  <c r="K51" i="55" a="1"/>
  <c r="K51" i="55" s="1"/>
  <c r="G45" i="55" a="1"/>
  <c r="G45" i="55" s="1"/>
  <c r="B13" i="55" a="1"/>
  <c r="B13" i="55" s="1"/>
  <c r="Q51" i="55" a="1"/>
  <c r="Q51" i="55" s="1"/>
  <c r="T12" i="55" a="1"/>
  <c r="T12" i="55" s="1"/>
  <c r="G33" i="55" a="1"/>
  <c r="G33" i="55" s="1"/>
  <c r="K55" i="55" a="1"/>
  <c r="K55" i="55" s="1"/>
  <c r="N55" i="55" a="1"/>
  <c r="N55" i="55" s="1"/>
  <c r="C54" i="55" a="1"/>
  <c r="C54" i="55" s="1"/>
  <c r="E54" i="55" a="1"/>
  <c r="E54" i="55" s="1"/>
  <c r="L23" i="55" a="1"/>
  <c r="L23" i="55" s="1"/>
  <c r="I33" i="55" a="1"/>
  <c r="I33" i="55" s="1"/>
  <c r="O55" i="55" a="1"/>
  <c r="O55" i="55" s="1"/>
  <c r="G43" i="55" a="1"/>
  <c r="G43" i="55" s="1"/>
  <c r="G44" i="55" a="1"/>
  <c r="G44" i="55" s="1"/>
  <c r="I21" i="55" a="1"/>
  <c r="I21" i="55" s="1"/>
  <c r="N23" i="55" a="1"/>
  <c r="N23" i="55" s="1"/>
  <c r="N54" i="55" a="1"/>
  <c r="N54" i="55" s="1"/>
  <c r="I53" i="55" a="1"/>
  <c r="I53" i="55" s="1"/>
  <c r="S12" i="55" a="1"/>
  <c r="S12" i="55" s="1"/>
  <c r="N15" i="55" a="1"/>
  <c r="N15" i="55" s="1"/>
  <c r="I22" i="55" a="1"/>
  <c r="I22" i="55" s="1"/>
  <c r="G35" i="55" a="1"/>
  <c r="G35" i="55" s="1"/>
  <c r="H23" i="55" a="1"/>
  <c r="H23" i="55" s="1"/>
  <c r="R55" i="55" a="1"/>
  <c r="R55" i="55" s="1"/>
  <c r="D51" i="55" a="1"/>
  <c r="D51" i="55" s="1"/>
  <c r="G25" i="55" a="1"/>
  <c r="G25" i="55" s="1"/>
  <c r="C33" i="55" a="1"/>
  <c r="C33" i="55" s="1"/>
  <c r="B33" i="55" s="1"/>
  <c r="M45" i="55" a="1"/>
  <c r="M45" i="55" s="1"/>
  <c r="N41" i="55" a="1"/>
  <c r="N41" i="55" s="1"/>
  <c r="M52" i="55" a="1"/>
  <c r="M52" i="55" s="1"/>
  <c r="S14" i="55" a="1"/>
  <c r="S14" i="55" s="1"/>
  <c r="I25" i="55" a="1"/>
  <c r="I25" i="55" s="1"/>
  <c r="N51" i="55" a="1"/>
  <c r="N51" i="55" s="1"/>
  <c r="B14" i="55" a="1"/>
  <c r="B14" i="55" s="1"/>
  <c r="B11" i="55" a="1"/>
  <c r="B11" i="55" s="1"/>
  <c r="D13" i="55" a="1"/>
  <c r="D13" i="55" s="1"/>
  <c r="S23" i="55" s="1"/>
  <c r="D24" i="55" a="1"/>
  <c r="D24" i="55" s="1"/>
  <c r="G23" i="55" a="1"/>
  <c r="G23" i="55" s="1"/>
  <c r="E25" i="55" a="1"/>
  <c r="E25" i="55" s="1"/>
  <c r="G24" i="55" a="1"/>
  <c r="G24" i="55" s="1"/>
  <c r="N22" i="55" a="1"/>
  <c r="N22" i="55" s="1"/>
  <c r="L21" i="55" a="1"/>
  <c r="L21" i="55" s="1"/>
  <c r="F41" i="55" a="1"/>
  <c r="F41" i="55" s="1"/>
  <c r="I41" i="55" a="1"/>
  <c r="I41" i="55" s="1"/>
  <c r="H35" i="55" a="1"/>
  <c r="H35" i="55" s="1"/>
  <c r="N53" i="55" a="1"/>
  <c r="N53" i="55" s="1"/>
  <c r="M15" i="55" a="1"/>
  <c r="M15" i="55" s="1"/>
  <c r="N21" i="55" a="1"/>
  <c r="N21" i="55" s="1"/>
  <c r="L24" i="55" a="1"/>
  <c r="L24" i="55" s="1"/>
  <c r="N11" i="55" a="1"/>
  <c r="N11" i="55" s="1"/>
  <c r="G55" i="55" a="1"/>
  <c r="G55" i="55" s="1"/>
  <c r="E23" i="55" a="1"/>
  <c r="E23" i="55" s="1"/>
  <c r="S13" i="55" a="1"/>
  <c r="S13" i="55" s="1"/>
  <c r="B25" i="55" a="1"/>
  <c r="B25" i="55" s="1"/>
  <c r="Q15" i="55" a="1"/>
  <c r="Q15" i="55" s="1"/>
  <c r="D21" i="55" a="1"/>
  <c r="D21" i="55" s="1"/>
  <c r="I24" i="55" a="1"/>
  <c r="I24" i="55" s="1"/>
  <c r="G15" i="55" a="1"/>
  <c r="G15" i="55" s="1"/>
  <c r="D52" i="55" a="1"/>
  <c r="D52" i="55" s="1"/>
  <c r="I34" i="55" a="1"/>
  <c r="I34" i="55" s="1"/>
  <c r="D35" i="55" a="1"/>
  <c r="D35" i="55" s="1"/>
  <c r="B55" i="55" a="1"/>
  <c r="B55" i="55" s="1"/>
  <c r="B12" i="55" a="1"/>
  <c r="B12" i="55" s="1"/>
  <c r="L13" i="55" a="1"/>
  <c r="L13" i="55" s="1"/>
  <c r="B22" i="55" a="1"/>
  <c r="B22" i="55" s="1"/>
  <c r="L45" i="55" a="1"/>
  <c r="L45" i="55" s="1"/>
  <c r="H42" i="55" a="1"/>
  <c r="H42" i="55" s="1"/>
  <c r="H12" i="55" a="1"/>
  <c r="H12" i="55" s="1"/>
  <c r="J12" i="55" a="1"/>
  <c r="J12" i="55" s="1"/>
  <c r="H13" i="55" a="1"/>
  <c r="H13" i="55" s="1"/>
  <c r="T15" i="55" a="1"/>
  <c r="T15" i="55" s="1"/>
  <c r="L12" i="55" a="1"/>
  <c r="L12" i="55" s="1"/>
  <c r="O11" i="55" a="1"/>
  <c r="O11" i="55" s="1"/>
  <c r="D53" i="55" a="1"/>
  <c r="D53" i="55" s="1"/>
  <c r="D34" i="55" a="1"/>
  <c r="D34" i="55" s="1"/>
  <c r="D44" i="55" a="1"/>
  <c r="D44" i="55" s="1"/>
  <c r="H51" i="55" a="1"/>
  <c r="H51" i="55" s="1"/>
  <c r="M43" i="55" a="1"/>
  <c r="M43" i="55" s="1"/>
  <c r="J15" i="55" a="1"/>
  <c r="J15" i="55" s="1"/>
  <c r="B21" i="55" a="1"/>
  <c r="B21" i="55" s="1"/>
  <c r="K32" i="55" a="1"/>
  <c r="K32" i="55" s="1"/>
  <c r="F35" i="55" a="1"/>
  <c r="F35" i="55" s="1"/>
  <c r="J33" i="55" a="1"/>
  <c r="J33" i="55" s="1"/>
  <c r="C14" i="55" a="1"/>
  <c r="C14" i="55" s="1"/>
  <c r="B15" i="55" a="1"/>
  <c r="B15" i="55" s="1"/>
  <c r="D15" i="55" a="1"/>
  <c r="D15" i="55" s="1"/>
  <c r="S25" i="55" s="1"/>
  <c r="J13" i="55" a="1"/>
  <c r="J13" i="55" s="1"/>
  <c r="I14" i="55" a="1"/>
  <c r="I14" i="55" s="1"/>
  <c r="G54" i="55" a="1"/>
  <c r="G54" i="55" s="1"/>
  <c r="F43" i="55" a="1"/>
  <c r="F43" i="55" s="1"/>
  <c r="K52" i="55" a="1"/>
  <c r="K52" i="55" s="1"/>
  <c r="C22" i="55" a="1"/>
  <c r="C22" i="55" s="1"/>
  <c r="M32" i="55" a="1"/>
  <c r="M32" i="55" s="1"/>
  <c r="R11" i="55" a="1"/>
  <c r="R11" i="55" s="1"/>
  <c r="O13" i="55" a="1"/>
  <c r="O13" i="55" s="1"/>
  <c r="C35" i="55" a="1"/>
  <c r="C35" i="55" s="1"/>
  <c r="G41" i="55" a="1"/>
  <c r="G41" i="55" s="1"/>
  <c r="B42" i="55" a="1"/>
  <c r="B42" i="55" s="1"/>
  <c r="J43" i="55" a="1"/>
  <c r="J43" i="55" s="1"/>
  <c r="H44" i="55" a="1"/>
  <c r="H44" i="55" s="1"/>
  <c r="J14" i="55" a="1"/>
  <c r="J14" i="55" s="1"/>
  <c r="H11" i="55" a="1"/>
  <c r="H11" i="55" s="1"/>
  <c r="L11" i="55" a="1"/>
  <c r="L11" i="55" s="1"/>
  <c r="O42" i="55" a="1"/>
  <c r="O42" i="55" s="1"/>
  <c r="L55" i="55" a="1"/>
  <c r="L55" i="55" s="1"/>
  <c r="H52" i="55" a="1"/>
  <c r="H52" i="55" s="1"/>
  <c r="L53" i="55" a="1"/>
  <c r="L53" i="55" s="1"/>
  <c r="H21" i="55" a="1"/>
  <c r="H21" i="55" s="1"/>
  <c r="F32" i="55" a="1"/>
  <c r="F32" i="55" s="1"/>
  <c r="O43" i="55" a="1"/>
  <c r="O43" i="55" s="1"/>
  <c r="D12" i="55" a="1"/>
  <c r="D12" i="55" s="1"/>
  <c r="D41" i="55" a="1"/>
  <c r="D41" i="55" s="1"/>
  <c r="F53" i="55" a="1"/>
  <c r="F53" i="55" s="1"/>
  <c r="K42" i="55" a="1"/>
  <c r="K42" i="55" s="1"/>
  <c r="K34" i="55" a="1"/>
  <c r="K34" i="55" s="1"/>
  <c r="I35" i="55" a="1"/>
  <c r="I35" i="55" s="1"/>
  <c r="J44" i="55" a="1"/>
  <c r="J44" i="55" s="1"/>
  <c r="G14" i="55" a="1"/>
  <c r="G14" i="55" s="1"/>
  <c r="L43" i="55" a="1"/>
  <c r="L43" i="55" s="1"/>
  <c r="I43" i="55" a="1"/>
  <c r="I43" i="55" s="1"/>
  <c r="R51" i="55" a="1"/>
  <c r="R51" i="55" s="1"/>
  <c r="H53" i="55" a="1"/>
  <c r="H53" i="55" s="1"/>
  <c r="P54" i="55" a="1"/>
  <c r="P54" i="55" s="1"/>
  <c r="R14" i="55" a="1"/>
  <c r="R14" i="55" s="1"/>
  <c r="C45" i="55" a="1"/>
  <c r="C45" i="55" s="1"/>
  <c r="M31" i="55" a="1"/>
  <c r="M31" i="55" s="1"/>
  <c r="C11" i="55" a="1"/>
  <c r="C11" i="55" s="1"/>
  <c r="C53" i="55" a="1"/>
  <c r="C53" i="55" s="1"/>
  <c r="D55" i="55" a="1"/>
  <c r="D55" i="55" s="1"/>
  <c r="K33" i="55" a="1"/>
  <c r="K33" i="55" s="1"/>
  <c r="E42" i="55" a="1"/>
  <c r="E42" i="55" s="1"/>
  <c r="G42" i="55" a="1"/>
  <c r="G42" i="55" s="1"/>
  <c r="I31" i="55" a="1"/>
  <c r="I31" i="55" s="1"/>
  <c r="N42" i="55" a="1"/>
  <c r="N42" i="55" s="1"/>
  <c r="K41" i="55" a="1"/>
  <c r="K41" i="55" s="1"/>
  <c r="I32" i="55" a="1"/>
  <c r="I32" i="55" s="1"/>
  <c r="M23" i="55" a="1"/>
  <c r="M23" i="55" s="1"/>
  <c r="L54" i="55" a="1"/>
  <c r="L54" i="55" s="1"/>
  <c r="E51" i="55" a="1"/>
  <c r="E51" i="55" s="1"/>
  <c r="E56" i="55" s="1"/>
  <c r="L15" i="55" a="1"/>
  <c r="L15" i="55" s="1"/>
  <c r="P52" i="55" a="1"/>
  <c r="P52" i="55" s="1"/>
  <c r="E33" i="55" a="1"/>
  <c r="E33" i="55" s="1"/>
  <c r="B41" i="55" a="1"/>
  <c r="B41" i="55" s="1"/>
  <c r="Q54" i="55" a="1"/>
  <c r="Q54" i="55" s="1"/>
  <c r="B51" i="55" a="1"/>
  <c r="B51" i="55" s="1"/>
  <c r="J53" i="55" a="1"/>
  <c r="J53" i="55" s="1"/>
  <c r="C52" i="55" a="1"/>
  <c r="C52" i="55" s="1"/>
  <c r="F52" i="55" a="1"/>
  <c r="F52" i="55" s="1"/>
  <c r="C43" i="55" a="1"/>
  <c r="C43" i="55" s="1"/>
  <c r="I45" i="55" a="1"/>
  <c r="I45" i="55" s="1"/>
  <c r="D32" i="55" a="1"/>
  <c r="D32" i="55" s="1"/>
  <c r="K31" i="55" a="1"/>
  <c r="K31" i="55" s="1"/>
  <c r="K36" i="55" s="1"/>
  <c r="J23" i="55" a="1"/>
  <c r="J23" i="55" s="1"/>
  <c r="Q55" i="55" a="1"/>
  <c r="Q55" i="55" s="1"/>
  <c r="G31" i="55" a="1"/>
  <c r="G31" i="55" s="1"/>
  <c r="I11" i="55" a="1"/>
  <c r="I11" i="55" s="1"/>
  <c r="I54" i="55" a="1"/>
  <c r="I54" i="55" s="1"/>
  <c r="F45" i="55" a="1"/>
  <c r="F45" i="55" s="1"/>
  <c r="N44" i="55" a="1"/>
  <c r="N44" i="55" s="1"/>
  <c r="P51" i="55" a="1"/>
  <c r="P51" i="55" s="1"/>
  <c r="P56" i="55" s="1"/>
  <c r="L25" i="55" a="1"/>
  <c r="L25" i="55" s="1"/>
  <c r="P25" i="55" s="1"/>
  <c r="H55" i="55" a="1"/>
  <c r="H55" i="55" s="1"/>
  <c r="M53" i="55" a="1"/>
  <c r="M53" i="55" s="1"/>
  <c r="P53" i="55" a="1"/>
  <c r="P53" i="55" s="1"/>
  <c r="I52" i="55" a="1"/>
  <c r="I52" i="55" s="1"/>
  <c r="L31" i="55" a="1"/>
  <c r="L31" i="55" s="1"/>
  <c r="L36" i="55" s="1"/>
  <c r="E44" i="55" a="1"/>
  <c r="E44" i="55" s="1"/>
  <c r="C42" i="55" a="1"/>
  <c r="C42" i="55" s="1"/>
  <c r="C24" i="55" a="1"/>
  <c r="C24" i="55" s="1"/>
  <c r="G32" i="55" a="1"/>
  <c r="G32" i="55" s="1"/>
  <c r="M25" i="55" a="1"/>
  <c r="M25" i="55" s="1"/>
  <c r="M42" i="55" a="1"/>
  <c r="M42" i="55" s="1"/>
  <c r="J51" i="55" a="1"/>
  <c r="J51" i="55" s="1"/>
  <c r="R52" i="55" a="1"/>
  <c r="R52" i="55" s="1"/>
  <c r="J32" i="55" a="1"/>
  <c r="J32" i="55" s="1"/>
  <c r="O24" i="55" a="1"/>
  <c r="O24" i="55" s="1"/>
  <c r="C23" i="55" a="1"/>
  <c r="C23" i="55" s="1"/>
  <c r="H31" i="55" a="1"/>
  <c r="H31" i="55" s="1"/>
  <c r="H36" i="55" s="1"/>
  <c r="J55" i="55" a="1"/>
  <c r="J55" i="55" s="1"/>
  <c r="M55" i="55" a="1"/>
  <c r="M55" i="55" s="1"/>
  <c r="B54" i="55" a="1"/>
  <c r="B54" i="55" s="1"/>
  <c r="B44" i="55" a="1"/>
  <c r="B44" i="55" s="1"/>
  <c r="F54" i="55" a="1"/>
  <c r="F54" i="55" s="1"/>
  <c r="E45" i="55" a="1"/>
  <c r="E45" i="55" s="1"/>
  <c r="Q12" i="55" a="1"/>
  <c r="Q12" i="55" s="1"/>
  <c r="N24" i="55" a="1"/>
  <c r="N24" i="55" s="1"/>
  <c r="J25" i="55" a="1"/>
  <c r="J25" i="55" s="1"/>
  <c r="J42" i="55" a="1"/>
  <c r="J42" i="55" s="1"/>
  <c r="H25" i="55" a="1"/>
  <c r="H25" i="55" s="1"/>
  <c r="M54" i="55" a="1"/>
  <c r="M54" i="55" s="1"/>
  <c r="F34" i="55" a="1"/>
  <c r="F34" i="55" s="1"/>
  <c r="E22" i="55" a="1"/>
  <c r="E22" i="55" s="1"/>
  <c r="O14" i="55" a="1"/>
  <c r="O14" i="55" s="1"/>
  <c r="H22" i="55" a="1"/>
  <c r="H22" i="55" s="1"/>
  <c r="G34" i="55" a="1"/>
  <c r="G34" i="55" s="1"/>
  <c r="C31" i="55" a="1"/>
  <c r="C31" i="55" s="1"/>
  <c r="P55" i="55" a="1"/>
  <c r="P55" i="55" s="1"/>
  <c r="D54" i="55" a="1"/>
  <c r="D54" i="55" s="1"/>
  <c r="F51" i="55" a="1"/>
  <c r="F51" i="55" s="1"/>
  <c r="R53" i="55" a="1"/>
  <c r="R53" i="55" s="1"/>
  <c r="N12" i="55" a="1"/>
  <c r="N12" i="55" s="1"/>
  <c r="J24" i="55" a="1"/>
  <c r="J24" i="55" s="1"/>
  <c r="E21" i="55" a="1"/>
  <c r="E21" i="55" s="1"/>
  <c r="E26" i="55" s="1"/>
  <c r="M35" i="55" a="1"/>
  <c r="M35" i="55" s="1"/>
  <c r="O12" i="55" a="1"/>
  <c r="O12" i="55" s="1"/>
  <c r="M51" i="55" a="1"/>
  <c r="M51" i="55" s="1"/>
  <c r="C41" i="55" a="1"/>
  <c r="C41" i="55" s="1"/>
  <c r="M14" i="55" a="1"/>
  <c r="M14" i="55" s="1"/>
  <c r="C13" i="55" a="1"/>
  <c r="C13" i="55" s="1"/>
  <c r="B24" i="55" a="1"/>
  <c r="B24" i="55" s="1"/>
  <c r="F24" i="55" s="1"/>
  <c r="J22" i="55" a="1"/>
  <c r="J22" i="55" s="1"/>
  <c r="C25" i="55" a="1"/>
  <c r="C25" i="55" s="1"/>
  <c r="I23" i="55" a="1"/>
  <c r="I23" i="55" s="1"/>
  <c r="C51" i="55" a="1"/>
  <c r="C51" i="55" s="1"/>
  <c r="O22" i="55" a="1"/>
  <c r="O22" i="55" s="1"/>
  <c r="L25" i="56" a="1"/>
  <c r="L25" i="56" s="1"/>
  <c r="F43" i="56" a="1"/>
  <c r="F43" i="56" s="1"/>
  <c r="M22" i="56" a="1"/>
  <c r="M22" i="56" s="1"/>
  <c r="L53" i="56" a="1"/>
  <c r="L53" i="56" s="1"/>
  <c r="N23" i="56" a="1"/>
  <c r="N23" i="56" s="1"/>
  <c r="O52" i="56" a="1"/>
  <c r="O52" i="56" s="1"/>
  <c r="J42" i="56" a="1"/>
  <c r="J42" i="56" s="1"/>
  <c r="C45" i="56" a="1"/>
  <c r="C45" i="56" s="1"/>
  <c r="O42" i="56" a="1"/>
  <c r="O42" i="56" s="1"/>
  <c r="F31" i="56" a="1"/>
  <c r="F31" i="56" s="1"/>
  <c r="I31" i="56" a="1"/>
  <c r="I31" i="56" s="1"/>
  <c r="L31" i="56" a="1"/>
  <c r="L31" i="56" s="1"/>
  <c r="M33" i="56" a="1"/>
  <c r="M33" i="56" s="1"/>
  <c r="W11" i="56" a="1"/>
  <c r="W11" i="56" s="1"/>
  <c r="N13" i="56" a="1"/>
  <c r="N13" i="56" s="1"/>
  <c r="C12" i="56" a="1"/>
  <c r="C12" i="56" s="1"/>
  <c r="H55" i="56" a="1"/>
  <c r="H55" i="56" s="1"/>
  <c r="H25" i="56" a="1"/>
  <c r="H25" i="56" s="1"/>
  <c r="M44" i="56" a="1"/>
  <c r="M44" i="56" s="1"/>
  <c r="H22" i="56" a="1"/>
  <c r="H22" i="56" s="1"/>
  <c r="Q54" i="56" a="1"/>
  <c r="Q54" i="56" s="1"/>
  <c r="J23" i="56" a="1"/>
  <c r="J23" i="56" s="1"/>
  <c r="B54" i="56" a="1"/>
  <c r="B54" i="56" s="1"/>
  <c r="N44" i="56" a="1"/>
  <c r="N44" i="56" s="1"/>
  <c r="J32" i="56" a="1"/>
  <c r="J32" i="56" s="1"/>
  <c r="G45" i="56" a="1"/>
  <c r="G45" i="56" s="1"/>
  <c r="J24" i="56" a="1"/>
  <c r="J24" i="56" s="1"/>
  <c r="L22" i="56" a="1"/>
  <c r="L22" i="56" s="1"/>
  <c r="L23" i="56" a="1"/>
  <c r="L23" i="56" s="1"/>
  <c r="O23" i="56" a="1"/>
  <c r="O23" i="56" s="1"/>
  <c r="O12" i="56" a="1"/>
  <c r="O12" i="56" s="1"/>
  <c r="G11" i="56" a="1"/>
  <c r="G11" i="56" s="1"/>
  <c r="D55" i="56" a="1"/>
  <c r="D55" i="56" s="1"/>
  <c r="I42" i="56" a="1"/>
  <c r="I42" i="56" s="1"/>
  <c r="D25" i="56" a="1"/>
  <c r="D25" i="56" s="1"/>
  <c r="H41" i="56" a="1"/>
  <c r="H41" i="56" s="1"/>
  <c r="D22" i="56" a="1"/>
  <c r="D22" i="56" s="1"/>
  <c r="F51" i="56" a="1"/>
  <c r="F51" i="56" s="1"/>
  <c r="E23" i="56" a="1"/>
  <c r="E23" i="56" s="1"/>
  <c r="G55" i="56" a="1"/>
  <c r="G55" i="56" s="1"/>
  <c r="G35" i="56" a="1"/>
  <c r="G35" i="56" s="1"/>
  <c r="K35" i="56" a="1"/>
  <c r="K35" i="56" s="1"/>
  <c r="M32" i="56" a="1"/>
  <c r="M32" i="56" s="1"/>
  <c r="X12" i="56" a="1"/>
  <c r="X12" i="56" s="1"/>
  <c r="I25" i="56" a="1"/>
  <c r="I25" i="56" s="1"/>
  <c r="H21" i="56" a="1"/>
  <c r="H21" i="56" s="1"/>
  <c r="J21" i="56" a="1"/>
  <c r="J21" i="56" s="1"/>
  <c r="H11" i="56" a="1"/>
  <c r="H11" i="56" s="1"/>
  <c r="M52" i="56" a="1"/>
  <c r="M52" i="56" s="1"/>
  <c r="F42" i="56" a="1"/>
  <c r="F42" i="56" s="1"/>
  <c r="K44" i="56" a="1"/>
  <c r="K44" i="56" s="1"/>
  <c r="Y15" i="56" a="1"/>
  <c r="Y15" i="56" s="1"/>
  <c r="L32" i="56" a="1"/>
  <c r="L32" i="56" s="1"/>
  <c r="G13" i="56" a="1"/>
  <c r="G13" i="56" s="1"/>
  <c r="H42" i="56" a="1"/>
  <c r="H42" i="56" s="1"/>
  <c r="V14" i="56" a="1"/>
  <c r="V14" i="56" s="1"/>
  <c r="Z14" i="56" s="1"/>
  <c r="M51" i="56" a="1"/>
  <c r="M51" i="56" s="1"/>
  <c r="G22" i="56" a="1"/>
  <c r="G22" i="56" s="1"/>
  <c r="H23" i="56" a="1"/>
  <c r="H23" i="56" s="1"/>
  <c r="D31" i="56" a="1"/>
  <c r="D31" i="56" s="1"/>
  <c r="R15" i="56" a="1"/>
  <c r="R15" i="56" s="1"/>
  <c r="X13" i="56" a="1"/>
  <c r="X13" i="56" s="1"/>
  <c r="W14" i="56" a="1"/>
  <c r="W14" i="56" s="1"/>
  <c r="W15" i="56" a="1"/>
  <c r="W15" i="56" s="1"/>
  <c r="J52" i="56" a="1"/>
  <c r="J52" i="56" s="1"/>
  <c r="R54" i="56" a="1"/>
  <c r="R54" i="56" s="1"/>
  <c r="I44" i="56" a="1"/>
  <c r="I44" i="56" s="1"/>
  <c r="E35" i="56" a="1"/>
  <c r="E35" i="56" s="1"/>
  <c r="S15" i="56" a="1"/>
  <c r="S15" i="56" s="1"/>
  <c r="H34" i="56" a="1"/>
  <c r="H34" i="56" s="1"/>
  <c r="B13" i="56" a="1"/>
  <c r="B13" i="56" s="1"/>
  <c r="K43" i="56" a="1"/>
  <c r="K43" i="56" s="1"/>
  <c r="L14" i="56" a="1"/>
  <c r="L14" i="56" s="1"/>
  <c r="M42" i="56" a="1"/>
  <c r="M42" i="56" s="1"/>
  <c r="E25" i="56" a="1"/>
  <c r="E25" i="56" s="1"/>
  <c r="D21" i="56" a="1"/>
  <c r="D21" i="56" s="1"/>
  <c r="G24" i="56" a="1"/>
  <c r="G24" i="56" s="1"/>
  <c r="J12" i="56" a="1"/>
  <c r="J12" i="56" s="1"/>
  <c r="R11" i="56" a="1"/>
  <c r="R11" i="56" s="1"/>
  <c r="T11" i="56" a="1"/>
  <c r="T11" i="56" s="1"/>
  <c r="M12" i="56" a="1"/>
  <c r="M12" i="56" s="1"/>
  <c r="M54" i="56" a="1"/>
  <c r="M54" i="56" s="1"/>
  <c r="B42" i="56" a="1"/>
  <c r="B42" i="56" s="1"/>
  <c r="D32" i="56" a="1"/>
  <c r="D32" i="56" s="1"/>
  <c r="L21" i="56" a="1"/>
  <c r="L21" i="56" s="1"/>
  <c r="O15" i="56" a="1"/>
  <c r="O15" i="56" s="1"/>
  <c r="H31" i="56" a="1"/>
  <c r="H31" i="56" s="1"/>
  <c r="H52" i="56" a="1"/>
  <c r="H52" i="56" s="1"/>
  <c r="E45" i="56" a="1"/>
  <c r="E45" i="56" s="1"/>
  <c r="I14" i="56" a="1"/>
  <c r="I14" i="56" s="1"/>
  <c r="D44" i="56" a="1"/>
  <c r="D44" i="56" s="1"/>
  <c r="R13" i="56" a="1"/>
  <c r="R13" i="56" s="1"/>
  <c r="T13" i="56" a="1"/>
  <c r="T13" i="56" s="1"/>
  <c r="B21" i="56" a="1"/>
  <c r="B21" i="56" s="1"/>
  <c r="D15" i="56" a="1"/>
  <c r="D15" i="56" s="1"/>
  <c r="J13" i="56" a="1"/>
  <c r="J13" i="56" s="1"/>
  <c r="H14" i="56" a="1"/>
  <c r="H14" i="56" s="1"/>
  <c r="G15" i="56" a="1"/>
  <c r="G15" i="56" s="1"/>
  <c r="R51" i="56" a="1"/>
  <c r="R51" i="56" s="1"/>
  <c r="F44" i="56" a="1"/>
  <c r="F44" i="56" s="1"/>
  <c r="L34" i="56" a="1"/>
  <c r="L34" i="56" s="1"/>
  <c r="C25" i="56" a="1"/>
  <c r="C25" i="56" s="1"/>
  <c r="I11" i="56" a="1"/>
  <c r="I11" i="56" s="1"/>
  <c r="O21" i="56" a="1"/>
  <c r="O21" i="56" s="1"/>
  <c r="K53" i="56" a="1"/>
  <c r="K53" i="56" s="1"/>
  <c r="N41" i="56" a="1"/>
  <c r="N41" i="56" s="1"/>
  <c r="N52" i="56" a="1"/>
  <c r="N52" i="56" s="1"/>
  <c r="L45" i="56" a="1"/>
  <c r="L45" i="56" s="1"/>
  <c r="M11" i="56" a="1"/>
  <c r="M11" i="56" s="1"/>
  <c r="O11" i="56" a="1"/>
  <c r="O11" i="56" s="1"/>
  <c r="R14" i="56" a="1"/>
  <c r="R14" i="56" s="1"/>
  <c r="D11" i="56" a="1"/>
  <c r="D11" i="56" s="1"/>
  <c r="B11" i="56" a="1"/>
  <c r="B11" i="56" s="1"/>
  <c r="I54" i="56" a="1"/>
  <c r="I54" i="56" s="1"/>
  <c r="B44" i="56" a="1"/>
  <c r="B44" i="56" s="1"/>
  <c r="B41" i="56" a="1"/>
  <c r="B41" i="56" s="1"/>
  <c r="M21" i="56" a="1"/>
  <c r="M21" i="56" s="1"/>
  <c r="T12" i="56" a="1"/>
  <c r="T12" i="56" s="1"/>
  <c r="C11" i="56" a="1"/>
  <c r="C11" i="56" s="1"/>
  <c r="G21" i="56" a="1"/>
  <c r="G21" i="56" s="1"/>
  <c r="P54" i="56" a="1"/>
  <c r="P54" i="56" s="1"/>
  <c r="E33" i="56" a="1"/>
  <c r="E33" i="56" s="1"/>
  <c r="R53" i="56" a="1"/>
  <c r="R53" i="56" s="1"/>
  <c r="F32" i="56" a="1"/>
  <c r="F32" i="56" s="1"/>
  <c r="C13" i="56" a="1"/>
  <c r="C13" i="56" s="1"/>
  <c r="B14" i="56" a="1"/>
  <c r="B14" i="56" s="1"/>
  <c r="G12" i="56" a="1"/>
  <c r="G12" i="56" s="1"/>
  <c r="D51" i="56" a="1"/>
  <c r="D51" i="56" s="1"/>
  <c r="G14" i="56" a="1"/>
  <c r="G14" i="56" s="1"/>
  <c r="G54" i="56" a="1"/>
  <c r="G54" i="56" s="1"/>
  <c r="O51" i="56" a="1"/>
  <c r="O51" i="56" s="1"/>
  <c r="L41" i="56" a="1"/>
  <c r="L41" i="56" s="1"/>
  <c r="I34" i="56" a="1"/>
  <c r="I34" i="56" s="1"/>
  <c r="C24" i="56" a="1"/>
  <c r="C24" i="56" s="1"/>
  <c r="N15" i="56" a="1"/>
  <c r="N15" i="56" s="1"/>
  <c r="E52" i="56" a="1"/>
  <c r="E52" i="56" s="1"/>
  <c r="V12" i="56" a="1"/>
  <c r="V12" i="56" s="1"/>
  <c r="E51" i="56" a="1"/>
  <c r="E51" i="56" s="1"/>
  <c r="C35" i="56" a="1"/>
  <c r="C35" i="56" s="1"/>
  <c r="F55" i="56" a="1"/>
  <c r="F55" i="56" s="1"/>
  <c r="K33" i="56" a="1"/>
  <c r="K33" i="56" s="1"/>
  <c r="D53" i="56" a="1"/>
  <c r="D53" i="56" s="1"/>
  <c r="H53" i="56" a="1"/>
  <c r="H53" i="56" s="1"/>
  <c r="D14" i="56" a="1"/>
  <c r="D14" i="56" s="1"/>
  <c r="D43" i="56" a="1"/>
  <c r="D43" i="56" s="1"/>
  <c r="C52" i="56" a="1"/>
  <c r="C52" i="56" s="1"/>
  <c r="K51" i="56" a="1"/>
  <c r="K51" i="56" s="1"/>
  <c r="M43" i="56" a="1"/>
  <c r="M43" i="56" s="1"/>
  <c r="E34" i="56" a="1"/>
  <c r="E34" i="56" s="1"/>
  <c r="N25" i="56" a="1"/>
  <c r="N25" i="56" s="1"/>
  <c r="N14" i="56" a="1"/>
  <c r="N14" i="56" s="1"/>
  <c r="E53" i="56" a="1"/>
  <c r="E53" i="56" s="1"/>
  <c r="R12" i="56" a="1"/>
  <c r="R12" i="56" s="1"/>
  <c r="D45" i="56" a="1"/>
  <c r="D45" i="56" s="1"/>
  <c r="C31" i="56" a="1"/>
  <c r="C31" i="56" s="1"/>
  <c r="L51" i="56" a="1"/>
  <c r="L51" i="56" s="1"/>
  <c r="J35" i="56" a="1"/>
  <c r="J35" i="56" s="1"/>
  <c r="K55" i="56" a="1"/>
  <c r="K55" i="56" s="1"/>
  <c r="M55" i="56" a="1"/>
  <c r="M55" i="56" s="1"/>
  <c r="M53" i="56" a="1"/>
  <c r="M53" i="56" s="1"/>
  <c r="M45" i="56" a="1"/>
  <c r="M45" i="56" s="1"/>
  <c r="D54" i="56" a="1"/>
  <c r="D54" i="56" s="1"/>
  <c r="J43" i="56" a="1"/>
  <c r="J43" i="56" s="1"/>
  <c r="I41" i="56" a="1"/>
  <c r="I41" i="56" s="1"/>
  <c r="O24" i="56" a="1"/>
  <c r="O24" i="56" s="1"/>
  <c r="D23" i="56" a="1"/>
  <c r="D23" i="56" s="1"/>
  <c r="D12" i="56" a="1"/>
  <c r="D12" i="56" s="1"/>
  <c r="J54" i="56" a="1"/>
  <c r="J54" i="56" s="1"/>
  <c r="L12" i="56" a="1"/>
  <c r="L12" i="56" s="1"/>
  <c r="M41" i="56" a="1"/>
  <c r="M41" i="56" s="1"/>
  <c r="O22" i="56" a="1"/>
  <c r="O22" i="56" s="1"/>
  <c r="C44" i="56" a="1"/>
  <c r="C44" i="56" s="1"/>
  <c r="M24" i="56" a="1"/>
  <c r="M24" i="56" s="1"/>
  <c r="K42" i="56" a="1"/>
  <c r="K42" i="56" s="1"/>
  <c r="N42" i="56" a="1"/>
  <c r="N42" i="56" s="1"/>
  <c r="Q55" i="56" a="1"/>
  <c r="Q55" i="56" s="1"/>
  <c r="F33" i="56" a="1"/>
  <c r="F33" i="56" s="1"/>
  <c r="H51" i="56" a="1"/>
  <c r="H51" i="56" s="1"/>
  <c r="E41" i="56" a="1"/>
  <c r="E41" i="56" s="1"/>
  <c r="E46" i="56" s="1"/>
  <c r="D34" i="56" a="1"/>
  <c r="D34" i="56" s="1"/>
  <c r="X11" i="56" a="1"/>
  <c r="X11" i="56" s="1"/>
  <c r="V11" i="56" a="1"/>
  <c r="V11" i="56" s="1"/>
  <c r="R52" i="56" a="1"/>
  <c r="R52" i="56" s="1"/>
  <c r="O55" i="56" a="1"/>
  <c r="O55" i="56" s="1"/>
  <c r="H12" i="56" a="1"/>
  <c r="H12" i="56" s="1"/>
  <c r="D33" i="56" a="1"/>
  <c r="D33" i="56" s="1"/>
  <c r="G23" i="56" a="1"/>
  <c r="G23" i="56" s="1"/>
  <c r="K23" i="56" s="1"/>
  <c r="K45" i="56" a="1"/>
  <c r="K45" i="56" s="1"/>
  <c r="I24" i="56" a="1"/>
  <c r="I24" i="56" s="1"/>
  <c r="O44" i="56" a="1"/>
  <c r="O44" i="56" s="1"/>
  <c r="F45" i="56" a="1"/>
  <c r="F45" i="56" s="1"/>
  <c r="I45" i="56" a="1"/>
  <c r="I45" i="56" s="1"/>
  <c r="G25" i="56" a="1"/>
  <c r="G25" i="56" s="1"/>
  <c r="G43" i="56" a="1"/>
  <c r="G43" i="56" s="1"/>
  <c r="L33" i="56" a="1"/>
  <c r="L33" i="56" s="1"/>
  <c r="L24" i="56" a="1"/>
  <c r="L24" i="56" s="1"/>
  <c r="M13" i="56" a="1"/>
  <c r="M13" i="56" s="1"/>
  <c r="O13" i="56" a="1"/>
  <c r="O13" i="56" s="1"/>
  <c r="E55" i="56" a="1"/>
  <c r="E55" i="56" s="1"/>
  <c r="Q52" i="56" a="1"/>
  <c r="Q52" i="56" s="1"/>
  <c r="C42" i="56" a="1"/>
  <c r="C42" i="56" s="1"/>
  <c r="G52" i="56" a="1"/>
  <c r="G52" i="56" s="1"/>
  <c r="M34" i="56" a="1"/>
  <c r="M34" i="56" s="1"/>
  <c r="B23" i="56" a="1"/>
  <c r="B23" i="56" s="1"/>
  <c r="E32" i="56" a="1"/>
  <c r="E32" i="56" s="1"/>
  <c r="E24" i="56" a="1"/>
  <c r="E24" i="56" s="1"/>
  <c r="I32" i="56" a="1"/>
  <c r="I32" i="56" s="1"/>
  <c r="K32" i="56" a="1"/>
  <c r="K32" i="56" s="1"/>
  <c r="E31" i="56" a="1"/>
  <c r="E31" i="56" s="1"/>
  <c r="E36" i="56" s="1"/>
  <c r="Y12" i="56" a="1"/>
  <c r="Y12" i="56" s="1"/>
  <c r="C41" i="56" a="1"/>
  <c r="C41" i="56" s="1"/>
  <c r="M23" i="56" a="1"/>
  <c r="M23" i="56" s="1"/>
  <c r="B22" i="56" a="1"/>
  <c r="B22" i="56" s="1"/>
  <c r="J11" i="56" a="1"/>
  <c r="J11" i="56" s="1"/>
  <c r="B12" i="56" a="1"/>
  <c r="B12" i="56" s="1"/>
  <c r="G42" i="56" a="1"/>
  <c r="G42" i="56" s="1"/>
  <c r="E54" i="56" a="1"/>
  <c r="E54" i="56" s="1"/>
  <c r="E43" i="56" a="1"/>
  <c r="E43" i="56" s="1"/>
  <c r="I53" i="56" a="1"/>
  <c r="I53" i="56" s="1"/>
  <c r="M31" i="56" a="1"/>
  <c r="M31" i="56" s="1"/>
  <c r="W13" i="56" a="1"/>
  <c r="W13" i="56" s="1"/>
  <c r="J33" i="56" a="1"/>
  <c r="J33" i="56" s="1"/>
  <c r="V15" i="56" a="1"/>
  <c r="V15" i="56" s="1"/>
  <c r="H35" i="56" a="1"/>
  <c r="H35" i="56" s="1"/>
  <c r="L35" i="56" a="1"/>
  <c r="L35" i="56" s="1"/>
  <c r="W12" i="56" a="1"/>
  <c r="W12" i="56" s="1"/>
  <c r="T15" i="56" a="1"/>
  <c r="T15" i="56" s="1"/>
  <c r="I33" i="56" a="1"/>
  <c r="I33" i="56" s="1"/>
  <c r="I21" i="56" a="1"/>
  <c r="I21" i="56" s="1"/>
  <c r="X15" i="56" a="1"/>
  <c r="X15" i="56" s="1"/>
  <c r="K52" i="56" a="1"/>
  <c r="K52" i="56" s="1"/>
  <c r="B55" i="56" a="1"/>
  <c r="B55" i="56" s="1"/>
  <c r="J44" i="56" a="1"/>
  <c r="J44" i="56" s="1"/>
  <c r="J55" i="56" a="1"/>
  <c r="J55" i="56" s="1"/>
  <c r="L44" i="56" a="1"/>
  <c r="L44" i="56" s="1"/>
  <c r="N54" i="56" a="1"/>
  <c r="N54" i="56" s="1"/>
  <c r="J22" i="56" a="1"/>
  <c r="J22" i="56" s="1"/>
  <c r="L52" i="56" a="1"/>
  <c r="L52" i="56" s="1"/>
  <c r="I35" i="56" a="1"/>
  <c r="I35" i="56" s="1"/>
  <c r="T14" i="56" a="1"/>
  <c r="T14" i="56" s="1"/>
  <c r="I22" i="56" a="1"/>
  <c r="I22" i="56" s="1"/>
  <c r="I23" i="56" a="1"/>
  <c r="I23" i="56" s="1"/>
  <c r="Q15" i="56" a="1"/>
  <c r="Q15" i="56" s="1"/>
  <c r="H13" i="56" a="1"/>
  <c r="H13" i="56" s="1"/>
  <c r="J31" i="56" a="1"/>
  <c r="J31" i="56" s="1"/>
  <c r="X14" i="56" a="1"/>
  <c r="X14" i="56" s="1"/>
  <c r="N12" i="56" a="1"/>
  <c r="N12" i="56" s="1"/>
  <c r="O54" i="56" a="1"/>
  <c r="O54" i="56" s="1"/>
  <c r="E42" i="56" a="1"/>
  <c r="E42" i="56" s="1"/>
  <c r="G32" i="56" a="1"/>
  <c r="G32" i="56" s="1"/>
  <c r="P51" i="56" a="1"/>
  <c r="P51" i="56" s="1"/>
  <c r="G41" i="56" a="1"/>
  <c r="G41" i="56" s="1"/>
  <c r="G46" i="56" s="1"/>
  <c r="C51" i="56" a="1"/>
  <c r="C51" i="56" s="1"/>
  <c r="E22" i="56" a="1"/>
  <c r="E22" i="56" s="1"/>
  <c r="O53" i="56" a="1"/>
  <c r="O53" i="56" s="1"/>
  <c r="H24" i="56" a="1"/>
  <c r="H24" i="56" s="1"/>
  <c r="L15" i="56" a="1"/>
  <c r="L15" i="56" s="1"/>
  <c r="C21" i="56" a="1"/>
  <c r="C21" i="56" s="1"/>
  <c r="E21" i="56" a="1"/>
  <c r="E21" i="56" s="1"/>
  <c r="I12" i="56" a="1"/>
  <c r="I12" i="56" s="1"/>
  <c r="E15" i="56" a="1"/>
  <c r="E15" i="56" s="1"/>
  <c r="N22" i="56" a="1"/>
  <c r="N22" i="56" s="1"/>
  <c r="Q11" i="56" a="1"/>
  <c r="Q11" i="56" s="1"/>
  <c r="J15" i="56" a="1"/>
  <c r="J15" i="56" s="1"/>
  <c r="B51" i="56" a="1"/>
  <c r="B51" i="56" s="1"/>
  <c r="H44" i="56" a="1"/>
  <c r="H44" i="56" s="1"/>
  <c r="D35" i="56" a="1"/>
  <c r="D35" i="56" s="1"/>
  <c r="B43" i="56" a="1"/>
  <c r="B43" i="56" s="1"/>
  <c r="G34" i="56" a="1"/>
  <c r="G34" i="56" s="1"/>
  <c r="I43" i="56" a="1"/>
  <c r="I43" i="56" s="1"/>
  <c r="V13" i="56" a="1"/>
  <c r="V13" i="56" s="1"/>
  <c r="C55" i="56" a="1"/>
  <c r="C55" i="56" s="1"/>
  <c r="D24" i="56" a="1"/>
  <c r="D24" i="56" s="1"/>
  <c r="I15" i="56" a="1"/>
  <c r="I15" i="56" s="1"/>
  <c r="S25" i="56" s="1"/>
  <c r="S13" i="56" a="1"/>
  <c r="S13" i="56" s="1"/>
  <c r="Q14" i="56" a="1"/>
  <c r="Q14" i="56" s="1"/>
  <c r="E14" i="56" a="1"/>
  <c r="E14" i="56" s="1"/>
  <c r="E11" i="56" a="1"/>
  <c r="E11" i="56" s="1"/>
  <c r="J25" i="56" a="1"/>
  <c r="J25" i="56" s="1"/>
  <c r="J14" i="56" a="1"/>
  <c r="J14" i="56" s="1"/>
  <c r="L54" i="56" a="1"/>
  <c r="L54" i="56" s="1"/>
  <c r="E44" i="56" a="1"/>
  <c r="E44" i="56" s="1"/>
  <c r="C32" i="56" a="1"/>
  <c r="C32" i="56" s="1"/>
  <c r="N21" i="56" a="1"/>
  <c r="N21" i="56" s="1"/>
  <c r="G44" i="56" a="1"/>
  <c r="G44" i="56" s="1"/>
  <c r="G31" i="56" a="1"/>
  <c r="G31" i="56" s="1"/>
  <c r="B45" i="56" a="1"/>
  <c r="B45" i="56" s="1"/>
  <c r="Q13" i="56" a="1"/>
  <c r="Q13" i="56" s="1"/>
  <c r="I51" i="56" a="1"/>
  <c r="I51" i="56" s="1"/>
  <c r="Y14" i="56" a="1"/>
  <c r="Y14" i="56" s="1"/>
  <c r="C15" i="56" a="1"/>
  <c r="C15" i="56" s="1"/>
  <c r="N11" i="56" a="1"/>
  <c r="N11" i="56" s="1"/>
  <c r="L11" i="56" a="1"/>
  <c r="L11" i="56" s="1"/>
  <c r="Y13" i="56" a="1"/>
  <c r="Y13" i="56" s="1"/>
  <c r="B52" i="56" a="1"/>
  <c r="B52" i="56" s="1"/>
  <c r="D52" i="56" a="1"/>
  <c r="D52" i="56" s="1"/>
  <c r="F52" i="56" a="1"/>
  <c r="F52" i="56" s="1"/>
  <c r="Q51" i="56" a="1"/>
  <c r="Q51" i="56" s="1"/>
  <c r="O41" i="56" a="1"/>
  <c r="O41" i="56" s="1"/>
  <c r="J34" i="56" a="1"/>
  <c r="J34" i="56" s="1"/>
  <c r="B25" i="56" a="1"/>
  <c r="B25" i="56" s="1"/>
  <c r="F25" i="56" s="1"/>
  <c r="O45" i="56" a="1"/>
  <c r="O45" i="56" s="1"/>
  <c r="F53" i="56" a="1"/>
  <c r="F53" i="56" s="1"/>
  <c r="K41" i="56" a="1"/>
  <c r="K41" i="56" s="1"/>
  <c r="L13" i="56" a="1"/>
  <c r="L13" i="56" s="1"/>
  <c r="P13" i="56" s="1"/>
  <c r="N43" i="56" a="1"/>
  <c r="N43" i="56" s="1"/>
  <c r="S14" i="56" a="1"/>
  <c r="S14" i="56" s="1"/>
  <c r="P52" i="56" a="1"/>
  <c r="P52" i="56" s="1"/>
  <c r="E13" i="56" a="1"/>
  <c r="E13" i="56" s="1"/>
  <c r="C14" i="56" a="1"/>
  <c r="C14" i="56" s="1"/>
  <c r="N53" i="56" a="1"/>
  <c r="N53" i="56" s="1"/>
  <c r="Q53" i="56" a="1"/>
  <c r="Q53" i="56" s="1"/>
  <c r="F54" i="56" a="1"/>
  <c r="F54" i="56" s="1"/>
  <c r="H54" i="56" a="1"/>
  <c r="H54" i="56" s="1"/>
  <c r="O43" i="56" a="1"/>
  <c r="O43" i="56" s="1"/>
  <c r="F34" i="56" a="1"/>
  <c r="F34" i="56" s="1"/>
  <c r="O25" i="56" a="1"/>
  <c r="O25" i="56" s="1"/>
  <c r="S12" i="56" a="1"/>
  <c r="S12" i="56" s="1"/>
  <c r="H32" i="56" a="1"/>
  <c r="H32" i="56" s="1"/>
  <c r="K54" i="56" a="1"/>
  <c r="K54" i="56" s="1"/>
  <c r="C33" i="56" a="1"/>
  <c r="C33" i="56" s="1"/>
  <c r="I13" i="56" a="1"/>
  <c r="I13" i="56" s="1"/>
  <c r="H45" i="56" a="1"/>
  <c r="H45" i="56" s="1"/>
  <c r="O14" i="56" a="1"/>
  <c r="O14" i="56" s="1"/>
  <c r="C54" i="56" a="1"/>
  <c r="C54" i="56" s="1"/>
  <c r="G53" i="56" a="1"/>
  <c r="G53" i="56" s="1"/>
  <c r="S11" i="56" a="1"/>
  <c r="S11" i="56" s="1"/>
  <c r="R55" i="56" a="1"/>
  <c r="R55" i="56" s="1"/>
  <c r="G51" i="56" a="1"/>
  <c r="G51" i="56" s="1"/>
  <c r="J51" i="56" a="1"/>
  <c r="J51" i="56" s="1"/>
  <c r="N51" i="56" a="1"/>
  <c r="N51" i="56" s="1"/>
  <c r="J41" i="56" a="1"/>
  <c r="J41" i="56" s="1"/>
  <c r="M25" i="56" a="1"/>
  <c r="M25" i="56" s="1"/>
  <c r="B24" i="56" a="1"/>
  <c r="B24" i="56" s="1"/>
  <c r="M15" i="56" a="1"/>
  <c r="M15" i="56" s="1"/>
  <c r="C34" i="56" a="1"/>
  <c r="C34" i="56" s="1"/>
  <c r="P55" i="56" a="1"/>
  <c r="P55" i="56" s="1"/>
  <c r="K34" i="56" a="1"/>
  <c r="K34" i="56" s="1"/>
  <c r="D13" i="56" a="1"/>
  <c r="D13" i="56" s="1"/>
  <c r="H33" i="56" a="1"/>
  <c r="H33" i="56" s="1"/>
  <c r="H15" i="56" a="1"/>
  <c r="H15" i="56" s="1"/>
  <c r="R25" i="56" s="1"/>
  <c r="C53" i="56" a="1"/>
  <c r="C53" i="56" s="1"/>
  <c r="L55" i="56" a="1"/>
  <c r="L55" i="56" s="1"/>
  <c r="J53" i="56" a="1"/>
  <c r="J53" i="56" s="1"/>
  <c r="C43" i="56" a="1"/>
  <c r="C43" i="56" s="1"/>
  <c r="N45" i="56" a="1"/>
  <c r="N45" i="56" s="1"/>
  <c r="H43" i="56" a="1"/>
  <c r="H43" i="56" s="1"/>
  <c r="L43" i="56" a="1"/>
  <c r="L43" i="56" s="1"/>
  <c r="N24" i="56" a="1"/>
  <c r="N24" i="56" s="1"/>
  <c r="C23" i="56" a="1"/>
  <c r="C23" i="56" s="1"/>
  <c r="Q12" i="56" a="1"/>
  <c r="Q12" i="56" s="1"/>
  <c r="E12" i="56" a="1"/>
  <c r="E12" i="56" s="1"/>
  <c r="M35" i="56" a="1"/>
  <c r="M35" i="56" s="1"/>
  <c r="D42" i="56" a="1"/>
  <c r="D42" i="56" s="1"/>
  <c r="K31" i="56" a="1"/>
  <c r="K31" i="56" s="1"/>
  <c r="I52" i="56" a="1"/>
  <c r="I52" i="56" s="1"/>
  <c r="F35" i="56" a="1"/>
  <c r="F35" i="56" s="1"/>
  <c r="B15" i="56" a="1"/>
  <c r="B15" i="56" s="1"/>
  <c r="I55" i="56" a="1"/>
  <c r="I55" i="56" s="1"/>
  <c r="L42" i="56" a="1"/>
  <c r="L42" i="56" s="1"/>
  <c r="N55" i="56" a="1"/>
  <c r="N55" i="56" s="1"/>
  <c r="J45" i="56" a="1"/>
  <c r="J45" i="56" s="1"/>
  <c r="G33" i="56" a="1"/>
  <c r="G33" i="56" s="1"/>
  <c r="D41" i="56" a="1"/>
  <c r="D41" i="56" s="1"/>
  <c r="F41" i="56" a="1"/>
  <c r="F41" i="56" s="1"/>
  <c r="C22" i="56" a="1"/>
  <c r="C22" i="56" s="1"/>
  <c r="Y11" i="56" a="1"/>
  <c r="Y11" i="56" s="1"/>
  <c r="M14" i="56" a="1"/>
  <c r="M14" i="56" s="1"/>
  <c r="B53" i="56" a="1"/>
  <c r="B53" i="56" s="1"/>
  <c r="B26" i="51" a="1"/>
  <c r="B26" i="51" s="1"/>
  <c r="D14" i="51" a="1"/>
  <c r="D14" i="51" s="1"/>
  <c r="F17" i="51" a="1"/>
  <c r="F17" i="51" s="1"/>
  <c r="B17" i="51" a="1"/>
  <c r="B17" i="51" s="1"/>
  <c r="B14" i="51" a="1"/>
  <c r="B14" i="51" s="1"/>
  <c r="B18" i="51" a="1"/>
  <c r="B18" i="51" s="1"/>
  <c r="D18" i="51" a="1"/>
  <c r="D18" i="51" s="1"/>
  <c r="D17" i="51" a="1"/>
  <c r="D17" i="51" s="1"/>
  <c r="D16" i="51" a="1"/>
  <c r="D16" i="51" s="1"/>
  <c r="F18" i="51" a="1"/>
  <c r="F18" i="51" s="1"/>
  <c r="F16" i="51" a="1"/>
  <c r="F16" i="51" s="1"/>
  <c r="F15" i="51" a="1"/>
  <c r="F15" i="51" s="1"/>
  <c r="D15" i="51" a="1"/>
  <c r="D15" i="51" s="1"/>
  <c r="E18" i="51" a="1"/>
  <c r="E18" i="51" s="1"/>
  <c r="C18" i="51" a="1"/>
  <c r="C18" i="51" s="1"/>
  <c r="E17" i="51" a="1"/>
  <c r="E17" i="51" s="1"/>
  <c r="B16" i="51" a="1"/>
  <c r="B16" i="51" s="1"/>
  <c r="E15" i="51" a="1"/>
  <c r="E15" i="51" s="1"/>
  <c r="C15" i="51" a="1"/>
  <c r="C15" i="51" s="1"/>
  <c r="E14" i="51" a="1"/>
  <c r="E14" i="51" s="1"/>
  <c r="B13" i="51" a="1"/>
  <c r="B13" i="51" s="1"/>
  <c r="B15" i="51" a="1"/>
  <c r="B15" i="51" s="1"/>
  <c r="C17" i="51" a="1"/>
  <c r="C17" i="51" s="1"/>
  <c r="B12" i="51" a="1"/>
  <c r="B12" i="51" s="1"/>
  <c r="E16" i="51" a="1"/>
  <c r="E16" i="51" s="1"/>
  <c r="C16" i="51" a="1"/>
  <c r="C16" i="51" s="1"/>
  <c r="C14" i="51" a="1"/>
  <c r="C14" i="51" s="1"/>
  <c r="F14" i="51" a="1"/>
  <c r="F14" i="51" s="1"/>
  <c r="O26" i="57" a="1"/>
  <c r="O26" i="57" s="1"/>
  <c r="G26" i="57" a="1"/>
  <c r="G26" i="57" s="1"/>
  <c r="E11" i="57" a="1"/>
  <c r="E11" i="57" s="1"/>
  <c r="E16" i="57" a="1"/>
  <c r="E16" i="57" s="1"/>
  <c r="O16" i="57" a="1"/>
  <c r="O16" i="57" s="1"/>
  <c r="M26" i="57" a="1"/>
  <c r="M26" i="57" s="1"/>
  <c r="K31" i="57" a="1"/>
  <c r="K31" i="57" s="1"/>
  <c r="C11" i="57" a="1"/>
  <c r="C11" i="57" s="1"/>
  <c r="N26" i="57" a="1"/>
  <c r="N26" i="57" s="1"/>
  <c r="B26" i="57" a="1"/>
  <c r="B26" i="57" s="1"/>
  <c r="E31" i="57" a="1"/>
  <c r="E31" i="57" s="1"/>
  <c r="G21" i="57" a="1"/>
  <c r="G21" i="57" s="1"/>
  <c r="B16" i="57" a="1"/>
  <c r="B16" i="57" s="1"/>
  <c r="H26" i="57" a="1"/>
  <c r="H26" i="57" s="1"/>
  <c r="H21" i="57" a="1"/>
  <c r="H21" i="57" s="1"/>
  <c r="N31" i="57" a="1"/>
  <c r="N31" i="57" s="1"/>
  <c r="L16" i="57" a="1"/>
  <c r="L16" i="57" s="1"/>
  <c r="J21" i="57" a="1"/>
  <c r="J21" i="57" s="1"/>
  <c r="I21" i="57" a="1"/>
  <c r="I21" i="57" s="1"/>
  <c r="D11" i="57" a="1"/>
  <c r="D11" i="57" s="1"/>
  <c r="D21" i="57" a="1"/>
  <c r="D21" i="57" s="1"/>
  <c r="T11" i="57" a="1"/>
  <c r="T11" i="57" s="1"/>
  <c r="O31" i="57" a="1"/>
  <c r="O31" i="57" s="1"/>
  <c r="E21" i="57" a="1"/>
  <c r="E21" i="57" s="1"/>
  <c r="P31" i="57" a="1"/>
  <c r="P31" i="57" s="1"/>
  <c r="R11" i="57" a="1"/>
  <c r="R11" i="57" s="1"/>
  <c r="C21" i="57" a="1"/>
  <c r="C21" i="57" s="1"/>
  <c r="K21" i="57" a="1"/>
  <c r="K21" i="57" s="1"/>
  <c r="R31" i="57" a="1"/>
  <c r="R31" i="57" s="1"/>
  <c r="M16" i="57" a="1"/>
  <c r="M16" i="57" s="1"/>
  <c r="M11" i="57" a="1"/>
  <c r="M11" i="57" s="1"/>
  <c r="S11" i="57" a="1"/>
  <c r="S11" i="57" s="1"/>
  <c r="G31" i="57" a="1"/>
  <c r="G31" i="57" s="1"/>
  <c r="Q31" i="57" a="1"/>
  <c r="Q31" i="57" s="1"/>
  <c r="B31" i="57" a="1"/>
  <c r="B31" i="57" s="1"/>
  <c r="H16" i="57" a="1"/>
  <c r="H16" i="57" s="1"/>
  <c r="L21" i="57" a="1"/>
  <c r="L21" i="57" s="1"/>
  <c r="Q11" i="57" a="1"/>
  <c r="Q11" i="57" s="1"/>
  <c r="H31" i="57" a="1"/>
  <c r="H31" i="57" s="1"/>
  <c r="N11" i="57" a="1"/>
  <c r="N11" i="57" s="1"/>
  <c r="D26" i="57" a="1"/>
  <c r="D26" i="57" s="1"/>
  <c r="J16" i="57" a="1"/>
  <c r="J16" i="57" s="1"/>
  <c r="C26" i="57" a="1"/>
  <c r="C26" i="57" s="1"/>
  <c r="O11" i="57" a="1"/>
  <c r="O11" i="57" s="1"/>
  <c r="I31" i="57" a="1"/>
  <c r="I31" i="57" s="1"/>
  <c r="F21" i="57" a="1"/>
  <c r="F21" i="57" s="1"/>
  <c r="E26" i="57" a="1"/>
  <c r="E26" i="57" s="1"/>
  <c r="G16" i="57" a="1"/>
  <c r="G16" i="57" s="1"/>
  <c r="H11" i="57" a="1"/>
  <c r="H11" i="57" s="1"/>
  <c r="L11" i="57" a="1"/>
  <c r="L11" i="57" s="1"/>
  <c r="L31" i="57" a="1"/>
  <c r="L31" i="57" s="1"/>
  <c r="F31" i="57" a="1"/>
  <c r="F31" i="57" s="1"/>
  <c r="C31" i="57" a="1"/>
  <c r="C31" i="57" s="1"/>
  <c r="I26" i="57" a="1"/>
  <c r="I26" i="57" s="1"/>
  <c r="C16" i="57" a="1"/>
  <c r="C16" i="57" s="1"/>
  <c r="J26" i="57" a="1"/>
  <c r="J26" i="57" s="1"/>
  <c r="F26" i="57" a="1"/>
  <c r="F26" i="57" s="1"/>
  <c r="I11" i="57" a="1"/>
  <c r="I11" i="57" s="1"/>
  <c r="M31" i="57" a="1"/>
  <c r="M31" i="57" s="1"/>
  <c r="I16" i="57" a="1"/>
  <c r="I16" i="57" s="1"/>
  <c r="N16" i="57" a="1"/>
  <c r="N16" i="57" s="1"/>
  <c r="K26" i="57" a="1"/>
  <c r="K26" i="57" s="1"/>
  <c r="D16" i="57" a="1"/>
  <c r="D16" i="57" s="1"/>
  <c r="B11" i="57" a="1"/>
  <c r="B11" i="57" s="1"/>
  <c r="G11" i="57" a="1"/>
  <c r="G11" i="57" s="1"/>
  <c r="J11" i="57" a="1"/>
  <c r="J11" i="57" s="1"/>
  <c r="J31" i="57" a="1"/>
  <c r="J31" i="57" s="1"/>
  <c r="D31" i="57" a="1"/>
  <c r="D31" i="57" s="1"/>
  <c r="L26" i="57" a="1"/>
  <c r="L26" i="57" s="1"/>
  <c r="B64" i="53" a="1"/>
  <c r="B64" i="53" s="1"/>
  <c r="C41" i="53" a="1"/>
  <c r="C41" i="53" s="1"/>
  <c r="F52" i="53" a="1"/>
  <c r="F52" i="53" s="1"/>
  <c r="I35" i="53" a="1"/>
  <c r="I35" i="53" s="1"/>
  <c r="M62" i="53" a="1"/>
  <c r="M62" i="53" s="1"/>
  <c r="K38" i="53" a="1"/>
  <c r="K38" i="53" s="1"/>
  <c r="E11" i="53" a="1"/>
  <c r="E11" i="53" s="1"/>
  <c r="S26" i="53" a="1"/>
  <c r="S26" i="53" s="1"/>
  <c r="D14" i="53" a="1"/>
  <c r="D14" i="53" s="1"/>
  <c r="Q62" i="53" a="1"/>
  <c r="Q62" i="53" s="1"/>
  <c r="N11" i="53" a="1"/>
  <c r="N11" i="53" s="1"/>
  <c r="Q16" i="53" a="1"/>
  <c r="Q16" i="53" s="1"/>
  <c r="S27" i="53" a="1"/>
  <c r="S27" i="53" s="1"/>
  <c r="E29" i="53" a="1"/>
  <c r="E29" i="53" s="1"/>
  <c r="D60" i="53" a="1"/>
  <c r="D60" i="53" s="1"/>
  <c r="B16" i="53" a="1"/>
  <c r="B16" i="53" s="1"/>
  <c r="M15" i="53" a="1"/>
  <c r="M15" i="53" s="1"/>
  <c r="B28" i="53" a="1"/>
  <c r="B28" i="53" s="1"/>
  <c r="N26" i="53" a="1"/>
  <c r="N26" i="53" s="1"/>
  <c r="D41" i="53" a="1"/>
  <c r="D41" i="53" s="1"/>
  <c r="N50" i="53" a="1"/>
  <c r="N50" i="53" s="1"/>
  <c r="I24" i="53" a="1"/>
  <c r="I24" i="53" s="1"/>
  <c r="K37" i="53" a="1"/>
  <c r="K37" i="53" s="1"/>
  <c r="J16" i="53" a="1"/>
  <c r="J16" i="53" s="1"/>
  <c r="I47" i="53" a="1"/>
  <c r="I47" i="53" s="1"/>
  <c r="I49" i="53" a="1"/>
  <c r="I49" i="53" s="1"/>
  <c r="J41" i="53" a="1"/>
  <c r="J41" i="53" s="1"/>
  <c r="F38" i="53" a="1"/>
  <c r="F38" i="53" s="1"/>
  <c r="E64" i="53" a="1"/>
  <c r="E64" i="53" s="1"/>
  <c r="G37" i="53" a="1"/>
  <c r="G37" i="53" s="1"/>
  <c r="K49" i="53" a="1"/>
  <c r="K49" i="53" s="1"/>
  <c r="L12" i="53" a="1"/>
  <c r="L12" i="53" s="1"/>
  <c r="J64" i="53" a="1"/>
  <c r="J64" i="53" s="1"/>
  <c r="I64" i="53" a="1"/>
  <c r="I64" i="53" s="1"/>
  <c r="B24" i="53" a="1"/>
  <c r="B24" i="53" s="1"/>
  <c r="O16" i="53" a="1"/>
  <c r="O16" i="53" s="1"/>
  <c r="O11" i="53" a="1"/>
  <c r="O11" i="53" s="1"/>
  <c r="N23" i="53" a="1"/>
  <c r="N23" i="53" s="1"/>
  <c r="N61" i="53" a="1"/>
  <c r="N61" i="53" s="1"/>
  <c r="M29" i="53" a="1"/>
  <c r="M29" i="53" s="1"/>
  <c r="Q12" i="53" a="1"/>
  <c r="Q12" i="53" s="1"/>
  <c r="J29" i="53" a="1"/>
  <c r="J29" i="53" s="1"/>
  <c r="C28" i="53" a="1"/>
  <c r="C28" i="53" s="1"/>
  <c r="H47" i="53" a="1"/>
  <c r="H47" i="53" s="1"/>
  <c r="E48" i="53" a="1"/>
  <c r="E48" i="53" s="1"/>
  <c r="N25" i="53" a="1"/>
  <c r="N25" i="53" s="1"/>
  <c r="E36" i="53" a="1"/>
  <c r="E36" i="53" s="1"/>
  <c r="D13" i="53" a="1"/>
  <c r="D13" i="53" s="1"/>
  <c r="D47" i="53" a="1"/>
  <c r="D47" i="53" s="1"/>
  <c r="C48" i="53" a="1"/>
  <c r="C48" i="53" s="1"/>
  <c r="E35" i="53" a="1"/>
  <c r="E35" i="53" s="1"/>
  <c r="H60" i="53" a="1"/>
  <c r="H60" i="53" s="1"/>
  <c r="F50" i="53" a="1"/>
  <c r="F50" i="53" s="1"/>
  <c r="K36" i="53" a="1"/>
  <c r="K36" i="53" s="1"/>
  <c r="J37" i="53" a="1"/>
  <c r="J37" i="53" s="1"/>
  <c r="I62" i="53" a="1"/>
  <c r="I62" i="53" s="1"/>
  <c r="L62" i="53" a="1"/>
  <c r="L62" i="53" s="1"/>
  <c r="B51" i="53" a="1"/>
  <c r="B51" i="53" s="1"/>
  <c r="F64" i="53" a="1"/>
  <c r="F64" i="53" s="1"/>
  <c r="C38" i="53" a="1"/>
  <c r="C38" i="53" s="1"/>
  <c r="I50" i="53" a="1"/>
  <c r="I50" i="53" s="1"/>
  <c r="L39" i="53" a="1"/>
  <c r="L39" i="53" s="1"/>
  <c r="L40" i="53" a="1"/>
  <c r="L40" i="53" s="1"/>
  <c r="L63" i="53" a="1"/>
  <c r="L63" i="53" s="1"/>
  <c r="P63" i="53" a="1"/>
  <c r="P63" i="53" s="1"/>
  <c r="D40" i="53" a="1"/>
  <c r="D40" i="53" s="1"/>
  <c r="E41" i="53" a="1"/>
  <c r="E41" i="53" s="1"/>
  <c r="F59" i="53" a="1"/>
  <c r="F59" i="53" s="1"/>
  <c r="J59" i="53" a="1"/>
  <c r="J59" i="53" s="1"/>
  <c r="G27" i="53" a="1"/>
  <c r="G27" i="53" s="1"/>
  <c r="B52" i="53" a="1"/>
  <c r="B52" i="53" s="1"/>
  <c r="E47" i="53" a="1"/>
  <c r="E47" i="53" s="1"/>
  <c r="C61" i="53" a="1"/>
  <c r="C61" i="53" s="1"/>
  <c r="N49" i="53" a="1"/>
  <c r="N49" i="53" s="1"/>
  <c r="D25" i="53" a="1"/>
  <c r="D25" i="53" s="1"/>
  <c r="E23" i="53" a="1"/>
  <c r="E23" i="53" s="1"/>
  <c r="B26" i="53" a="1"/>
  <c r="B26" i="53" s="1"/>
  <c r="B53" i="53" a="1"/>
  <c r="B53" i="53" s="1"/>
  <c r="P62" i="53" a="1"/>
  <c r="P62" i="53" s="1"/>
  <c r="J26" i="53" a="1"/>
  <c r="J26" i="53" s="1"/>
  <c r="L23" i="53" a="1"/>
  <c r="L23" i="53" s="1"/>
  <c r="I51" i="53" a="1"/>
  <c r="I51" i="53" s="1"/>
  <c r="B63" i="53" a="1"/>
  <c r="B63" i="53" s="1"/>
  <c r="J52" i="53" a="1"/>
  <c r="J52" i="53" s="1"/>
  <c r="G50" i="53" a="1"/>
  <c r="G50" i="53" s="1"/>
  <c r="E62" i="53" a="1"/>
  <c r="E62" i="53" s="1"/>
  <c r="J51" i="53" a="1"/>
  <c r="J51" i="53" s="1"/>
  <c r="M39" i="53" a="1"/>
  <c r="M39" i="53" s="1"/>
  <c r="K52" i="53" a="1"/>
  <c r="K52" i="53" s="1"/>
  <c r="M38" i="53" a="1"/>
  <c r="M38" i="53" s="1"/>
  <c r="R61" i="53" a="1"/>
  <c r="R61" i="53" s="1"/>
  <c r="M40" i="53" a="1"/>
  <c r="M40" i="53" s="1"/>
  <c r="K62" i="53" a="1"/>
  <c r="K62" i="53" s="1"/>
  <c r="G17" i="53" a="1"/>
  <c r="G17" i="53" s="1"/>
  <c r="D17" i="53" a="1"/>
  <c r="D17" i="53" s="1"/>
  <c r="I17" i="53" a="1"/>
  <c r="I17" i="53" s="1"/>
  <c r="I12" i="53" a="1"/>
  <c r="I12" i="53" s="1"/>
  <c r="S28" i="53" a="1"/>
  <c r="S28" i="53" s="1"/>
  <c r="L24" i="53" a="1"/>
  <c r="L24" i="53" s="1"/>
  <c r="R65" i="53" a="1"/>
  <c r="R65" i="53" s="1"/>
  <c r="B15" i="53" a="1"/>
  <c r="B15" i="53" s="1"/>
  <c r="D29" i="53" a="1"/>
  <c r="D29" i="53" s="1"/>
  <c r="L64" i="53" a="1"/>
  <c r="L64" i="53" s="1"/>
  <c r="G16" i="53" a="1"/>
  <c r="G16" i="53" s="1"/>
  <c r="B13" i="53" a="1"/>
  <c r="B13" i="53" s="1"/>
  <c r="G25" i="53" a="1"/>
  <c r="G25" i="53" s="1"/>
  <c r="R64" i="53" a="1"/>
  <c r="R64" i="53" s="1"/>
  <c r="L35" i="53" a="1"/>
  <c r="L35" i="53" s="1"/>
  <c r="J48" i="53" a="1"/>
  <c r="J48" i="53" s="1"/>
  <c r="F37" i="53" a="1"/>
  <c r="F37" i="53" s="1"/>
  <c r="M50" i="53" a="1"/>
  <c r="M50" i="53" s="1"/>
  <c r="C13" i="53" a="1"/>
  <c r="C13" i="53" s="1"/>
  <c r="Q17" i="53" a="1"/>
  <c r="Q17" i="53" s="1"/>
  <c r="O26" i="53" a="1"/>
  <c r="O26" i="53" s="1"/>
  <c r="J17" i="53" a="1"/>
  <c r="J17" i="53" s="1"/>
  <c r="I23" i="53" a="1"/>
  <c r="I23" i="53" s="1"/>
  <c r="M24" i="53" a="1"/>
  <c r="M24" i="53" s="1"/>
  <c r="D39" i="53" a="1"/>
  <c r="D39" i="53" s="1"/>
  <c r="G47" i="53" a="1"/>
  <c r="G47" i="53" s="1"/>
  <c r="F41" i="53" a="1"/>
  <c r="F41" i="53" s="1"/>
  <c r="K51" i="53" a="1"/>
  <c r="K51" i="53" s="1"/>
  <c r="B11" i="53" a="1"/>
  <c r="B11" i="53" s="1"/>
  <c r="Q60" i="53" a="1"/>
  <c r="Q60" i="53" s="1"/>
  <c r="U11" i="53" a="1"/>
  <c r="U11" i="53" s="1"/>
  <c r="K60" i="53" a="1"/>
  <c r="K60" i="53" s="1"/>
  <c r="E51" i="53" a="1"/>
  <c r="E51" i="53" s="1"/>
  <c r="M48" i="53" a="1"/>
  <c r="M48" i="53" s="1"/>
  <c r="D49" i="53" a="1"/>
  <c r="D49" i="53" s="1"/>
  <c r="I48" i="53" a="1"/>
  <c r="I48" i="53" s="1"/>
  <c r="C64" i="53" a="1"/>
  <c r="C64" i="53" s="1"/>
  <c r="G11" i="53" a="1"/>
  <c r="G11" i="53" s="1"/>
  <c r="C65" i="53" a="1"/>
  <c r="C65" i="53" s="1"/>
  <c r="N13" i="53" a="1"/>
  <c r="N13" i="53" s="1"/>
  <c r="D51" i="53" a="1"/>
  <c r="D51" i="53" s="1"/>
  <c r="M61" i="53" a="1"/>
  <c r="M61" i="53" s="1"/>
  <c r="H37" i="53" a="1"/>
  <c r="H37" i="53" s="1"/>
  <c r="J50" i="53" a="1"/>
  <c r="J50" i="53" s="1"/>
  <c r="E53" i="53" a="1"/>
  <c r="E53" i="53" s="1"/>
  <c r="H38" i="53" a="1"/>
  <c r="H38" i="53" s="1"/>
  <c r="K48" i="53" a="1"/>
  <c r="K48" i="53" s="1"/>
  <c r="T12" i="53" a="1"/>
  <c r="T12" i="53" s="1"/>
  <c r="O62" i="53" a="1"/>
  <c r="O62" i="53" s="1"/>
  <c r="J40" i="53" a="1"/>
  <c r="J40" i="53" s="1"/>
  <c r="G48" i="53" a="1"/>
  <c r="G48" i="53" s="1"/>
  <c r="J38" i="53" a="1"/>
  <c r="J38" i="53" s="1"/>
  <c r="D37" i="53" a="1"/>
  <c r="D37" i="53" s="1"/>
  <c r="D50" i="53" a="1"/>
  <c r="D50" i="53" s="1"/>
  <c r="D12" i="53" a="1"/>
  <c r="D12" i="53" s="1"/>
  <c r="O29" i="53" a="1"/>
  <c r="O29" i="53" s="1"/>
  <c r="H11" i="53" a="1"/>
  <c r="H11" i="53" s="1"/>
  <c r="H61" i="53" a="1"/>
  <c r="H61" i="53" s="1"/>
  <c r="C15" i="53" a="1"/>
  <c r="C15" i="53" s="1"/>
  <c r="T11" i="53" a="1"/>
  <c r="T11" i="53" s="1"/>
  <c r="E60" i="53" a="1"/>
  <c r="E60" i="53" s="1"/>
  <c r="Q27" i="53" a="1"/>
  <c r="Q27" i="53" s="1"/>
  <c r="F39" i="53" a="1"/>
  <c r="F39" i="53" s="1"/>
  <c r="E25" i="53" a="1"/>
  <c r="E25" i="53" s="1"/>
  <c r="T17" i="53" a="1"/>
  <c r="T17" i="53" s="1"/>
  <c r="M26" i="53" a="1"/>
  <c r="M26" i="53" s="1"/>
  <c r="I25" i="53" a="1"/>
  <c r="I25" i="53" s="1"/>
  <c r="L41" i="53" a="1"/>
  <c r="L41" i="53" s="1"/>
  <c r="D27" i="53" a="1"/>
  <c r="D27" i="53" s="1"/>
  <c r="H53" i="53" a="1"/>
  <c r="H53" i="53" s="1"/>
  <c r="E49" i="53" a="1"/>
  <c r="E49" i="53" s="1"/>
  <c r="T13" i="53" a="1"/>
  <c r="T13" i="53" s="1"/>
  <c r="I38" i="53" a="1"/>
  <c r="I38" i="53" s="1"/>
  <c r="B14" i="53" a="1"/>
  <c r="B14" i="53" s="1"/>
  <c r="H23" i="53" a="1"/>
  <c r="H23" i="53" s="1"/>
  <c r="J11" i="53" a="1"/>
  <c r="J11" i="53" s="1"/>
  <c r="I11" i="53" a="1"/>
  <c r="I11" i="53" s="1"/>
  <c r="L15" i="53" a="1"/>
  <c r="L15" i="53" s="1"/>
  <c r="H52" i="53" a="1"/>
  <c r="H52" i="53" s="1"/>
  <c r="Q23" i="53" a="1"/>
  <c r="Q23" i="53" s="1"/>
  <c r="M17" i="53" a="1"/>
  <c r="M17" i="53" s="1"/>
  <c r="I29" i="53" a="1"/>
  <c r="I29" i="53" s="1"/>
  <c r="F65" i="53" a="1"/>
  <c r="F65" i="53" s="1"/>
  <c r="S11" i="53" a="1"/>
  <c r="S11" i="53" s="1"/>
  <c r="K63" i="53" a="1"/>
  <c r="K63" i="53" s="1"/>
  <c r="M36" i="53" a="1"/>
  <c r="M36" i="53" s="1"/>
  <c r="C49" i="53" a="1"/>
  <c r="C49" i="53" s="1"/>
  <c r="N28" i="53" a="1"/>
  <c r="N28" i="53" s="1"/>
  <c r="M41" i="53" a="1"/>
  <c r="M41" i="53" s="1"/>
  <c r="C17" i="53" a="1"/>
  <c r="C17" i="53" s="1"/>
  <c r="T14" i="53" a="1"/>
  <c r="T14" i="53" s="1"/>
  <c r="L11" i="53" a="1"/>
  <c r="L11" i="53" s="1"/>
  <c r="E14" i="53" a="1"/>
  <c r="E14" i="53" s="1"/>
  <c r="N15" i="53" a="1"/>
  <c r="N15" i="53" s="1"/>
  <c r="B27" i="53" a="1"/>
  <c r="B27" i="53" s="1"/>
  <c r="Q11" i="53" a="1"/>
  <c r="Q11" i="53" s="1"/>
  <c r="H16" i="53" a="1"/>
  <c r="H16" i="53" s="1"/>
  <c r="R23" i="53" a="1"/>
  <c r="R23" i="53" s="1"/>
  <c r="D62" i="53" a="1"/>
  <c r="D62" i="53" s="1"/>
  <c r="E16" i="53" a="1"/>
  <c r="E16" i="53" s="1"/>
  <c r="E65" i="53" a="1"/>
  <c r="E65" i="53" s="1"/>
  <c r="C36" i="53" a="1"/>
  <c r="C36" i="53" s="1"/>
  <c r="I37" i="53" a="1"/>
  <c r="I37" i="53" s="1"/>
  <c r="D23" i="53" a="1"/>
  <c r="D23" i="53" s="1"/>
  <c r="N51" i="53" a="1"/>
  <c r="N51" i="53" s="1"/>
  <c r="E38" i="53" a="1"/>
  <c r="E38" i="53" s="1"/>
  <c r="D61" i="53" a="1"/>
  <c r="D61" i="53" s="1"/>
  <c r="M13" i="53" a="1"/>
  <c r="M13" i="53" s="1"/>
  <c r="R17" i="53" a="1"/>
  <c r="R17" i="53" s="1"/>
  <c r="R62" i="53" a="1"/>
  <c r="R62" i="53" s="1"/>
  <c r="J65" i="53" a="1"/>
  <c r="J65" i="53" s="1"/>
  <c r="L28" i="53" a="1"/>
  <c r="L28" i="53" s="1"/>
  <c r="J25" i="53" a="1"/>
  <c r="J25" i="53" s="1"/>
  <c r="J53" i="53" a="1"/>
  <c r="J53" i="53" s="1"/>
  <c r="Q14" i="53" a="1"/>
  <c r="Q14" i="53" s="1"/>
  <c r="B12" i="53" a="1"/>
  <c r="B12" i="53" s="1"/>
  <c r="J60" i="53" a="1"/>
  <c r="J60" i="53" s="1"/>
  <c r="L59" i="53" a="1"/>
  <c r="L59" i="53" s="1"/>
  <c r="G35" i="53" a="1"/>
  <c r="G35" i="53" s="1"/>
  <c r="D36" i="53" a="1"/>
  <c r="D36" i="53" s="1"/>
  <c r="C27" i="53" a="1"/>
  <c r="C27" i="53" s="1"/>
  <c r="G49" i="53" a="1"/>
  <c r="G49" i="53" s="1"/>
  <c r="I61" i="53" a="1"/>
  <c r="I61" i="53" s="1"/>
  <c r="N62" i="53" a="1"/>
  <c r="N62" i="53" s="1"/>
  <c r="C14" i="53" a="1"/>
  <c r="C14" i="53" s="1"/>
  <c r="E63" i="53" a="1"/>
  <c r="E63" i="53" s="1"/>
  <c r="T24" i="53" a="1"/>
  <c r="T24" i="53" s="1"/>
  <c r="R25" i="53" a="1"/>
  <c r="R25" i="53" s="1"/>
  <c r="M28" i="53" a="1"/>
  <c r="M28" i="53" s="1"/>
  <c r="G15" i="53" a="1"/>
  <c r="G15" i="53" s="1"/>
  <c r="C53" i="53" a="1"/>
  <c r="C53" i="53" s="1"/>
  <c r="H51" i="53" a="1"/>
  <c r="H51" i="53" s="1"/>
  <c r="H62" i="53" a="1"/>
  <c r="H62" i="53" s="1"/>
  <c r="B62" i="53" a="1"/>
  <c r="B62" i="53" s="1"/>
  <c r="H50" i="53" a="1"/>
  <c r="H50" i="53" s="1"/>
  <c r="N60" i="53" a="1"/>
  <c r="N60" i="53" s="1"/>
  <c r="G62" i="53" a="1"/>
  <c r="G62" i="53" s="1"/>
  <c r="S13" i="53" a="1"/>
  <c r="S13" i="53" s="1"/>
  <c r="F36" i="53" a="1"/>
  <c r="F36" i="53" s="1"/>
  <c r="J61" i="53" a="1"/>
  <c r="J61" i="53" s="1"/>
  <c r="N65" i="53" a="1"/>
  <c r="N65" i="53" s="1"/>
  <c r="Q15" i="53" a="1"/>
  <c r="Q15" i="53" s="1"/>
  <c r="G14" i="53" a="1"/>
  <c r="G14" i="53" s="1"/>
  <c r="C29" i="53" a="1"/>
  <c r="C29" i="53" s="1"/>
  <c r="I52" i="53" a="1"/>
  <c r="I52" i="53" s="1"/>
  <c r="E52" i="53" a="1"/>
  <c r="E52" i="53" s="1"/>
  <c r="H15" i="53" a="1"/>
  <c r="H15" i="53" s="1"/>
  <c r="K40" i="53" a="1"/>
  <c r="K40" i="53" s="1"/>
  <c r="G65" i="53" a="1"/>
  <c r="G65" i="53" s="1"/>
  <c r="R60" i="53" a="1"/>
  <c r="R60" i="53" s="1"/>
  <c r="J63" i="53" a="1"/>
  <c r="J63" i="53" s="1"/>
  <c r="Q26" i="53" a="1"/>
  <c r="Q26" i="53" s="1"/>
  <c r="F62" i="53" a="1"/>
  <c r="F62" i="53" s="1"/>
  <c r="M53" i="53" a="1"/>
  <c r="M53" i="53" s="1"/>
  <c r="J47" i="53" a="1"/>
  <c r="J47" i="53" s="1"/>
  <c r="D65" i="53" a="1"/>
  <c r="D65" i="53" s="1"/>
  <c r="O49" i="53" a="1"/>
  <c r="O49" i="53" s="1"/>
  <c r="N17" i="53" a="1"/>
  <c r="N17" i="53" s="1"/>
  <c r="R11" i="53" a="1"/>
  <c r="R11" i="53" s="1"/>
  <c r="L14" i="53" a="1"/>
  <c r="L14" i="53" s="1"/>
  <c r="D52" i="53" a="1"/>
  <c r="D52" i="53" s="1"/>
  <c r="H40" i="53" a="1"/>
  <c r="H40" i="53" s="1"/>
  <c r="Q29" i="53" a="1"/>
  <c r="Q29" i="53" s="1"/>
  <c r="G39" i="53" a="1"/>
  <c r="G39" i="53" s="1"/>
  <c r="J24" i="53" a="1"/>
  <c r="J24" i="53" s="1"/>
  <c r="N47" i="53" a="1"/>
  <c r="N47" i="53" s="1"/>
  <c r="H49" i="53" a="1"/>
  <c r="H49" i="53" s="1"/>
  <c r="E28" i="53" a="1"/>
  <c r="E28" i="53" s="1"/>
  <c r="O63" i="53" a="1"/>
  <c r="O63" i="53" s="1"/>
  <c r="R59" i="53" a="1"/>
  <c r="R59" i="53" s="1"/>
  <c r="L36" i="53" a="1"/>
  <c r="L36" i="53" s="1"/>
  <c r="L52" i="53" a="1"/>
  <c r="L52" i="53" s="1"/>
  <c r="Q24" i="53" a="1"/>
  <c r="Q24" i="53" s="1"/>
  <c r="I16" i="53" a="1"/>
  <c r="I16" i="53" s="1"/>
  <c r="L16" i="53" a="1"/>
  <c r="L16" i="53" s="1"/>
  <c r="M14" i="53" a="1"/>
  <c r="M14" i="53" s="1"/>
  <c r="K39" i="53" a="1"/>
  <c r="K39" i="53" s="1"/>
  <c r="E39" i="53" a="1"/>
  <c r="E39" i="53" s="1"/>
  <c r="E12" i="53" a="1"/>
  <c r="E12" i="53" s="1"/>
  <c r="G24" i="53" a="1"/>
  <c r="G24" i="53" s="1"/>
  <c r="B48" i="53" a="1"/>
  <c r="B48" i="53" s="1"/>
  <c r="F47" i="53" a="1"/>
  <c r="F47" i="53" s="1"/>
  <c r="B17" i="53" a="1"/>
  <c r="B17" i="53" s="1"/>
  <c r="N29" i="53" a="1"/>
  <c r="N29" i="53" s="1"/>
  <c r="H65" i="53" a="1"/>
  <c r="H65" i="53" s="1"/>
  <c r="N53" i="53" a="1"/>
  <c r="N53" i="53" s="1"/>
  <c r="G36" i="53" a="1"/>
  <c r="G36" i="53" s="1"/>
  <c r="H26" i="53" a="1"/>
  <c r="H26" i="53" s="1"/>
  <c r="H27" i="53" a="1"/>
  <c r="H27" i="53" s="1"/>
  <c r="C51" i="53" a="1"/>
  <c r="C51" i="53" s="1"/>
  <c r="L25" i="53" a="1"/>
  <c r="L25" i="53" s="1"/>
  <c r="S17" i="53" a="1"/>
  <c r="S17" i="53" s="1"/>
  <c r="C39" i="53" a="1"/>
  <c r="C39" i="53" s="1"/>
  <c r="C60" i="53" a="1"/>
  <c r="C60" i="53" s="1"/>
  <c r="I53" i="53" a="1"/>
  <c r="I53" i="53" s="1"/>
  <c r="M25" i="53" a="1"/>
  <c r="M25" i="53" s="1"/>
  <c r="B49" i="53" a="1"/>
  <c r="B49" i="53" s="1"/>
  <c r="H36" i="53" a="1"/>
  <c r="H36" i="53" s="1"/>
  <c r="G28" i="53" a="1"/>
  <c r="G28" i="53" s="1"/>
  <c r="R12" i="53" a="1"/>
  <c r="R12" i="53" s="1"/>
  <c r="O59" i="53" a="1"/>
  <c r="O59" i="53" s="1"/>
  <c r="F49" i="53" a="1"/>
  <c r="F49" i="53" s="1"/>
  <c r="E40" i="53" a="1"/>
  <c r="E40" i="53" s="1"/>
  <c r="N27" i="53" a="1"/>
  <c r="N27" i="53" s="1"/>
  <c r="Q28" i="53" a="1"/>
  <c r="Q28" i="53" s="1"/>
  <c r="H39" i="53" a="1"/>
  <c r="H39" i="53" s="1"/>
  <c r="N59" i="53" a="1"/>
  <c r="N59" i="53" s="1"/>
  <c r="C16" i="53" a="1"/>
  <c r="C16" i="53" s="1"/>
  <c r="K61" i="53" a="1"/>
  <c r="K61" i="53" s="1"/>
  <c r="L61" i="53" a="1"/>
  <c r="L61" i="53" s="1"/>
  <c r="G52" i="53" a="1"/>
  <c r="G52" i="53" s="1"/>
  <c r="D11" i="53" a="1"/>
  <c r="D11" i="53" s="1"/>
  <c r="M47" i="53" a="1"/>
  <c r="M47" i="53" s="1"/>
  <c r="K41" i="53" a="1"/>
  <c r="K41" i="53" s="1"/>
  <c r="H24" i="53" a="1"/>
  <c r="H24" i="53" s="1"/>
  <c r="N16" i="53" a="1"/>
  <c r="N16" i="53" s="1"/>
  <c r="T26" i="53" a="1"/>
  <c r="T26" i="53" s="1"/>
  <c r="L37" i="53" a="1"/>
  <c r="L37" i="53" s="1"/>
  <c r="G40" i="53" a="1"/>
  <c r="G40" i="53" s="1"/>
  <c r="I15" i="53" a="1"/>
  <c r="I15" i="53" s="1"/>
  <c r="K47" i="53" a="1"/>
  <c r="K47" i="53" s="1"/>
  <c r="P60" i="53" a="1"/>
  <c r="P60" i="53" s="1"/>
  <c r="B29" i="53" a="1"/>
  <c r="B29" i="53" s="1"/>
  <c r="G23" i="53" a="1"/>
  <c r="G23" i="53" s="1"/>
  <c r="D38" i="53" a="1"/>
  <c r="D38" i="53" s="1"/>
  <c r="O25" i="53" a="1"/>
  <c r="O25" i="53" s="1"/>
  <c r="B23" i="53" a="1"/>
  <c r="B23" i="53" s="1"/>
  <c r="K64" i="53" a="1"/>
  <c r="K64" i="53" s="1"/>
  <c r="C63" i="53" a="1"/>
  <c r="C63" i="53" s="1"/>
  <c r="I40" i="53" a="1"/>
  <c r="I40" i="53" s="1"/>
  <c r="K65" i="53" a="1"/>
  <c r="K65" i="53" s="1"/>
  <c r="C47" i="53" a="1"/>
  <c r="C47" i="53" s="1"/>
  <c r="S29" i="53" a="1"/>
  <c r="S29" i="53" s="1"/>
  <c r="I28" i="53" a="1"/>
  <c r="I28" i="53" s="1"/>
  <c r="G51" i="53" a="1"/>
  <c r="G51" i="53" s="1"/>
  <c r="J23" i="53" a="1"/>
  <c r="J23" i="53" s="1"/>
  <c r="S14" i="53" a="1"/>
  <c r="S14" i="53" s="1"/>
  <c r="F61" i="53" a="1"/>
  <c r="F61" i="53" s="1"/>
  <c r="K50" i="53" a="1"/>
  <c r="K50" i="53" s="1"/>
  <c r="M59" i="53" a="1"/>
  <c r="M59" i="53" s="1"/>
  <c r="C59" i="53" a="1"/>
  <c r="C59" i="53" s="1"/>
  <c r="D59" i="53" a="1"/>
  <c r="D59" i="53" s="1"/>
  <c r="D63" i="53" a="1"/>
  <c r="D63" i="53" s="1"/>
  <c r="K53" i="53" a="1"/>
  <c r="K53" i="53" s="1"/>
  <c r="G53" i="53" a="1"/>
  <c r="G53" i="53" s="1"/>
  <c r="I60" i="53" a="1"/>
  <c r="I60" i="53" s="1"/>
  <c r="T29" i="53" a="1"/>
  <c r="T29" i="53" s="1"/>
  <c r="Q59" i="53" a="1"/>
  <c r="Q59" i="53" s="1"/>
  <c r="R29" i="53" a="1"/>
  <c r="R29" i="53" s="1"/>
  <c r="C50" i="53" a="1"/>
  <c r="C50" i="53" s="1"/>
  <c r="E37" i="53" a="1"/>
  <c r="E37" i="53" s="1"/>
  <c r="R15" i="53" a="1"/>
  <c r="R15" i="53" s="1"/>
  <c r="L13" i="53" a="1"/>
  <c r="L13" i="53" s="1"/>
  <c r="H64" i="53" a="1"/>
  <c r="H64" i="53" s="1"/>
  <c r="I39" i="53" a="1"/>
  <c r="I39" i="53" s="1"/>
  <c r="N63" i="53" a="1"/>
  <c r="N63" i="53" s="1"/>
  <c r="O47" i="53" a="1"/>
  <c r="O47" i="53" s="1"/>
  <c r="L49" i="53" a="1"/>
  <c r="L49" i="53" s="1"/>
  <c r="N64" i="53" a="1"/>
  <c r="N64" i="53" s="1"/>
  <c r="F53" i="53" a="1"/>
  <c r="F53" i="53" s="1"/>
  <c r="I41" i="53" a="1"/>
  <c r="I41" i="53" s="1"/>
  <c r="Q61" i="53" a="1"/>
  <c r="Q61" i="53" s="1"/>
  <c r="C23" i="53" a="1"/>
  <c r="C23" i="53" s="1"/>
  <c r="K35" i="53" a="1"/>
  <c r="K35" i="53" s="1"/>
  <c r="L17" i="53" a="1"/>
  <c r="L17" i="53" s="1"/>
  <c r="M37" i="53" a="1"/>
  <c r="M37" i="53" s="1"/>
  <c r="B60" i="53" a="1"/>
  <c r="B60" i="53" s="1"/>
  <c r="G12" i="53" a="1"/>
  <c r="G12" i="53" s="1"/>
  <c r="H12" i="53" a="1"/>
  <c r="H12" i="53" s="1"/>
  <c r="P65" i="53" a="1"/>
  <c r="P65" i="53" s="1"/>
  <c r="Q65" i="53" a="1"/>
  <c r="Q65" i="53" s="1"/>
  <c r="P59" i="53" a="1"/>
  <c r="P59" i="53" s="1"/>
  <c r="B25" i="53" a="1"/>
  <c r="B25" i="53" s="1"/>
  <c r="C25" i="53" a="1"/>
  <c r="C25" i="53" s="1"/>
  <c r="E59" i="53" a="1"/>
  <c r="E59" i="53" s="1"/>
  <c r="H41" i="53" a="1"/>
  <c r="H41" i="53" s="1"/>
  <c r="F40" i="53" a="1"/>
  <c r="F40" i="53" s="1"/>
  <c r="I63" i="53" a="1"/>
  <c r="I63" i="53" s="1"/>
  <c r="N48" i="53" a="1"/>
  <c r="N48" i="53" s="1"/>
  <c r="D35" i="53" a="1"/>
  <c r="D35" i="53" s="1"/>
  <c r="J15" i="53" a="1"/>
  <c r="J15" i="53" s="1"/>
  <c r="C37" i="53" a="1"/>
  <c r="C37" i="53" s="1"/>
  <c r="B37" i="53" s="1"/>
  <c r="H63" i="53" a="1"/>
  <c r="H63" i="53" s="1"/>
  <c r="M65" i="53" a="1"/>
  <c r="M65" i="53" s="1"/>
  <c r="E50" i="53" a="1"/>
  <c r="E50" i="53" s="1"/>
  <c r="O51" i="53" a="1"/>
  <c r="O51" i="53" s="1"/>
  <c r="O52" i="53" a="1"/>
  <c r="O52" i="53" s="1"/>
  <c r="R63" i="53" a="1"/>
  <c r="R63" i="53" s="1"/>
  <c r="G26" i="53" a="1"/>
  <c r="G26" i="53" s="1"/>
  <c r="I26" i="53" a="1"/>
  <c r="I26" i="53" s="1"/>
  <c r="L50" i="53" a="1"/>
  <c r="L50" i="53" s="1"/>
  <c r="C40" i="53" a="1"/>
  <c r="C40" i="53" s="1"/>
  <c r="B40" i="53" s="1"/>
  <c r="G60" i="53" a="1"/>
  <c r="G60" i="53" s="1"/>
  <c r="B65" i="53" a="1"/>
  <c r="B65" i="53" s="1"/>
  <c r="I36" i="53" a="1"/>
  <c r="I36" i="53" s="1"/>
  <c r="M60" i="53" a="1"/>
  <c r="M60" i="53" s="1"/>
  <c r="C12" i="53" a="1"/>
  <c r="C12" i="53" s="1"/>
  <c r="B61" i="53" a="1"/>
  <c r="B61" i="53" s="1"/>
  <c r="M64" i="53" a="1"/>
  <c r="M64" i="53" s="1"/>
  <c r="O48" i="53" a="1"/>
  <c r="O48" i="53" s="1"/>
  <c r="L38" i="53" a="1"/>
  <c r="L38" i="53" s="1"/>
  <c r="B47" i="53" a="1"/>
  <c r="B47" i="53" s="1"/>
  <c r="C35" i="53" a="1"/>
  <c r="C35" i="53" s="1"/>
  <c r="F51" i="53" a="1"/>
  <c r="F51" i="53" s="1"/>
  <c r="O27" i="53" a="1"/>
  <c r="O27" i="53" s="1"/>
  <c r="T16" i="53" a="1"/>
  <c r="T16" i="53" s="1"/>
  <c r="O14" i="53" a="1"/>
  <c r="O14" i="53" s="1"/>
  <c r="F60" i="53" a="1"/>
  <c r="F60" i="53" s="1"/>
  <c r="P61" i="53" a="1"/>
  <c r="P61" i="53" s="1"/>
  <c r="K59" i="53" a="1"/>
  <c r="K59" i="53" s="1"/>
  <c r="K66" i="53" s="1"/>
  <c r="Q25" i="53" a="1"/>
  <c r="Q25" i="53" s="1"/>
  <c r="M63" i="53" a="1"/>
  <c r="M63" i="53" s="1"/>
  <c r="C11" i="53" a="1"/>
  <c r="C11" i="53" s="1"/>
  <c r="J62" i="53" a="1"/>
  <c r="J62" i="53" s="1"/>
  <c r="J49" i="53" a="1"/>
  <c r="J49" i="53" s="1"/>
  <c r="O24" i="53" a="1"/>
  <c r="O24" i="53" s="1"/>
  <c r="E61" i="53" a="1"/>
  <c r="E61" i="53" s="1"/>
  <c r="R24" i="53" a="1"/>
  <c r="R24" i="53" s="1"/>
  <c r="S24" i="53" a="1"/>
  <c r="S24" i="53" s="1"/>
  <c r="J39" i="53" a="1"/>
  <c r="J39" i="53" s="1"/>
  <c r="S16" i="53" a="1"/>
  <c r="S16" i="53" s="1"/>
  <c r="N14" i="53" a="1"/>
  <c r="N14" i="53" s="1"/>
  <c r="O64" i="53" a="1"/>
  <c r="O64" i="53" s="1"/>
  <c r="O61" i="53" a="1"/>
  <c r="O61" i="53" s="1"/>
  <c r="G63" i="53" a="1"/>
  <c r="G63" i="53" s="1"/>
  <c r="H48" i="53" a="1"/>
  <c r="H48" i="53" s="1"/>
  <c r="O17" i="53" a="1"/>
  <c r="O17" i="53" s="1"/>
  <c r="J28" i="53" a="1"/>
  <c r="J28" i="53" s="1"/>
  <c r="O60" i="53" a="1"/>
  <c r="O60" i="53" s="1"/>
  <c r="D64" i="53" a="1"/>
  <c r="D64" i="53" s="1"/>
  <c r="D48" i="53" a="1"/>
  <c r="D48" i="53" s="1"/>
  <c r="T25" i="53" a="1"/>
  <c r="T25" i="53" s="1"/>
  <c r="G64" i="53" a="1"/>
  <c r="G64" i="53" s="1"/>
  <c r="J27" i="53" a="1"/>
  <c r="J27" i="53" s="1"/>
  <c r="D26" i="53" a="1"/>
  <c r="D26" i="53" s="1"/>
  <c r="G38" i="53" a="1"/>
  <c r="G38" i="53" s="1"/>
  <c r="H13" i="53" a="1"/>
  <c r="H13" i="53" s="1"/>
  <c r="I13" i="53" a="1"/>
  <c r="I13" i="53" s="1"/>
  <c r="H29" i="53" a="1"/>
  <c r="H29" i="53" s="1"/>
  <c r="F63" i="53" a="1"/>
  <c r="F63" i="53" s="1"/>
  <c r="I59" i="53" a="1"/>
  <c r="I59" i="53" s="1"/>
  <c r="D24" i="53" a="1"/>
  <c r="D24" i="53" s="1"/>
  <c r="M49" i="53" a="1"/>
  <c r="M49" i="53" s="1"/>
  <c r="M51" i="53" a="1"/>
  <c r="M51" i="53" s="1"/>
  <c r="Q63" i="53" a="1"/>
  <c r="Q63" i="53" s="1"/>
  <c r="L65" i="53" a="1"/>
  <c r="L65" i="53" s="1"/>
  <c r="C52" i="53" a="1"/>
  <c r="C52" i="53" s="1"/>
  <c r="O28" i="53" a="1"/>
  <c r="O28" i="53" s="1"/>
  <c r="O65" i="53" a="1"/>
  <c r="O65" i="53" s="1"/>
  <c r="S15" i="53" a="1"/>
  <c r="S15" i="53" s="1"/>
  <c r="L27" i="53" a="1"/>
  <c r="L27" i="53" s="1"/>
  <c r="O53" i="53" a="1"/>
  <c r="O53" i="53" s="1"/>
  <c r="O23" i="53" a="1"/>
  <c r="O23" i="53" s="1"/>
  <c r="M11" i="53" a="1"/>
  <c r="M11" i="53" s="1"/>
  <c r="M18" i="53" s="1"/>
  <c r="H14" i="53" a="1"/>
  <c r="H14" i="53" s="1"/>
  <c r="P64" i="53" a="1"/>
  <c r="P64" i="53" s="1"/>
  <c r="L47" i="53" a="1"/>
  <c r="L47" i="53" s="1"/>
  <c r="L29" i="53" a="1"/>
  <c r="L29" i="53" s="1"/>
  <c r="J36" i="53" a="1"/>
  <c r="J36" i="53" s="1"/>
  <c r="F48" i="53" a="1"/>
  <c r="F48" i="53" s="1"/>
  <c r="I65" i="53" a="1"/>
  <c r="I65" i="53" s="1"/>
  <c r="B59" i="53" a="1"/>
  <c r="B59" i="53" s="1"/>
  <c r="G61" i="53" a="1"/>
  <c r="G61" i="53" s="1"/>
  <c r="R14" i="53" a="1"/>
  <c r="R14" i="53" s="1"/>
  <c r="O50" i="53" a="1"/>
  <c r="O50" i="53" s="1"/>
  <c r="J12" i="53" a="1"/>
  <c r="J12" i="53" s="1"/>
  <c r="T28" i="53" a="1"/>
  <c r="T28" i="53" s="1"/>
  <c r="E26" i="53" a="1"/>
  <c r="E26" i="53" s="1"/>
  <c r="E15" i="53" a="1"/>
  <c r="E15" i="53" s="1"/>
  <c r="D15" i="53" a="1"/>
  <c r="D15" i="53" s="1"/>
  <c r="E24" i="53" a="1"/>
  <c r="E24" i="53" s="1"/>
  <c r="H59" i="53" a="1"/>
  <c r="H59" i="53" s="1"/>
  <c r="C24" i="53" a="1"/>
  <c r="C24" i="53" s="1"/>
  <c r="T23" i="53" a="1"/>
  <c r="T23" i="53" s="1"/>
  <c r="J35" i="53" a="1"/>
  <c r="J35" i="53" s="1"/>
  <c r="J42" i="53" s="1"/>
  <c r="M35" i="53" a="1"/>
  <c r="M35" i="53" s="1"/>
  <c r="M42" i="53" s="1"/>
  <c r="R13" i="53" a="1"/>
  <c r="R13" i="53" s="1"/>
  <c r="B50" i="53" a="1"/>
  <c r="B50" i="53" s="1"/>
  <c r="Q64" i="53" a="1"/>
  <c r="Q64" i="53" s="1"/>
  <c r="O12" i="53" a="1"/>
  <c r="O12" i="53" s="1"/>
  <c r="C26" i="53" a="1"/>
  <c r="C26" i="53" s="1"/>
  <c r="H35" i="53" a="1"/>
  <c r="H35" i="53" s="1"/>
  <c r="T15" i="53" a="1"/>
  <c r="T15" i="53" s="1"/>
  <c r="R16" i="53" a="1"/>
  <c r="R16" i="53" s="1"/>
  <c r="D16" i="53" a="1"/>
  <c r="D16" i="53" s="1"/>
  <c r="R27" i="53" a="1"/>
  <c r="R27" i="53" s="1"/>
  <c r="M16" i="53" a="1"/>
  <c r="M16" i="53" s="1"/>
  <c r="L53" i="53" a="1"/>
  <c r="L53" i="53" s="1"/>
  <c r="H25" i="53" a="1"/>
  <c r="H25" i="53" s="1"/>
  <c r="Q13" i="53" a="1"/>
  <c r="Q13" i="53" s="1"/>
  <c r="G41" i="53" a="1"/>
  <c r="G41" i="53" s="1"/>
  <c r="F35" i="53" a="1"/>
  <c r="F35" i="53" s="1"/>
  <c r="M12" i="53" a="1"/>
  <c r="M12" i="53" s="1"/>
  <c r="N24" i="53" a="1"/>
  <c r="N24" i="53" s="1"/>
  <c r="L48" i="53" a="1"/>
  <c r="L48" i="53" s="1"/>
  <c r="H17" i="53" a="1"/>
  <c r="H17" i="53" s="1"/>
  <c r="I27" i="53" a="1"/>
  <c r="I27" i="53" s="1"/>
  <c r="M27" i="53" a="1"/>
  <c r="M27" i="53" s="1"/>
  <c r="O13" i="53" a="1"/>
  <c r="O13" i="53" s="1"/>
  <c r="G29" i="53" a="1"/>
  <c r="G29" i="53" s="1"/>
  <c r="J14" i="53" a="1"/>
  <c r="J14" i="53" s="1"/>
  <c r="J13" i="53" a="1"/>
  <c r="J13" i="53" s="1"/>
  <c r="S12" i="53" a="1"/>
  <c r="S12" i="53" s="1"/>
  <c r="L26" i="53" a="1"/>
  <c r="L26" i="53" s="1"/>
  <c r="S23" i="53" a="1"/>
  <c r="S23" i="53" s="1"/>
  <c r="O15" i="53" a="1"/>
  <c r="O15" i="53" s="1"/>
  <c r="L60" i="53" a="1"/>
  <c r="L60" i="53" s="1"/>
  <c r="E17" i="53" a="1"/>
  <c r="E17" i="53" s="1"/>
  <c r="N12" i="53" a="1"/>
  <c r="N12" i="53" s="1"/>
  <c r="S25" i="53" a="1"/>
  <c r="S25" i="53" s="1"/>
  <c r="D53" i="53" a="1"/>
  <c r="D53" i="53" s="1"/>
  <c r="E13" i="53" a="1"/>
  <c r="E13" i="53" s="1"/>
  <c r="R28" i="53" a="1"/>
  <c r="R28" i="53" s="1"/>
  <c r="M23" i="53" a="1"/>
  <c r="M23" i="53" s="1"/>
  <c r="G13" i="53" a="1"/>
  <c r="G13" i="53" s="1"/>
  <c r="L51" i="53" a="1"/>
  <c r="L51" i="53" s="1"/>
  <c r="R26" i="53" a="1"/>
  <c r="R26" i="53" s="1"/>
  <c r="G59" i="53" a="1"/>
  <c r="G59" i="53" s="1"/>
  <c r="H28" i="53" a="1"/>
  <c r="H28" i="53" s="1"/>
  <c r="T27" i="53" a="1"/>
  <c r="T27" i="53" s="1"/>
  <c r="D28" i="53" a="1"/>
  <c r="D28" i="53" s="1"/>
  <c r="I14" i="53" a="1"/>
  <c r="I14" i="53" s="1"/>
  <c r="C62" i="53" a="1"/>
  <c r="C62" i="53" s="1"/>
  <c r="M52" i="53" a="1"/>
  <c r="M52" i="53" s="1"/>
  <c r="N52" i="53" a="1"/>
  <c r="N52" i="53" s="1"/>
  <c r="E27" i="53" a="1"/>
  <c r="E27" i="53" s="1"/>
  <c r="D15" i="59" a="1"/>
  <c r="D15" i="59" s="1"/>
  <c r="B42" i="59" a="1"/>
  <c r="B42" i="59" s="1"/>
  <c r="T15" i="59" a="1"/>
  <c r="T15" i="59" s="1"/>
  <c r="M13" i="59" a="1"/>
  <c r="M13" i="59" s="1"/>
  <c r="I23" i="59" a="1"/>
  <c r="I23" i="59" s="1"/>
  <c r="B25" i="59" a="1"/>
  <c r="B25" i="59" s="1"/>
  <c r="G32" i="59" a="1"/>
  <c r="G32" i="59" s="1"/>
  <c r="G33" i="59" a="1"/>
  <c r="G33" i="59" s="1"/>
  <c r="E34" i="59" a="1"/>
  <c r="E34" i="59" s="1"/>
  <c r="K43" i="59" a="1"/>
  <c r="K43" i="59" s="1"/>
  <c r="E22" i="59" a="1"/>
  <c r="E22" i="59" s="1"/>
  <c r="H22" i="59" a="1"/>
  <c r="H22" i="59" s="1"/>
  <c r="B40" i="59" a="1"/>
  <c r="B40" i="59" s="1"/>
  <c r="T14" i="59" a="1"/>
  <c r="T14" i="59" s="1"/>
  <c r="G25" i="59" a="1"/>
  <c r="G25" i="59" s="1"/>
  <c r="S13" i="59" a="1"/>
  <c r="S13" i="59" s="1"/>
  <c r="I34" i="59" a="1"/>
  <c r="I34" i="59" s="1"/>
  <c r="J31" i="59" a="1"/>
  <c r="J31" i="59" s="1"/>
  <c r="D40" i="59" a="1"/>
  <c r="D40" i="59" s="1"/>
  <c r="I31" i="59" a="1"/>
  <c r="I31" i="59" s="1"/>
  <c r="L25" i="59" a="1"/>
  <c r="L25" i="59" s="1"/>
  <c r="R15" i="59" a="1"/>
  <c r="R15" i="59" s="1"/>
  <c r="B41" i="59" a="1"/>
  <c r="B41" i="59" s="1"/>
  <c r="J13" i="59" a="1"/>
  <c r="J13" i="59" s="1"/>
  <c r="B16" i="59" a="1"/>
  <c r="B16" i="59" s="1"/>
  <c r="H16" i="59" a="1"/>
  <c r="H16" i="59" s="1"/>
  <c r="C24" i="59" a="1"/>
  <c r="C24" i="59" s="1"/>
  <c r="R14" i="59" a="1"/>
  <c r="R14" i="59" s="1"/>
  <c r="L13" i="59" a="1"/>
  <c r="L13" i="59" s="1"/>
  <c r="O22" i="59" a="1"/>
  <c r="O22" i="59" s="1"/>
  <c r="O25" i="59" a="1"/>
  <c r="O25" i="59" s="1"/>
  <c r="E16" i="59" a="1"/>
  <c r="E16" i="59" s="1"/>
  <c r="S14" i="59" a="1"/>
  <c r="S14" i="59" s="1"/>
  <c r="M24" i="59" a="1"/>
  <c r="M24" i="59" s="1"/>
  <c r="M22" i="59" a="1"/>
  <c r="M22" i="59" s="1"/>
  <c r="G16" i="59" a="1"/>
  <c r="G16" i="59" s="1"/>
  <c r="K16" i="59" s="1"/>
  <c r="D49" i="59" a="1"/>
  <c r="D49" i="59" s="1"/>
  <c r="J24" i="59" a="1"/>
  <c r="J24" i="59" s="1"/>
  <c r="N22" i="59" a="1"/>
  <c r="N22" i="59" s="1"/>
  <c r="O13" i="59" a="1"/>
  <c r="O13" i="59" s="1"/>
  <c r="R13" i="59" a="1"/>
  <c r="R13" i="59" s="1"/>
  <c r="D23" i="59" a="1"/>
  <c r="D23" i="59" s="1"/>
  <c r="B49" i="59" a="1"/>
  <c r="B49" i="59" s="1"/>
  <c r="L24" i="59" a="1"/>
  <c r="L24" i="59" s="1"/>
  <c r="C15" i="59" a="1"/>
  <c r="C15" i="59" s="1"/>
  <c r="E15" i="59" a="1"/>
  <c r="E15" i="59" s="1"/>
  <c r="G15" i="59" a="1"/>
  <c r="G15" i="59" s="1"/>
  <c r="I13" i="59" a="1"/>
  <c r="I13" i="59" s="1"/>
  <c r="C49" i="59" a="1"/>
  <c r="C49" i="59" s="1"/>
  <c r="J16" i="59" a="1"/>
  <c r="J16" i="59" s="1"/>
  <c r="M16" i="59" a="1"/>
  <c r="M16" i="59" s="1"/>
  <c r="D25" i="59" a="1"/>
  <c r="D25" i="59" s="1"/>
  <c r="Q14" i="59" a="1"/>
  <c r="Q14" i="59" s="1"/>
  <c r="C23" i="59" a="1"/>
  <c r="C23" i="59" s="1"/>
  <c r="E23" i="59" a="1"/>
  <c r="E23" i="59" s="1"/>
  <c r="O16" i="59" a="1"/>
  <c r="O16" i="59" s="1"/>
  <c r="E24" i="59" a="1"/>
  <c r="E24" i="59" s="1"/>
  <c r="D16" i="59" a="1"/>
  <c r="D16" i="59" s="1"/>
  <c r="O24" i="59" a="1"/>
  <c r="O24" i="59" s="1"/>
  <c r="C25" i="59" a="1"/>
  <c r="C25" i="59" s="1"/>
  <c r="H23" i="59" a="1"/>
  <c r="H23" i="59" s="1"/>
  <c r="G24" i="59" a="1"/>
  <c r="G24" i="59" s="1"/>
  <c r="L22" i="59" a="1"/>
  <c r="L22" i="59" s="1"/>
  <c r="B50" i="59" a="1"/>
  <c r="B50" i="59" s="1"/>
  <c r="F50" i="59" s="1"/>
  <c r="D50" i="59" a="1"/>
  <c r="D50" i="59" s="1"/>
  <c r="E25" i="59" a="1"/>
  <c r="E25" i="59" s="1"/>
  <c r="L16" i="59" a="1"/>
  <c r="L16" i="59" s="1"/>
  <c r="B13" i="59" a="1"/>
  <c r="B13" i="59" s="1"/>
  <c r="S15" i="59" a="1"/>
  <c r="S15" i="59" s="1"/>
  <c r="I24" i="59" a="1"/>
  <c r="I24" i="59" s="1"/>
  <c r="C50" i="59" a="1"/>
  <c r="C50" i="59" s="1"/>
  <c r="C31" i="59" a="1"/>
  <c r="C31" i="59" s="1"/>
  <c r="B43" i="59" a="1"/>
  <c r="B43" i="59" s="1"/>
  <c r="N13" i="59" a="1"/>
  <c r="N13" i="59" s="1"/>
  <c r="M14" i="59" a="1"/>
  <c r="M14" i="59" s="1"/>
  <c r="B15" i="59" a="1"/>
  <c r="B15" i="59" s="1"/>
  <c r="G13" i="59" a="1"/>
  <c r="G13" i="59" s="1"/>
  <c r="I16" i="59" a="1"/>
  <c r="I16" i="59" s="1"/>
  <c r="I22" i="59" a="1"/>
  <c r="I22" i="59" s="1"/>
  <c r="B23" i="59" a="1"/>
  <c r="B23" i="59" s="1"/>
  <c r="H13" i="59" a="1"/>
  <c r="H13" i="59" s="1"/>
  <c r="H17" i="59" s="1"/>
  <c r="N24" i="59" a="1"/>
  <c r="N24" i="59" s="1"/>
  <c r="C13" i="59" a="1"/>
  <c r="C13" i="59" s="1"/>
  <c r="O14" i="59" a="1"/>
  <c r="O14" i="59" s="1"/>
  <c r="D13" i="59" a="1"/>
  <c r="D13" i="59" s="1"/>
  <c r="E49" i="59" a="1"/>
  <c r="E49" i="59" s="1"/>
  <c r="E51" i="59" s="1"/>
  <c r="C16" i="59" a="1"/>
  <c r="C16" i="59" s="1"/>
  <c r="D24" i="59" a="1"/>
  <c r="D24" i="59" s="1"/>
  <c r="Q13" i="59" a="1"/>
  <c r="Q13" i="59" s="1"/>
  <c r="J22" i="59" a="1"/>
  <c r="J22" i="59" s="1"/>
  <c r="L14" i="59" a="1"/>
  <c r="L14" i="59" s="1"/>
  <c r="E13" i="59" a="1"/>
  <c r="E13" i="59" s="1"/>
  <c r="J14" i="59" a="1"/>
  <c r="J14" i="59" s="1"/>
  <c r="H24" i="59" a="1"/>
  <c r="H24" i="59" s="1"/>
  <c r="G22" i="59" a="1"/>
  <c r="G22" i="59" s="1"/>
  <c r="N14" i="59" a="1"/>
  <c r="N14" i="59" s="1"/>
  <c r="B14" i="59" a="1"/>
  <c r="B14" i="59" s="1"/>
  <c r="L42" i="59" a="1"/>
  <c r="L42" i="59" s="1"/>
  <c r="I43" i="59" a="1"/>
  <c r="I43" i="59" s="1"/>
  <c r="J42" i="59" a="1"/>
  <c r="J42" i="59" s="1"/>
  <c r="O40" i="59" a="1"/>
  <c r="O40" i="59" s="1"/>
  <c r="T16" i="59" a="1"/>
  <c r="T16" i="59" s="1"/>
  <c r="T13" i="59" a="1"/>
  <c r="T13" i="59" s="1"/>
  <c r="M25" i="59" a="1"/>
  <c r="M25" i="59" s="1"/>
  <c r="F41" i="59" a="1"/>
  <c r="F41" i="59" s="1"/>
  <c r="H34" i="59" a="1"/>
  <c r="H34" i="59" s="1"/>
  <c r="K34" i="59" a="1"/>
  <c r="K34" i="59" s="1"/>
  <c r="I15" i="59" a="1"/>
  <c r="I15" i="59" s="1"/>
  <c r="I40" i="59" a="1"/>
  <c r="I40" i="59" s="1"/>
  <c r="G34" i="59" a="1"/>
  <c r="G34" i="59" s="1"/>
  <c r="N41" i="59" a="1"/>
  <c r="N41" i="59" s="1"/>
  <c r="H43" i="59" a="1"/>
  <c r="H43" i="59" s="1"/>
  <c r="D14" i="59" a="1"/>
  <c r="D14" i="59" s="1"/>
  <c r="F40" i="59" a="1"/>
  <c r="F40" i="59" s="1"/>
  <c r="L15" i="59" a="1"/>
  <c r="L15" i="59" s="1"/>
  <c r="E32" i="59" a="1"/>
  <c r="E32" i="59" s="1"/>
  <c r="F32" i="59" a="1"/>
  <c r="F32" i="59" s="1"/>
  <c r="E43" i="59" a="1"/>
  <c r="E43" i="59" s="1"/>
  <c r="N16" i="59" a="1"/>
  <c r="N16" i="59" s="1"/>
  <c r="S16" i="59" a="1"/>
  <c r="S16" i="59" s="1"/>
  <c r="D34" i="59" a="1"/>
  <c r="D34" i="59" s="1"/>
  <c r="O42" i="59" a="1"/>
  <c r="O42" i="59" s="1"/>
  <c r="E50" i="59" a="1"/>
  <c r="E50" i="59" s="1"/>
  <c r="L23" i="59" a="1"/>
  <c r="L23" i="59" s="1"/>
  <c r="E41" i="59" a="1"/>
  <c r="E41" i="59" s="1"/>
  <c r="J33" i="59" a="1"/>
  <c r="J33" i="59" s="1"/>
  <c r="L41" i="59" a="1"/>
  <c r="L41" i="59" s="1"/>
  <c r="K40" i="59" a="1"/>
  <c r="K40" i="59" s="1"/>
  <c r="H15" i="59" a="1"/>
  <c r="H15" i="59" s="1"/>
  <c r="I25" i="59" a="1"/>
  <c r="I25" i="59" s="1"/>
  <c r="L40" i="59" a="1"/>
  <c r="L40" i="59" s="1"/>
  <c r="Q16" i="59" a="1"/>
  <c r="Q16" i="59" s="1"/>
  <c r="H32" i="59" a="1"/>
  <c r="H32" i="59" s="1"/>
  <c r="D42" i="59" a="1"/>
  <c r="D42" i="59" s="1"/>
  <c r="H40" i="59" a="1"/>
  <c r="H40" i="59" s="1"/>
  <c r="I41" i="59" a="1"/>
  <c r="I41" i="59" s="1"/>
  <c r="C14" i="59" a="1"/>
  <c r="C14" i="59" s="1"/>
  <c r="J34" i="59" a="1"/>
  <c r="J34" i="59" s="1"/>
  <c r="M43" i="59" a="1"/>
  <c r="M43" i="59" s="1"/>
  <c r="D43" i="59" a="1"/>
  <c r="D43" i="59" s="1"/>
  <c r="I32" i="59" a="1"/>
  <c r="I32" i="59" s="1"/>
  <c r="J15" i="59" a="1"/>
  <c r="J15" i="59" s="1"/>
  <c r="J32" i="59" a="1"/>
  <c r="J32" i="59" s="1"/>
  <c r="D22" i="59" a="1"/>
  <c r="D22" i="59" s="1"/>
  <c r="E31" i="59" a="1"/>
  <c r="E31" i="59" s="1"/>
  <c r="R16" i="59" a="1"/>
  <c r="R16" i="59" s="1"/>
  <c r="G14" i="59" a="1"/>
  <c r="G14" i="59" s="1"/>
  <c r="H41" i="59" a="1"/>
  <c r="H41" i="59" s="1"/>
  <c r="E42" i="59" a="1"/>
  <c r="E42" i="59" s="1"/>
  <c r="I14" i="59" a="1"/>
  <c r="I14" i="59" s="1"/>
  <c r="J23" i="59" a="1"/>
  <c r="J23" i="59" s="1"/>
  <c r="N15" i="59" a="1"/>
  <c r="N15" i="59" s="1"/>
  <c r="C43" i="59" a="1"/>
  <c r="C43" i="59" s="1"/>
  <c r="N43" i="59" a="1"/>
  <c r="N43" i="59" s="1"/>
  <c r="E33" i="59" a="1"/>
  <c r="E33" i="59" s="1"/>
  <c r="H25" i="59" a="1"/>
  <c r="H25" i="59" s="1"/>
  <c r="B22" i="59" a="1"/>
  <c r="B22" i="59" s="1"/>
  <c r="K32" i="59" a="1"/>
  <c r="K32" i="59" s="1"/>
  <c r="L33" i="59" a="1"/>
  <c r="L33" i="59" s="1"/>
  <c r="B24" i="59" a="1"/>
  <c r="B24" i="59" s="1"/>
  <c r="M15" i="59" a="1"/>
  <c r="M15" i="59" s="1"/>
  <c r="N23" i="59" a="1"/>
  <c r="N23" i="59" s="1"/>
  <c r="D31" i="59" a="1"/>
  <c r="D31" i="59" s="1"/>
  <c r="O41" i="59" a="1"/>
  <c r="O41" i="59" s="1"/>
  <c r="J41" i="59" a="1"/>
  <c r="J41" i="59" s="1"/>
  <c r="F42" i="59" a="1"/>
  <c r="F42" i="59" s="1"/>
  <c r="C33" i="59" a="1"/>
  <c r="C33" i="59" s="1"/>
  <c r="H33" i="59" a="1"/>
  <c r="H33" i="59" s="1"/>
  <c r="M40" i="59" a="1"/>
  <c r="M40" i="59" s="1"/>
  <c r="M44" i="59" s="1"/>
  <c r="M23" i="59" a="1"/>
  <c r="M23" i="59" s="1"/>
  <c r="C42" i="59" a="1"/>
  <c r="C42" i="59" s="1"/>
  <c r="K33" i="59" a="1"/>
  <c r="K33" i="59" s="1"/>
  <c r="G43" i="59" a="1"/>
  <c r="G43" i="59" s="1"/>
  <c r="F33" i="59" a="1"/>
  <c r="F33" i="59" s="1"/>
  <c r="F31" i="59" a="1"/>
  <c r="F31" i="59" s="1"/>
  <c r="H42" i="59" a="1"/>
  <c r="H42" i="59" s="1"/>
  <c r="J43" i="59" a="1"/>
  <c r="J43" i="59" s="1"/>
  <c r="J25" i="59" a="1"/>
  <c r="J25" i="59" s="1"/>
  <c r="F34" i="59" a="1"/>
  <c r="F34" i="59" s="1"/>
  <c r="L31" i="59" a="1"/>
  <c r="L31" i="59" s="1"/>
  <c r="L43" i="59" a="1"/>
  <c r="L43" i="59" s="1"/>
  <c r="L32" i="59" a="1"/>
  <c r="L32" i="59" s="1"/>
  <c r="E14" i="59" a="1"/>
  <c r="E14" i="59" s="1"/>
  <c r="G40" i="59" a="1"/>
  <c r="G40" i="59" s="1"/>
  <c r="I33" i="59" a="1"/>
  <c r="I33" i="59" s="1"/>
  <c r="H31" i="59" a="1"/>
  <c r="H31" i="59" s="1"/>
  <c r="H14" i="59" a="1"/>
  <c r="H14" i="59" s="1"/>
  <c r="C32" i="59" a="1"/>
  <c r="C32" i="59" s="1"/>
  <c r="E40" i="59" a="1"/>
  <c r="E40" i="59" s="1"/>
  <c r="K41" i="59" a="1"/>
  <c r="K41" i="59" s="1"/>
  <c r="I42" i="59" a="1"/>
  <c r="I42" i="59" s="1"/>
  <c r="C41" i="59" a="1"/>
  <c r="C41" i="59" s="1"/>
  <c r="O15" i="59" a="1"/>
  <c r="O15" i="59" s="1"/>
  <c r="K42" i="59" a="1"/>
  <c r="K42" i="59" s="1"/>
  <c r="N40" i="59" a="1"/>
  <c r="N40" i="59" s="1"/>
  <c r="G41" i="59" a="1"/>
  <c r="G41" i="59" s="1"/>
  <c r="Q15" i="59" a="1"/>
  <c r="Q15" i="59" s="1"/>
  <c r="N25" i="59" a="1"/>
  <c r="N25" i="59" s="1"/>
  <c r="F43" i="59" a="1"/>
  <c r="F43" i="59" s="1"/>
  <c r="C34" i="59" a="1"/>
  <c r="C34" i="59" s="1"/>
  <c r="O43" i="59" a="1"/>
  <c r="O43" i="59" s="1"/>
  <c r="C22" i="59" a="1"/>
  <c r="C22" i="59" s="1"/>
  <c r="D41" i="59" a="1"/>
  <c r="D41" i="59" s="1"/>
  <c r="D32" i="59" a="1"/>
  <c r="D32" i="59" s="1"/>
  <c r="M41" i="59" a="1"/>
  <c r="M41" i="59" s="1"/>
  <c r="M42" i="59" a="1"/>
  <c r="M42" i="59" s="1"/>
  <c r="L34" i="59" a="1"/>
  <c r="L34" i="59" s="1"/>
  <c r="G23" i="59" a="1"/>
  <c r="G23" i="59" s="1"/>
  <c r="D33" i="59" a="1"/>
  <c r="D33" i="59" s="1"/>
  <c r="C40" i="59" a="1"/>
  <c r="C40" i="59" s="1"/>
  <c r="K31" i="59" a="1"/>
  <c r="K31" i="59" s="1"/>
  <c r="O23" i="59" a="1"/>
  <c r="O23" i="59" s="1"/>
  <c r="G31" i="59" a="1"/>
  <c r="G31" i="59" s="1"/>
  <c r="G35" i="59" s="1"/>
  <c r="G42" i="59" a="1"/>
  <c r="G42" i="59" s="1"/>
  <c r="N42" i="59" a="1"/>
  <c r="N42" i="59" s="1"/>
  <c r="J40" i="59" a="1"/>
  <c r="J40" i="59" s="1"/>
  <c r="O37" i="42"/>
  <c r="N37" i="42"/>
  <c r="M37" i="42"/>
  <c r="K37" i="42"/>
  <c r="J37" i="42"/>
  <c r="I37" i="42"/>
  <c r="G37" i="42"/>
  <c r="F37" i="42"/>
  <c r="E37" i="42"/>
  <c r="D37" i="42"/>
  <c r="C37" i="42"/>
  <c r="L36" i="42"/>
  <c r="B36" i="42"/>
  <c r="L35" i="42"/>
  <c r="B35" i="42"/>
  <c r="L34" i="42"/>
  <c r="B34" i="42"/>
  <c r="L29" i="42"/>
  <c r="K29" i="42"/>
  <c r="J29" i="42"/>
  <c r="I29" i="42"/>
  <c r="G29" i="42"/>
  <c r="F29" i="42"/>
  <c r="E29" i="42"/>
  <c r="D29" i="42"/>
  <c r="C29" i="42"/>
  <c r="B28" i="42"/>
  <c r="B27" i="42"/>
  <c r="B26" i="42"/>
  <c r="F26" i="41"/>
  <c r="O71" i="42"/>
  <c r="N71" i="42"/>
  <c r="M71" i="42"/>
  <c r="K71" i="42"/>
  <c r="J71" i="42"/>
  <c r="I71" i="42"/>
  <c r="G71" i="42"/>
  <c r="F71" i="42"/>
  <c r="E71" i="42"/>
  <c r="D71" i="42"/>
  <c r="C71" i="42"/>
  <c r="L70" i="42"/>
  <c r="B70" i="42"/>
  <c r="L69" i="42"/>
  <c r="B69" i="42"/>
  <c r="L68" i="42"/>
  <c r="B68" i="42"/>
  <c r="L63" i="42"/>
  <c r="K63" i="42"/>
  <c r="J63" i="42"/>
  <c r="I63" i="42"/>
  <c r="G63" i="42"/>
  <c r="F63" i="42"/>
  <c r="E63" i="42"/>
  <c r="D63" i="42"/>
  <c r="C63" i="42"/>
  <c r="B62" i="42"/>
  <c r="B61" i="42"/>
  <c r="B60" i="42"/>
  <c r="L42" i="41"/>
  <c r="B42" i="41"/>
  <c r="B41" i="41"/>
  <c r="B43" i="41"/>
  <c r="M44" i="41"/>
  <c r="N44" i="41"/>
  <c r="O44" i="41"/>
  <c r="K44" i="41"/>
  <c r="J44" i="41"/>
  <c r="I44" i="41"/>
  <c r="G44" i="41"/>
  <c r="F44" i="41"/>
  <c r="E44" i="41"/>
  <c r="D44" i="41"/>
  <c r="C44" i="41"/>
  <c r="D35" i="41"/>
  <c r="E35" i="41"/>
  <c r="F35" i="41"/>
  <c r="G35" i="41"/>
  <c r="I35" i="41"/>
  <c r="J35" i="41"/>
  <c r="K35" i="41"/>
  <c r="L35" i="41"/>
  <c r="C35" i="41"/>
  <c r="B32" i="41"/>
  <c r="L43" i="41"/>
  <c r="L41" i="41"/>
  <c r="L40" i="41"/>
  <c r="B40" i="41"/>
  <c r="B34" i="41"/>
  <c r="B33" i="41"/>
  <c r="B31" i="41"/>
  <c r="M17" i="59" l="1"/>
  <c r="R23" i="56"/>
  <c r="K23" i="59"/>
  <c r="B36" i="53"/>
  <c r="U13" i="53"/>
  <c r="S24" i="55"/>
  <c r="I22" i="60"/>
  <c r="K46" i="56"/>
  <c r="N46" i="56"/>
  <c r="L66" i="53"/>
  <c r="Q18" i="53"/>
  <c r="F15" i="53"/>
  <c r="E26" i="56"/>
  <c r="F12" i="56"/>
  <c r="K25" i="56"/>
  <c r="H56" i="55"/>
  <c r="Y16" i="56"/>
  <c r="P14" i="60"/>
  <c r="N22" i="60"/>
  <c r="L36" i="56"/>
  <c r="M16" i="55"/>
  <c r="E18" i="53"/>
  <c r="T30" i="53" s="1"/>
  <c r="R56" i="56"/>
  <c r="K24" i="56"/>
  <c r="R16" i="55"/>
  <c r="N16" i="55"/>
  <c r="R20" i="60"/>
  <c r="F71" i="60"/>
  <c r="D51" i="59"/>
  <c r="K25" i="59"/>
  <c r="O30" i="53"/>
  <c r="P17" i="53"/>
  <c r="J54" i="53"/>
  <c r="K17" i="53"/>
  <c r="E54" i="53"/>
  <c r="I46" i="56"/>
  <c r="F36" i="56"/>
  <c r="F23" i="59"/>
  <c r="G66" i="53"/>
  <c r="P56" i="56"/>
  <c r="I26" i="56"/>
  <c r="R22" i="56"/>
  <c r="K35" i="59"/>
  <c r="B35" i="56"/>
  <c r="I16" i="55"/>
  <c r="B21" i="57"/>
  <c r="F15" i="56"/>
  <c r="B34" i="56"/>
  <c r="N16" i="56"/>
  <c r="F23" i="56"/>
  <c r="E22" i="60"/>
  <c r="K13" i="60"/>
  <c r="I46" i="55"/>
  <c r="B39" i="53"/>
  <c r="F22" i="55"/>
  <c r="F46" i="55"/>
  <c r="H56" i="60"/>
  <c r="M54" i="53"/>
  <c r="B31" i="59"/>
  <c r="C35" i="59"/>
  <c r="F25" i="59"/>
  <c r="D18" i="53"/>
  <c r="U12" i="53"/>
  <c r="F19" i="51"/>
  <c r="N56" i="56"/>
  <c r="B56" i="56"/>
  <c r="U15" i="56"/>
  <c r="C36" i="56"/>
  <c r="B31" i="56"/>
  <c r="S24" i="56"/>
  <c r="H26" i="56"/>
  <c r="J56" i="55"/>
  <c r="F15" i="55"/>
  <c r="Q25" i="55"/>
  <c r="P13" i="55"/>
  <c r="L26" i="55"/>
  <c r="P21" i="55"/>
  <c r="D36" i="55"/>
  <c r="T22" i="55"/>
  <c r="U11" i="55"/>
  <c r="Q16" i="55"/>
  <c r="F37" i="60"/>
  <c r="J29" i="60"/>
  <c r="F29" i="60"/>
  <c r="F55" i="60"/>
  <c r="G17" i="59"/>
  <c r="K14" i="59"/>
  <c r="R23" i="59"/>
  <c r="P15" i="59"/>
  <c r="C51" i="59"/>
  <c r="H18" i="53"/>
  <c r="K11" i="57"/>
  <c r="C19" i="51"/>
  <c r="J56" i="56"/>
  <c r="G36" i="56"/>
  <c r="T25" i="56"/>
  <c r="M36" i="56"/>
  <c r="L46" i="56"/>
  <c r="P25" i="56"/>
  <c r="R24" i="55"/>
  <c r="Q22" i="55"/>
  <c r="F12" i="55"/>
  <c r="M26" i="55"/>
  <c r="E36" i="55"/>
  <c r="Q19" i="60"/>
  <c r="F19" i="60"/>
  <c r="B22" i="60"/>
  <c r="M22" i="60"/>
  <c r="K47" i="60"/>
  <c r="U14" i="60"/>
  <c r="U46" i="60"/>
  <c r="Q49" i="60"/>
  <c r="S21" i="60"/>
  <c r="O54" i="53"/>
  <c r="R22" i="59"/>
  <c r="C26" i="59"/>
  <c r="F44" i="59"/>
  <c r="T22" i="59"/>
  <c r="I17" i="59"/>
  <c r="C54" i="53"/>
  <c r="N54" i="53"/>
  <c r="P15" i="53"/>
  <c r="F13" i="53"/>
  <c r="Q16" i="57"/>
  <c r="H37" i="39" s="1"/>
  <c r="J37" i="39" s="1"/>
  <c r="K37" i="39" s="1"/>
  <c r="F11" i="57"/>
  <c r="S16" i="57"/>
  <c r="U12" i="56"/>
  <c r="G56" i="56"/>
  <c r="U11" i="56"/>
  <c r="Q16" i="56"/>
  <c r="O56" i="56"/>
  <c r="O16" i="56"/>
  <c r="C16" i="55"/>
  <c r="R21" i="55"/>
  <c r="K24" i="55"/>
  <c r="L22" i="60"/>
  <c r="P20" i="60"/>
  <c r="T21" i="60"/>
  <c r="K37" i="60"/>
  <c r="P48" i="60"/>
  <c r="K20" i="60"/>
  <c r="O26" i="59"/>
  <c r="P13" i="59"/>
  <c r="L17" i="59"/>
  <c r="F24" i="59"/>
  <c r="L35" i="59"/>
  <c r="Q22" i="59"/>
  <c r="F22" i="59"/>
  <c r="B26" i="59"/>
  <c r="H44" i="59"/>
  <c r="D17" i="59"/>
  <c r="S23" i="59"/>
  <c r="P14" i="59"/>
  <c r="K15" i="59"/>
  <c r="F16" i="59"/>
  <c r="Q25" i="59"/>
  <c r="I66" i="53"/>
  <c r="E66" i="53"/>
  <c r="P13" i="53"/>
  <c r="K14" i="53"/>
  <c r="I18" i="53"/>
  <c r="K16" i="53"/>
  <c r="B38" i="53"/>
  <c r="N30" i="53"/>
  <c r="F16" i="53"/>
  <c r="N26" i="56"/>
  <c r="P24" i="56"/>
  <c r="M16" i="56"/>
  <c r="H36" i="56"/>
  <c r="C56" i="55"/>
  <c r="M36" i="55"/>
  <c r="J16" i="55"/>
  <c r="U13" i="55"/>
  <c r="Q55" i="60"/>
  <c r="U48" i="60"/>
  <c r="F21" i="60"/>
  <c r="K48" i="60"/>
  <c r="F20" i="60"/>
  <c r="J22" i="60"/>
  <c r="E17" i="59"/>
  <c r="T23" i="59"/>
  <c r="L42" i="53"/>
  <c r="J26" i="59"/>
  <c r="B17" i="59"/>
  <c r="F13" i="59"/>
  <c r="J17" i="59"/>
  <c r="B66" i="53"/>
  <c r="U15" i="53"/>
  <c r="J18" i="53"/>
  <c r="L30" i="53"/>
  <c r="O18" i="53"/>
  <c r="B19" i="51"/>
  <c r="D19" i="51"/>
  <c r="S16" i="56"/>
  <c r="B32" i="56"/>
  <c r="Q24" i="56"/>
  <c r="K14" i="56"/>
  <c r="L16" i="55"/>
  <c r="P11" i="55"/>
  <c r="K23" i="55"/>
  <c r="G56" i="55"/>
  <c r="K11" i="55"/>
  <c r="G16" i="55"/>
  <c r="O56" i="55"/>
  <c r="T16" i="55"/>
  <c r="E37" i="60"/>
  <c r="L29" i="60"/>
  <c r="D29" i="60"/>
  <c r="K53" i="60"/>
  <c r="G56" i="60"/>
  <c r="G15" i="60"/>
  <c r="K12" i="60"/>
  <c r="L26" i="59"/>
  <c r="P23" i="59"/>
  <c r="K22" i="59"/>
  <c r="G26" i="59"/>
  <c r="B34" i="59"/>
  <c r="P16" i="59"/>
  <c r="R24" i="59"/>
  <c r="S24" i="59"/>
  <c r="N66" i="53"/>
  <c r="G42" i="53"/>
  <c r="H30" i="53"/>
  <c r="P16" i="57"/>
  <c r="S22" i="56"/>
  <c r="D56" i="56"/>
  <c r="L26" i="56"/>
  <c r="P21" i="56"/>
  <c r="H16" i="55"/>
  <c r="B26" i="55"/>
  <c r="F21" i="55"/>
  <c r="I26" i="55"/>
  <c r="L56" i="55"/>
  <c r="E49" i="60"/>
  <c r="T53" i="60"/>
  <c r="H63" i="60"/>
  <c r="T55" i="60"/>
  <c r="P21" i="60"/>
  <c r="K55" i="60"/>
  <c r="N15" i="60"/>
  <c r="P54" i="60"/>
  <c r="U11" i="57"/>
  <c r="Q22" i="56"/>
  <c r="K12" i="56"/>
  <c r="B56" i="55"/>
  <c r="K15" i="55"/>
  <c r="S21" i="55"/>
  <c r="D16" i="55"/>
  <c r="J26" i="55"/>
  <c r="L37" i="60"/>
  <c r="P53" i="60"/>
  <c r="L56" i="60"/>
  <c r="T54" i="60"/>
  <c r="Q17" i="59"/>
  <c r="U15" i="59"/>
  <c r="F35" i="59"/>
  <c r="L44" i="59"/>
  <c r="I44" i="59"/>
  <c r="R25" i="59"/>
  <c r="F49" i="59"/>
  <c r="B51" i="59"/>
  <c r="P25" i="59"/>
  <c r="B30" i="53"/>
  <c r="F17" i="53"/>
  <c r="F11" i="53"/>
  <c r="B18" i="53"/>
  <c r="U16" i="53"/>
  <c r="T24" i="56"/>
  <c r="C26" i="56"/>
  <c r="J16" i="56"/>
  <c r="T21" i="56"/>
  <c r="M46" i="56"/>
  <c r="F14" i="56"/>
  <c r="B16" i="55"/>
  <c r="F11" i="55"/>
  <c r="Q21" i="55"/>
  <c r="H29" i="60"/>
  <c r="K19" i="60"/>
  <c r="G22" i="60"/>
  <c r="R15" i="60"/>
  <c r="J49" i="60"/>
  <c r="D56" i="60"/>
  <c r="G63" i="60"/>
  <c r="R54" i="60"/>
  <c r="P24" i="59"/>
  <c r="F51" i="59"/>
  <c r="I35" i="59"/>
  <c r="Q66" i="53"/>
  <c r="F54" i="53"/>
  <c r="P14" i="53"/>
  <c r="F12" i="53"/>
  <c r="N18" i="53"/>
  <c r="E19" i="51"/>
  <c r="P15" i="56"/>
  <c r="F22" i="56"/>
  <c r="P12" i="56"/>
  <c r="K56" i="56"/>
  <c r="O26" i="56"/>
  <c r="D36" i="56"/>
  <c r="F56" i="56"/>
  <c r="R23" i="55"/>
  <c r="B46" i="55"/>
  <c r="R56" i="55"/>
  <c r="D26" i="55"/>
  <c r="F14" i="55"/>
  <c r="Q24" i="55"/>
  <c r="F36" i="55"/>
  <c r="C26" i="55"/>
  <c r="C63" i="60"/>
  <c r="B62" i="60"/>
  <c r="B63" i="60" s="1"/>
  <c r="L15" i="60"/>
  <c r="P13" i="60"/>
  <c r="P15" i="60" s="1"/>
  <c r="I37" i="60"/>
  <c r="H22" i="60"/>
  <c r="P12" i="60"/>
  <c r="T49" i="60"/>
  <c r="U16" i="59"/>
  <c r="P66" i="53"/>
  <c r="N44" i="59"/>
  <c r="S22" i="59"/>
  <c r="P22" i="59"/>
  <c r="R17" i="59"/>
  <c r="D44" i="59"/>
  <c r="L54" i="53"/>
  <c r="C18" i="53"/>
  <c r="R18" i="53"/>
  <c r="U14" i="53"/>
  <c r="E30" i="53"/>
  <c r="P12" i="53"/>
  <c r="F16" i="57"/>
  <c r="S23" i="56"/>
  <c r="E16" i="56"/>
  <c r="S21" i="56"/>
  <c r="I16" i="56"/>
  <c r="U15" i="55"/>
  <c r="N56" i="55"/>
  <c r="I56" i="55"/>
  <c r="B56" i="60"/>
  <c r="F53" i="60"/>
  <c r="U13" i="60"/>
  <c r="S54" i="60"/>
  <c r="U12" i="60"/>
  <c r="Q15" i="60"/>
  <c r="H42" i="53"/>
  <c r="J44" i="59"/>
  <c r="K44" i="59"/>
  <c r="K24" i="59"/>
  <c r="O17" i="59"/>
  <c r="J35" i="59"/>
  <c r="K12" i="53"/>
  <c r="G30" i="53"/>
  <c r="P11" i="53"/>
  <c r="L18" i="53"/>
  <c r="G54" i="53"/>
  <c r="F46" i="56"/>
  <c r="B33" i="56"/>
  <c r="O46" i="56"/>
  <c r="C46" i="56"/>
  <c r="T16" i="56"/>
  <c r="K22" i="56"/>
  <c r="H46" i="56"/>
  <c r="W16" i="56"/>
  <c r="C46" i="55"/>
  <c r="U12" i="55"/>
  <c r="G46" i="55"/>
  <c r="F25" i="55"/>
  <c r="P23" i="55"/>
  <c r="C22" i="60"/>
  <c r="N37" i="60"/>
  <c r="K29" i="60"/>
  <c r="F47" i="60"/>
  <c r="Q54" i="60"/>
  <c r="U54" i="60" s="1"/>
  <c r="S49" i="60"/>
  <c r="L71" i="60"/>
  <c r="F14" i="53"/>
  <c r="T24" i="59"/>
  <c r="C17" i="59"/>
  <c r="N26" i="59"/>
  <c r="O66" i="53"/>
  <c r="D46" i="56"/>
  <c r="Q56" i="56"/>
  <c r="U14" i="56"/>
  <c r="R16" i="56"/>
  <c r="M56" i="56"/>
  <c r="M56" i="55"/>
  <c r="P15" i="55"/>
  <c r="K14" i="55"/>
  <c r="B35" i="55"/>
  <c r="J46" i="55"/>
  <c r="R22" i="55"/>
  <c r="P22" i="55"/>
  <c r="R49" i="60"/>
  <c r="H37" i="60"/>
  <c r="K54" i="60"/>
  <c r="K56" i="60" s="1"/>
  <c r="R21" i="60"/>
  <c r="E42" i="53"/>
  <c r="C56" i="56"/>
  <c r="T22" i="56"/>
  <c r="O16" i="55"/>
  <c r="D15" i="60"/>
  <c r="S22" i="60" s="1"/>
  <c r="S19" i="60"/>
  <c r="M49" i="60"/>
  <c r="M15" i="60"/>
  <c r="K21" i="56"/>
  <c r="G26" i="56"/>
  <c r="I36" i="56"/>
  <c r="P12" i="55"/>
  <c r="N46" i="55"/>
  <c r="T21" i="55"/>
  <c r="E16" i="55"/>
  <c r="E15" i="60"/>
  <c r="T19" i="60"/>
  <c r="P55" i="60"/>
  <c r="U47" i="60"/>
  <c r="U13" i="59"/>
  <c r="S17" i="59"/>
  <c r="K42" i="53"/>
  <c r="R16" i="57"/>
  <c r="H38" i="39" s="1"/>
  <c r="J38" i="39" s="1"/>
  <c r="K38" i="39" s="1"/>
  <c r="C16" i="56"/>
  <c r="K15" i="56"/>
  <c r="Q25" i="56"/>
  <c r="D26" i="56"/>
  <c r="K13" i="56"/>
  <c r="Q23" i="56"/>
  <c r="Q21" i="56"/>
  <c r="K11" i="56"/>
  <c r="G16" i="56"/>
  <c r="T25" i="55"/>
  <c r="S53" i="60"/>
  <c r="D49" i="60"/>
  <c r="F14" i="60"/>
  <c r="Q21" i="60"/>
  <c r="S25" i="59"/>
  <c r="D66" i="53"/>
  <c r="E44" i="59"/>
  <c r="B33" i="59"/>
  <c r="E35" i="59"/>
  <c r="O44" i="59"/>
  <c r="I26" i="59"/>
  <c r="M26" i="59"/>
  <c r="B44" i="59"/>
  <c r="C30" i="53"/>
  <c r="C66" i="53"/>
  <c r="P16" i="53"/>
  <c r="I42" i="53"/>
  <c r="R24" i="56"/>
  <c r="P24" i="55"/>
  <c r="K22" i="55"/>
  <c r="B32" i="55"/>
  <c r="K13" i="55"/>
  <c r="B49" i="60"/>
  <c r="F46" i="60"/>
  <c r="Q53" i="60"/>
  <c r="I29" i="60"/>
  <c r="R55" i="60"/>
  <c r="F13" i="60"/>
  <c r="Q20" i="60"/>
  <c r="S55" i="60"/>
  <c r="D54" i="53"/>
  <c r="C44" i="59"/>
  <c r="B32" i="59"/>
  <c r="D26" i="59"/>
  <c r="H26" i="59"/>
  <c r="H66" i="53"/>
  <c r="M66" i="53"/>
  <c r="K15" i="53"/>
  <c r="U17" i="53"/>
  <c r="J66" i="53"/>
  <c r="I54" i="53"/>
  <c r="P11" i="57"/>
  <c r="L16" i="56"/>
  <c r="P11" i="56"/>
  <c r="Z13" i="56"/>
  <c r="M26" i="56"/>
  <c r="T23" i="56"/>
  <c r="K46" i="55"/>
  <c r="N26" i="55"/>
  <c r="K25" i="55"/>
  <c r="J36" i="55"/>
  <c r="P14" i="55"/>
  <c r="U14" i="55"/>
  <c r="G49" i="60"/>
  <c r="K46" i="60"/>
  <c r="K49" i="60" s="1"/>
  <c r="J15" i="60"/>
  <c r="P46" i="60"/>
  <c r="B28" i="60"/>
  <c r="E56" i="60"/>
  <c r="F48" i="60"/>
  <c r="B37" i="60"/>
  <c r="K13" i="59"/>
  <c r="K17" i="59" s="1"/>
  <c r="E26" i="59"/>
  <c r="K13" i="53"/>
  <c r="F66" i="53"/>
  <c r="B41" i="53"/>
  <c r="V16" i="56"/>
  <c r="Z11" i="56"/>
  <c r="E56" i="56"/>
  <c r="B46" i="56"/>
  <c r="P14" i="56"/>
  <c r="P23" i="56"/>
  <c r="D46" i="55"/>
  <c r="D56" i="55"/>
  <c r="Q56" i="55"/>
  <c r="S16" i="55"/>
  <c r="F23" i="55"/>
  <c r="K12" i="55"/>
  <c r="G29" i="60"/>
  <c r="C29" i="60"/>
  <c r="B26" i="60"/>
  <c r="P19" i="60"/>
  <c r="P22" i="60" s="1"/>
  <c r="B27" i="60"/>
  <c r="K54" i="53"/>
  <c r="T17" i="59"/>
  <c r="H35" i="59"/>
  <c r="F15" i="59"/>
  <c r="Q24" i="59"/>
  <c r="T25" i="59"/>
  <c r="M30" i="53"/>
  <c r="F42" i="53"/>
  <c r="S18" i="53"/>
  <c r="K16" i="57"/>
  <c r="X16" i="56"/>
  <c r="Z12" i="56"/>
  <c r="B26" i="56"/>
  <c r="F21" i="56"/>
  <c r="P22" i="56"/>
  <c r="F56" i="55"/>
  <c r="G36" i="55"/>
  <c r="I36" i="55"/>
  <c r="S22" i="55"/>
  <c r="Q23" i="55"/>
  <c r="F13" i="55"/>
  <c r="L46" i="55"/>
  <c r="O46" i="55"/>
  <c r="M56" i="60"/>
  <c r="B15" i="60"/>
  <c r="F12" i="60"/>
  <c r="T15" i="60"/>
  <c r="I49" i="60"/>
  <c r="I30" i="53"/>
  <c r="D35" i="59"/>
  <c r="Q23" i="59"/>
  <c r="F14" i="59"/>
  <c r="U14" i="59"/>
  <c r="B35" i="53"/>
  <c r="B42" i="53" s="1"/>
  <c r="C42" i="53"/>
  <c r="H54" i="53"/>
  <c r="T16" i="57"/>
  <c r="F24" i="56"/>
  <c r="F13" i="56"/>
  <c r="M46" i="55"/>
  <c r="G26" i="55"/>
  <c r="K21" i="55"/>
  <c r="C49" i="60"/>
  <c r="R53" i="60"/>
  <c r="R56" i="60" s="1"/>
  <c r="D37" i="60"/>
  <c r="K14" i="60"/>
  <c r="T20" i="60"/>
  <c r="C15" i="60"/>
  <c r="R19" i="60"/>
  <c r="G44" i="59"/>
  <c r="N17" i="59"/>
  <c r="B54" i="53"/>
  <c r="D42" i="53"/>
  <c r="J30" i="53"/>
  <c r="R66" i="53"/>
  <c r="D30" i="53"/>
  <c r="T18" i="53"/>
  <c r="K11" i="53"/>
  <c r="G18" i="53"/>
  <c r="K36" i="56"/>
  <c r="I56" i="56"/>
  <c r="J36" i="56"/>
  <c r="Z15" i="56"/>
  <c r="B16" i="56"/>
  <c r="F11" i="56"/>
  <c r="R21" i="56"/>
  <c r="H16" i="56"/>
  <c r="R26" i="56" s="1"/>
  <c r="U44" i="37" s="1"/>
  <c r="W44" i="37" s="1"/>
  <c r="X44" i="37" s="1"/>
  <c r="K56" i="55"/>
  <c r="H46" i="55"/>
  <c r="T23" i="55"/>
  <c r="L49" i="60"/>
  <c r="P47" i="60"/>
  <c r="F54" i="60"/>
  <c r="S20" i="60"/>
  <c r="J46" i="56"/>
  <c r="U13" i="56"/>
  <c r="H56" i="56"/>
  <c r="L56" i="56"/>
  <c r="D16" i="56"/>
  <c r="J26" i="56"/>
  <c r="C36" i="55"/>
  <c r="B31" i="55"/>
  <c r="B36" i="55" s="1"/>
  <c r="H26" i="55"/>
  <c r="E46" i="55"/>
  <c r="T24" i="55"/>
  <c r="R25" i="55"/>
  <c r="O26" i="55"/>
  <c r="O49" i="60"/>
  <c r="H71" i="60"/>
  <c r="N56" i="60"/>
  <c r="B71" i="60"/>
  <c r="H37" i="42"/>
  <c r="B71" i="42"/>
  <c r="B29" i="42"/>
  <c r="H29" i="42"/>
  <c r="L37" i="42"/>
  <c r="B37" i="42"/>
  <c r="L71" i="42"/>
  <c r="H71" i="42"/>
  <c r="B63" i="42"/>
  <c r="H63" i="42"/>
  <c r="L44" i="41"/>
  <c r="H44" i="41"/>
  <c r="B44" i="41"/>
  <c r="B35" i="41"/>
  <c r="H35" i="41"/>
  <c r="U18" i="53" l="1"/>
  <c r="S56" i="60"/>
  <c r="P17" i="59"/>
  <c r="U24" i="59"/>
  <c r="Q22" i="60"/>
  <c r="F56" i="60"/>
  <c r="S26" i="56"/>
  <c r="T26" i="56"/>
  <c r="K26" i="55"/>
  <c r="B29" i="60"/>
  <c r="Q26" i="55"/>
  <c r="S45" i="30" s="1"/>
  <c r="U45" i="30" s="1"/>
  <c r="V45" i="30" s="1"/>
  <c r="F26" i="55"/>
  <c r="Q26" i="56"/>
  <c r="U43" i="37" s="1"/>
  <c r="W43" i="37" s="1"/>
  <c r="X43" i="37" s="1"/>
  <c r="K16" i="56"/>
  <c r="U21" i="56"/>
  <c r="K26" i="56"/>
  <c r="Q26" i="59"/>
  <c r="P26" i="55"/>
  <c r="P26" i="56"/>
  <c r="U23" i="56"/>
  <c r="F16" i="56"/>
  <c r="U23" i="55"/>
  <c r="S26" i="55"/>
  <c r="P49" i="60"/>
  <c r="U25" i="55"/>
  <c r="U25" i="56"/>
  <c r="R26" i="59"/>
  <c r="Q30" i="53"/>
  <c r="S48" i="29" s="1"/>
  <c r="U48" i="29" s="1"/>
  <c r="V48" i="29" s="1"/>
  <c r="K16" i="55"/>
  <c r="T26" i="59"/>
  <c r="F15" i="60"/>
  <c r="U19" i="60"/>
  <c r="F18" i="53"/>
  <c r="F23" i="53" s="1"/>
  <c r="U22" i="56"/>
  <c r="P18" i="53"/>
  <c r="F24" i="53"/>
  <c r="F25" i="53" s="1"/>
  <c r="B36" i="56"/>
  <c r="P16" i="55"/>
  <c r="K18" i="53"/>
  <c r="F26" i="56"/>
  <c r="P56" i="60"/>
  <c r="U25" i="59"/>
  <c r="R26" i="55"/>
  <c r="S46" i="30" s="1"/>
  <c r="U46" i="30" s="1"/>
  <c r="V46" i="30" s="1"/>
  <c r="U49" i="60"/>
  <c r="U24" i="55"/>
  <c r="U24" i="56"/>
  <c r="U21" i="60"/>
  <c r="U20" i="60"/>
  <c r="R30" i="53"/>
  <c r="S49" i="29" s="1"/>
  <c r="U49" i="29" s="1"/>
  <c r="V49" i="29" s="1"/>
  <c r="F17" i="59"/>
  <c r="U23" i="59"/>
  <c r="R22" i="60"/>
  <c r="U55" i="60"/>
  <c r="S26" i="59"/>
  <c r="U16" i="56"/>
  <c r="T26" i="55"/>
  <c r="K26" i="59"/>
  <c r="F22" i="60"/>
  <c r="S30" i="53"/>
  <c r="K22" i="60"/>
  <c r="T56" i="60"/>
  <c r="P26" i="59"/>
  <c r="Q56" i="60"/>
  <c r="U53" i="60"/>
  <c r="U56" i="60" s="1"/>
  <c r="Z16" i="56"/>
  <c r="F49" i="60"/>
  <c r="U17" i="59"/>
  <c r="U22" i="59"/>
  <c r="F26" i="59"/>
  <c r="U15" i="60"/>
  <c r="K15" i="60"/>
  <c r="U16" i="57"/>
  <c r="H36" i="39" s="1"/>
  <c r="J36" i="39" s="1"/>
  <c r="K36" i="39" s="1"/>
  <c r="B35" i="59"/>
  <c r="T22" i="60"/>
  <c r="P16" i="56"/>
  <c r="F16" i="55"/>
  <c r="U21" i="55"/>
  <c r="U22" i="55"/>
  <c r="U16" i="55"/>
  <c r="U23" i="41"/>
  <c r="U19" i="42"/>
  <c r="U53" i="42"/>
  <c r="E38" i="39"/>
  <c r="L45" i="37"/>
  <c r="B45" i="37"/>
  <c r="L44" i="37"/>
  <c r="B44" i="37"/>
  <c r="L43" i="37"/>
  <c r="B43" i="37"/>
  <c r="L42" i="37"/>
  <c r="B42" i="37"/>
  <c r="L41" i="37"/>
  <c r="B41" i="37"/>
  <c r="B35" i="37"/>
  <c r="B34" i="37"/>
  <c r="B33" i="37"/>
  <c r="B32" i="37"/>
  <c r="B31" i="37"/>
  <c r="P25" i="37"/>
  <c r="K25" i="37"/>
  <c r="F25" i="37"/>
  <c r="P24" i="37"/>
  <c r="K24" i="37"/>
  <c r="F24" i="37"/>
  <c r="P23" i="37"/>
  <c r="K23" i="37"/>
  <c r="F23" i="37"/>
  <c r="P22" i="37"/>
  <c r="K22" i="37"/>
  <c r="F22" i="37"/>
  <c r="P21" i="37"/>
  <c r="K21" i="37"/>
  <c r="F21" i="37"/>
  <c r="L45" i="30"/>
  <c r="B45" i="30"/>
  <c r="L44" i="30"/>
  <c r="B44" i="30"/>
  <c r="L43" i="30"/>
  <c r="B43" i="30"/>
  <c r="L42" i="30"/>
  <c r="B42" i="30"/>
  <c r="L41" i="30"/>
  <c r="B41" i="30"/>
  <c r="B35" i="30"/>
  <c r="B34" i="30"/>
  <c r="B33" i="30"/>
  <c r="B32" i="30"/>
  <c r="B31" i="30"/>
  <c r="P25" i="30"/>
  <c r="K25" i="30"/>
  <c r="F25" i="30"/>
  <c r="P24" i="30"/>
  <c r="K24" i="30"/>
  <c r="F24" i="30"/>
  <c r="P23" i="30"/>
  <c r="K23" i="30"/>
  <c r="F23" i="30"/>
  <c r="P22" i="30"/>
  <c r="K22" i="30"/>
  <c r="F22" i="30"/>
  <c r="P21" i="30"/>
  <c r="K21" i="30"/>
  <c r="F21" i="30"/>
  <c r="B36" i="29"/>
  <c r="B37" i="29"/>
  <c r="B38" i="29"/>
  <c r="B40" i="29"/>
  <c r="B41" i="29"/>
  <c r="F29" i="29"/>
  <c r="B53" i="29"/>
  <c r="B48" i="29"/>
  <c r="B49" i="29"/>
  <c r="B50" i="29"/>
  <c r="B51" i="29"/>
  <c r="B52" i="29"/>
  <c r="K23" i="53" l="1"/>
  <c r="K24" i="53"/>
  <c r="P23" i="53"/>
  <c r="P24" i="53"/>
  <c r="P25" i="53" s="1"/>
  <c r="U26" i="59"/>
  <c r="F26" i="53"/>
  <c r="F27" i="53"/>
  <c r="F28" i="53"/>
  <c r="U26" i="56"/>
  <c r="U42" i="37" s="1"/>
  <c r="W42" i="37" s="1"/>
  <c r="X42" i="37" s="1"/>
  <c r="U26" i="55"/>
  <c r="S44" i="30" s="1"/>
  <c r="U44" i="30" s="1"/>
  <c r="V44" i="30" s="1"/>
  <c r="U22" i="60"/>
  <c r="B46" i="37"/>
  <c r="W21" i="37" s="1"/>
  <c r="W26" i="37" s="1"/>
  <c r="U24" i="29"/>
  <c r="K25" i="53" l="1"/>
  <c r="U25" i="53" s="1"/>
  <c r="U24" i="53"/>
  <c r="F29" i="53"/>
  <c r="P26" i="53"/>
  <c r="P27" i="53" s="1"/>
  <c r="P28" i="53" s="1"/>
  <c r="P29" i="53" s="1"/>
  <c r="P30" i="53" s="1"/>
  <c r="K26" i="53"/>
  <c r="K27" i="53" s="1"/>
  <c r="U27" i="53" s="1"/>
  <c r="U23" i="53"/>
  <c r="U11" i="30"/>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F30" i="53" l="1"/>
  <c r="K28" i="53"/>
  <c r="U26" i="53"/>
  <c r="E37" i="39"/>
  <c r="E43" i="39" s="1"/>
  <c r="P23" i="29"/>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K29" i="53" l="1"/>
  <c r="U29" i="53" s="1"/>
  <c r="U28" i="53"/>
  <c r="K30" i="53"/>
  <c r="U30" i="53" s="1"/>
  <c r="S47" i="29" s="1"/>
  <c r="P15" i="42"/>
  <c r="U15" i="42"/>
  <c r="U49" i="42"/>
  <c r="P22" i="42"/>
  <c r="P56" i="42"/>
  <c r="K15" i="42"/>
  <c r="K49" i="42"/>
  <c r="F22" i="42"/>
  <c r="F56" i="42"/>
  <c r="K22" i="42"/>
  <c r="K56" i="42"/>
  <c r="F15" i="42"/>
  <c r="F49" i="42"/>
  <c r="U18" i="42" l="1"/>
  <c r="U52" i="42"/>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U22" i="41" l="1"/>
  <c r="U24" i="41" l="1"/>
  <c r="U27" i="29" l="1"/>
  <c r="U26" i="29"/>
  <c r="P30" i="29"/>
  <c r="K18" i="29"/>
  <c r="U18" i="29"/>
  <c r="P18" i="29"/>
  <c r="K30" i="29"/>
  <c r="F30" i="29"/>
  <c r="F18" i="29"/>
  <c r="T47" i="29" l="1"/>
  <c r="U47" i="29" s="1"/>
  <c r="V47" i="29" s="1"/>
  <c r="U23" i="29"/>
  <c r="U29"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<sst xmlns="http://schemas.openxmlformats.org/spreadsheetml/2006/main" count="2019" uniqueCount="569">
  <si>
    <t xml:space="preserve"> </t>
  </si>
  <si>
    <t>2024_25</t>
  </si>
  <si>
    <t xml:space="preserve">Operational Statistics Collection </t>
  </si>
  <si>
    <t>Human resources (HR) Incomplete Ethnicity</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</si>
  <si>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</si>
  <si>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</si>
  <si>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</si>
  <si>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</si>
  <si>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</si>
  <si>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</si>
  <si>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</si>
  <si>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</si>
  <si>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</si>
  <si>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</si>
  <si>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</si>
  <si>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</si>
  <si>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</si>
  <si>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</si>
  <si>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</si>
  <si>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</si>
  <si>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</si>
  <si>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</si>
  <si>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</si>
  <si>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</si>
  <si>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</si>
  <si>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</si>
  <si>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</si>
  <si>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</si>
  <si>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</si>
  <si>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</si>
  <si>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</si>
  <si>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</si>
  <si>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</si>
  <si>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</si>
  <si>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</si>
  <si>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</si>
  <si>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</si>
  <si>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</si>
  <si>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</si>
  <si>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</si>
  <si>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</si>
  <si>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</si>
  <si>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</si>
  <si>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</si>
  <si>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</si>
  <si>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</si>
  <si>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</si>
  <si>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</si>
  <si>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</si>
  <si>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</si>
  <si>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</si>
  <si>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</si>
  <si>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</si>
  <si>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</si>
  <si>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</si>
  <si>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</si>
  <si>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</si>
  <si>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</si>
  <si>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</si>
  <si>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</si>
  <si>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</si>
  <si>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</si>
  <si>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</si>
  <si>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</si>
  <si>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</si>
  <si>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</si>
  <si>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</si>
  <si>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</si>
  <si>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</si>
  <si>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</si>
  <si>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</si>
  <si>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</si>
  <si>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</si>
  <si>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</si>
  <si>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</si>
  <si>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</si>
  <si>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</si>
  <si>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</si>
  <si>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</si>
  <si>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</si>
  <si>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</si>
  <si>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</si>
  <si>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</si>
  <si>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</si>
  <si>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</si>
  <si>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</si>
  <si>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</si>
  <si>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</si>
  <si>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</si>
  <si>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</si>
  <si>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</si>
  <si>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</si>
  <si>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</si>
  <si>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</si>
  <si>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</si>
  <si>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</si>
  <si>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</si>
  <si>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</si>
  <si>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</si>
  <si>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</si>
  <si>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</si>
  <si>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</si>
  <si>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</si>
  <si>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</si>
  <si>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</si>
  <si>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</si>
  <si>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</si>
  <si>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</si>
  <si>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</si>
  <si>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</si>
  <si>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</si>
  <si>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</si>
  <si>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</si>
  <si>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</si>
  <si>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</si>
  <si>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</si>
  <si>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</si>
  <si>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</si>
  <si>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</si>
  <si>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</si>
  <si>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</si>
  <si>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</si>
  <si>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</si>
  <si>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</si>
  <si>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</si>
  <si>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</si>
  <si>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</si>
  <si>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</si>
  <si>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</si>
  <si>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</si>
  <si>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</si>
  <si>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</si>
  <si>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</si>
  <si>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</si>
  <si>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</si>
  <si>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</si>
  <si>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</si>
  <si>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</si>
  <si>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</si>
  <si>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</si>
  <si>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</si>
  <si>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</si>
  <si>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</si>
  <si>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</si>
  <si>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</si>
  <si>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</si>
  <si>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</si>
  <si>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</si>
  <si>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</si>
  <si>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</si>
  <si>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</si>
  <si>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</si>
  <si>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</si>
  <si>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</si>
  <si>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</si>
  <si>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</si>
  <si>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</si>
  <si>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</si>
  <si>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</si>
  <si>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</si>
  <si>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</si>
  <si>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</si>
  <si>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</si>
  <si>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</si>
  <si>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</si>
  <si>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</si>
  <si>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</si>
  <si>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</si>
  <si>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</si>
  <si>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</si>
  <si>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</si>
  <si>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</si>
  <si>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</si>
  <si>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</si>
  <si>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</si>
  <si>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</si>
  <si>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</si>
  <si>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</si>
  <si>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</si>
  <si>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</si>
  <si>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</si>
  <si>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</si>
  <si>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</si>
  <si>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</si>
  <si>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</si>
  <si>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</si>
  <si>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</si>
  <si>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</si>
  <si>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</si>
  <si>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</si>
  <si>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</si>
  <si>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</si>
  <si>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</si>
  <si>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</si>
  <si>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</si>
  <si>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</si>
  <si>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</si>
  <si>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</si>
  <si>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</si>
  <si>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</si>
  <si>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</si>
  <si>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</si>
  <si>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</si>
  <si>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</si>
  <si>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</si>
  <si>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</si>
  <si>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</si>
  <si>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</si>
  <si>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</si>
  <si>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</si>
  <si>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</si>
  <si>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</si>
  <si>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</si>
  <si>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</si>
  <si>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</si>
  <si>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</si>
  <si>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</si>
  <si>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</si>
  <si>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</si>
  <si>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</si>
  <si>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</si>
  <si>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</si>
  <si>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</si>
  <si>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</si>
  <si>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</si>
  <si>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</si>
  <si>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</si>
  <si>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</si>
  <si>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</si>
  <si>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</si>
  <si>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</si>
  <si>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</si>
  <si>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</si>
  <si>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</si>
  <si>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</si>
  <si>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</si>
  <si>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</si>
  <si>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</si>
  <si>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</si>
  <si>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</si>
  <si>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</si>
  <si>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</si>
  <si>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</si>
  <si>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</si>
  <si>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</si>
  <si>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</si>
  <si>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</si>
  <si>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</si>
  <si>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</si>
  <si>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</si>
  <si>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</si>
  <si>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</si>
  <si>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</si>
  <si>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</si>
  <si>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</si>
  <si>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</si>
  <si>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</si>
  <si>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</si>
  <si>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</si>
  <si>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</si>
  <si>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</si>
  <si>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</si>
  <si>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</si>
  <si>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</si>
  <si>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</si>
  <si>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</si>
  <si>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</si>
  <si>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</si>
  <si>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</si>
  <si>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</si>
  <si>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</si>
  <si>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</si>
  <si>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</si>
  <si>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</si>
  <si>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</si>
  <si>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</si>
  <si>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</si>
  <si>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</si>
  <si>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</si>
  <si>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</si>
  <si>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</si>
  <si>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</si>
  <si>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</si>
  <si>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</si>
  <si>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</si>
  <si>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</si>
  <si>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</si>
  <si>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</si>
  <si>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</si>
  <si>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</si>
  <si>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</si>
  <si>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</si>
  <si>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</si>
  <si>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</si>
  <si>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</si>
  <si>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</si>
  <si>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</si>
  <si>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</si>
  <si>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</si>
  <si>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</si>
  <si>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</si>
  <si>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</si>
  <si>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</si>
  <si>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</si>
  <si>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</si>
  <si>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</si>
  <si>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</si>
  <si>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</si>
  <si>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</si>
  <si>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</si>
  <si>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</si>
  <si>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</si>
  <si>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</si>
  <si>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</si>
  <si>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</si>
  <si>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</si>
  <si>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</si>
  <si>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</si>
  <si>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</si>
  <si>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</si>
  <si>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</si>
  <si>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</si>
  <si>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</si>
  <si>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</si>
  <si>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</si>
  <si>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</si>
  <si>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</si>
  <si>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</si>
  <si>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</si>
  <si>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</si>
  <si>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t>
  </si>
  <si>
    <t>White_British_or_Irish</t>
  </si>
  <si>
    <t>White: 
Irish</t>
  </si>
  <si>
    <t>White: 
Gypsy or Irish Traveller</t>
  </si>
  <si>
    <t>White: 
Roma</t>
  </si>
  <si>
    <t>Any_other_white_background</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</si>
  <si>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</si>
  <si>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</si>
  <si>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</si>
  <si>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</si>
  <si>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</si>
  <si>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</si>
  <si>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</si>
  <si>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</si>
  <si>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</si>
  <si>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</si>
  <si>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</si>
  <si>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</si>
  <si>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</si>
  <si>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</si>
  <si>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</si>
  <si>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</si>
  <si>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</si>
  <si>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</si>
  <si>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</si>
  <si>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</si>
  <si>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</si>
  <si>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</si>
  <si>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</si>
  <si>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</si>
  <si>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</si>
  <si>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</si>
  <si>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</si>
  <si>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</si>
  <si>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</si>
  <si>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</si>
  <si>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</si>
  <si>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</si>
  <si>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</si>
  <si>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</si>
  <si>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</si>
  <si>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</si>
  <si>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</si>
  <si>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</si>
  <si>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</si>
  <si>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</si>
  <si>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</si>
  <si>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</si>
  <si>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</si>
  <si>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</si>
  <si>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</si>
  <si>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</si>
  <si>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</si>
  <si>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</si>
  <si>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</si>
  <si>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</si>
  <si>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</si>
  <si>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</si>
  <si>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</si>
  <si>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</si>
  <si>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</si>
  <si>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</si>
  <si>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</si>
  <si>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</si>
  <si>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</si>
  <si>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</si>
  <si>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</si>
  <si>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In this ethnic origin section</t>
  </si>
  <si>
    <t>The pinks cells should be completed</t>
  </si>
  <si>
    <t>The purple cells are calculated subtotals</t>
  </si>
  <si>
    <t>The grey cells are probably unavailable</t>
  </si>
  <si>
    <t>We expect all FRSs to move to complete supply in 2025</t>
  </si>
  <si>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</si>
  <si>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</si>
  <si>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</si>
  <si>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</si>
  <si>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</si>
  <si>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</si>
  <si>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</si>
  <si>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</si>
  <si>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</si>
  <si>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</si>
  <si>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</si>
  <si>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</si>
  <si>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</si>
  <si>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</si>
  <si>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</si>
  <si>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</si>
  <si>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</si>
  <si>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</si>
  <si>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</si>
  <si>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</si>
  <si>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</si>
  <si>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</si>
  <si>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</si>
  <si>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</si>
  <si>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on-call firefighters - all ages</t>
  </si>
  <si>
    <t>Total on-call firefighters - all ethnicities</t>
  </si>
  <si>
    <t>Total on-call firefighters - all sexual orientations</t>
  </si>
  <si>
    <t>Total on-call firefighters - all disability statuses</t>
  </si>
  <si>
    <t>Total on-call firefighters - all religious identities</t>
  </si>
  <si>
    <t>The total number of on-call firefighters reported against each diversity characteristic (above) should be the same. If the consistency check is highlighted orange/red and this is not possible for any reason please explain below.</t>
  </si>
  <si>
    <t xml:space="preserve">Where the number of on-call firefighters reported against a given characteristic (below) has changed by more than 20 in absolute terms and 25% in percentage terms (indicated by cells highlighted orange/red) please provide explanatory commentary in the box below. </t>
  </si>
  <si>
    <t xml:space="preserve"> Asian / Asian British</t>
  </si>
  <si>
    <t>Other Ethnic Group</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</si>
  <si>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</si>
  <si>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</si>
  <si>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</si>
  <si>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</si>
  <si>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</si>
  <si>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</si>
  <si>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</si>
  <si>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</si>
  <si>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</si>
  <si>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</si>
  <si>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</si>
  <si>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</si>
  <si>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</si>
  <si>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</si>
  <si>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</si>
  <si>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</si>
  <si>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</si>
  <si>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</si>
  <si>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</si>
  <si>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</si>
  <si>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</si>
  <si>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</si>
  <si>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</si>
  <si>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</si>
  <si>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</si>
  <si>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</si>
  <si>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</si>
  <si>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</si>
  <si>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</si>
  <si>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</si>
  <si>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</si>
  <si>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</si>
  <si>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</si>
  <si>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</si>
  <si>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</si>
  <si>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</si>
  <si>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</si>
  <si>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</si>
  <si>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</si>
  <si>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</si>
  <si>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</si>
  <si>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</si>
  <si>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</si>
  <si>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</si>
  <si>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</si>
  <si>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</si>
  <si>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</si>
  <si>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</si>
  <si>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</si>
  <si>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</si>
  <si>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</si>
  <si>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Number of apprentices by gender identity, ethnicity and age</t>
  </si>
  <si>
    <t>Apprentice wholetime firefighters</t>
  </si>
  <si>
    <t>Apprentice support staff</t>
  </si>
  <si>
    <t>Apprentice control room staff</t>
  </si>
  <si>
    <t>Total apprentices - all ages</t>
  </si>
  <si>
    <t>Total apprentices - all ethnicities</t>
  </si>
  <si>
    <t>The total number of apprentices reported against each diversity characteristic should be the same. If this is not possible for any reason please explain below.</t>
  </si>
  <si>
    <t>New apprentice support staff</t>
  </si>
  <si>
    <t>New apprentice control room staff</t>
  </si>
  <si>
    <t>Total new apprentices - all ages</t>
  </si>
  <si>
    <t>Total new apprentices - all ethnicities</t>
  </si>
  <si>
    <t>Absolute value thresholds</t>
  </si>
  <si>
    <t>Percentage thresholds</t>
  </si>
  <si>
    <t>Percentage change thresholds</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</si>
  <si>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</si>
  <si>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</si>
  <si>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</si>
  <si>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</si>
  <si>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</si>
  <si>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</si>
  <si>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</si>
  <si>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</si>
  <si>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</si>
  <si>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</si>
  <si>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</si>
  <si>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</si>
  <si>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</si>
  <si>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</si>
  <si>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</si>
  <si>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</si>
  <si>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</si>
  <si>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</si>
  <si>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</si>
  <si>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</si>
  <si>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</si>
  <si>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</si>
  <si>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</si>
  <si>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</si>
  <si>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</si>
  <si>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</si>
  <si>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</si>
  <si>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</si>
  <si>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</si>
  <si>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</si>
  <si>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</si>
  <si>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</si>
  <si>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</si>
  <si>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</si>
  <si>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</si>
  <si>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2026.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</si>
  <si>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</si>
  <si>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</si>
  <si>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</si>
  <si>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</si>
  <si>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</si>
  <si>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</si>
  <si>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</si>
  <si>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</si>
  <si>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</si>
  <si>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Disability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</si>
  <si>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</si>
  <si>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</si>
  <si>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</si>
  <si>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</si>
  <si>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</si>
  <si>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</si>
  <si>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</si>
  <si>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</si>
  <si>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</si>
  <si>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Disability of support staffs at 31 March 2026</t>
  </si>
  <si>
    <t>Sexual orientation of support staff at 31 March 2026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</si>
  <si>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</si>
  <si>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Gender identity and age of new staff in 2025/26</t>
  </si>
  <si>
    <t>Ethnic origin of new staff in 2025/26</t>
  </si>
  <si>
    <t>Staff changing roles in 2025/26</t>
  </si>
  <si>
    <t xml:space="preserve">This data collection is about gathering the diversity information for all APPRENTICES who were employed on 31st March 2026.  </t>
  </si>
  <si>
    <t>Gender identity and age of APPRENTICES on 31st March 2026</t>
  </si>
  <si>
    <t>Ethnic origin of APPRENTICES on 31st March 2026</t>
  </si>
  <si>
    <t>This data collection is about gathering the diversity information for all APPRENTICES who were new to the Apprenticeship scheme in 2025/26</t>
  </si>
  <si>
    <t>Gender identity and age of new APPRENTICES in 2025/26</t>
  </si>
  <si>
    <t>Ethnic origin of new APPRENTICES in 2025/26</t>
  </si>
  <si>
    <t>2029_30</t>
  </si>
  <si>
    <t>2029/30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</si>
</sst>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b/>
      <sz val="10"/>
      <color rgb="FF8F23B3"/>
      <name val="Arial"/>
      <family val="2"/>
    </font>
    <font>
      <b/>
      <sz val="11"/>
      <color theme="0"/>
      <name val="Calibri"/>
      <family val="2"/>
      <scheme val="minor"/>
    </font>
    <font>
      <b/>
      <sz val="10"/>
      <color rgb="FFFF0000"/>
      <name val="Arial"/>
      <family val="2"/>
    </font>
    <font>
      <sz val="8"/>
      <name val="Arial"/>
      <family val="2"/>
    </font>
  </fonts>
  <fills count="16">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0" tint="-0.34998626667073579"/>
        <bgColor indexed="64"/>
      </patternFill>
    </fill>
    <fill>
      <patternFill patternType="solid">
        <fgColor rgb="FFE4DFEC"/>
        <bgColor indexed="64"/>
      </patternFill>
    </fill>
    <fill>
      <patternFill patternType="solid">
        <fgColor rgb="FFE4DFEC"/>
        <bgColor rgb="FF000000"/>
      </patternFill>
    </fill>
    <fill>
      <patternFill patternType="solid">
        <fgColor rgb="FFA6A6A6"/>
        <bgColor indexed="64"/>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3">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cellStyleXfs>
  <cellXfs count="589">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34" fillId="0" borderId="0" xfId="0" applyFont="1" applyAlignment="1">
      <alignment horizontal="justify" vertical="top"/>
    </xf>
    <xf numFmtId="0" fontId="17" fillId="0" borderId="0" xfId="0" applyFont="1" applyAlignment="1">
      <alignment horizontal="justify" vertical="top"/>
    </xf>
    <xf numFmtId="0" fontId="18" fillId="0" borderId="0" xfId="0" applyFont="1" applyAlignment="1">
      <alignment horizontal="justify" vertical="top"/>
    </xf>
    <xf numFmtId="0" fontId="11" fillId="0" borderId="0" xfId="0" applyFont="1" applyAlignment="1">
      <alignment horizontal="justify" vertical="top"/>
    </xf>
    <xf numFmtId="164" fontId="11" fillId="0" borderId="0" xfId="0" applyNumberFormat="1" applyFont="1" applyAlignment="1">
      <alignment vertical="top"/>
    </xf>
    <xf numFmtId="0" fontId="7" fillId="0" borderId="0" xfId="0" applyFont="1" applyAlignment="1">
      <alignment horizontal="justify" vertical="top"/>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vertical="top"/>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0" fontId="38" fillId="0" borderId="0" xfId="0" applyFont="1" applyAlignment="1">
      <alignment horizontal="center" vertical="top"/>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11" fillId="0" borderId="0" xfId="0" quotePrefix="1" applyFont="1" applyAlignment="1">
      <alignment horizontal="left" vertical="top"/>
    </xf>
    <xf numFmtId="0" fontId="19" fillId="0" borderId="0" xfId="0" applyFont="1" applyAlignment="1">
      <alignment vertical="top"/>
    </xf>
    <xf numFmtId="0" fontId="18" fillId="2" borderId="0" xfId="0" applyFont="1" applyFill="1" applyAlignment="1">
      <alignment horizontal="left" vertical="top"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10" borderId="1" xfId="0" applyNumberFormat="1" applyFont="1" applyFill="1" applyBorder="1" applyAlignment="1">
      <alignment horizontal="center" vertical="center" wrapText="1"/>
    </xf>
    <xf numFmtId="3" fontId="5" fillId="10" borderId="29" xfId="0" applyNumberFormat="1" applyFont="1" applyFill="1" applyBorder="1" applyAlignment="1" applyProtection="1">
      <alignment horizontal="right" vertical="center" wrapText="1"/>
      <protection locked="0"/>
    </xf>
    <xf numFmtId="3" fontId="8" fillId="10" borderId="1" xfId="0" applyNumberFormat="1" applyFont="1" applyFill="1" applyBorder="1" applyAlignment="1">
      <alignment horizontal="right" vertical="center" wrapText="1"/>
    </xf>
    <xf numFmtId="3" fontId="8" fillId="10" borderId="1" xfId="0" applyNumberFormat="1" applyFont="1" applyFill="1" applyBorder="1" applyAlignment="1">
      <alignment horizontal="center" vertical="center" wrapText="1"/>
    </xf>
    <xf numFmtId="3" fontId="5" fillId="11" borderId="1" xfId="0" applyNumberFormat="1"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4" xfId="0" applyFont="1" applyFill="1" applyBorder="1" applyAlignment="1">
      <alignment horizontal="center" vertical="center" wrapText="1"/>
    </xf>
    <xf numFmtId="3" fontId="5" fillId="0" borderId="0" xfId="0" applyNumberFormat="1" applyFont="1" applyAlignment="1">
      <alignment vertical="center" wrapText="1"/>
    </xf>
    <xf numFmtId="3" fontId="42" fillId="0" borderId="0" xfId="0" applyNumberFormat="1" applyFont="1"/>
    <xf numFmtId="3" fontId="5" fillId="13" borderId="29" xfId="0" applyNumberFormat="1" applyFont="1" applyFill="1" applyBorder="1" applyAlignment="1" applyProtection="1">
      <alignment horizontal="right" vertical="center" wrapText="1"/>
      <protection locked="0"/>
    </xf>
    <xf numFmtId="3" fontId="5" fillId="13" borderId="1" xfId="0" applyNumberFormat="1" applyFont="1" applyFill="1" applyBorder="1" applyAlignment="1">
      <alignment horizontal="center" vertical="center" wrapText="1"/>
    </xf>
    <xf numFmtId="3" fontId="5" fillId="13" borderId="29" xfId="7" applyNumberFormat="1" applyFont="1" applyFill="1" applyBorder="1" applyAlignment="1" applyProtection="1">
      <alignment horizontal="right" vertical="center" wrapText="1"/>
      <protection locked="0"/>
    </xf>
    <xf numFmtId="3" fontId="8" fillId="13" borderId="1" xfId="0" applyNumberFormat="1" applyFont="1" applyFill="1" applyBorder="1" applyAlignment="1">
      <alignment horizontal="right" vertical="center" wrapText="1"/>
    </xf>
    <xf numFmtId="3" fontId="8" fillId="13" borderId="1" xfId="0" applyNumberFormat="1" applyFont="1" applyFill="1" applyBorder="1" applyAlignment="1">
      <alignment horizontal="center" vertical="center" wrapText="1"/>
    </xf>
    <xf numFmtId="3" fontId="5" fillId="4" borderId="0" xfId="0" applyNumberFormat="1" applyFont="1" applyFill="1" applyAlignment="1">
      <alignment vertical="center" wrapText="1"/>
    </xf>
    <xf numFmtId="3" fontId="5" fillId="13" borderId="53" xfId="0" applyNumberFormat="1" applyFont="1" applyFill="1" applyBorder="1" applyAlignment="1">
      <alignment horizontal="right" vertical="center" wrapText="1"/>
    </xf>
    <xf numFmtId="3" fontId="5" fillId="13" borderId="30" xfId="0" applyNumberFormat="1" applyFont="1" applyFill="1" applyBorder="1" applyAlignment="1">
      <alignment horizontal="right" vertical="center" wrapText="1"/>
    </xf>
    <xf numFmtId="3" fontId="5" fillId="13" borderId="29" xfId="6" applyNumberFormat="1" applyFont="1" applyFill="1" applyBorder="1" applyAlignment="1" applyProtection="1">
      <alignment horizontal="right" vertical="center" wrapText="1"/>
      <protection locked="0"/>
    </xf>
    <xf numFmtId="3" fontId="8" fillId="13" borderId="22" xfId="4" applyNumberFormat="1" applyFont="1" applyFill="1" applyBorder="1" applyAlignment="1">
      <alignment horizontal="right" vertical="center" wrapText="1"/>
    </xf>
    <xf numFmtId="3" fontId="8" fillId="13" borderId="14" xfId="0" applyNumberFormat="1" applyFont="1" applyFill="1" applyBorder="1" applyAlignment="1">
      <alignment horizontal="center" vertical="center" wrapText="1"/>
    </xf>
    <xf numFmtId="3" fontId="8" fillId="13" borderId="28" xfId="4" applyNumberFormat="1" applyFont="1" applyFill="1" applyBorder="1" applyAlignment="1">
      <alignment horizontal="right" vertical="center" wrapText="1"/>
    </xf>
    <xf numFmtId="3" fontId="5" fillId="13" borderId="14" xfId="0" applyNumberFormat="1" applyFont="1" applyFill="1" applyBorder="1" applyAlignment="1">
      <alignment horizontal="center" vertical="center" wrapText="1"/>
    </xf>
    <xf numFmtId="3" fontId="5" fillId="13" borderId="29" xfId="4" applyNumberFormat="1" applyFont="1" applyFill="1" applyBorder="1" applyAlignment="1" applyProtection="1">
      <alignment horizontal="right" vertical="center" wrapText="1"/>
      <protection locked="0"/>
    </xf>
    <xf numFmtId="3" fontId="42" fillId="4" borderId="0" xfId="0" applyNumberFormat="1" applyFont="1" applyFill="1"/>
    <xf numFmtId="3" fontId="5" fillId="4" borderId="0" xfId="0" applyNumberFormat="1" applyFont="1" applyFill="1"/>
    <xf numFmtId="3" fontId="5" fillId="5" borderId="29" xfId="10" applyNumberFormat="1" applyFill="1" applyBorder="1" applyAlignment="1" applyProtection="1">
      <alignment horizontal="right" vertical="center" wrapText="1"/>
      <protection locked="0"/>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43" fillId="14" borderId="0" xfId="0" applyFont="1" applyFill="1" applyAlignment="1">
      <alignment horizontal="center"/>
    </xf>
    <xf numFmtId="0" fontId="0" fillId="0" borderId="0" xfId="0" applyAlignment="1">
      <alignment wrapText="1"/>
    </xf>
    <xf numFmtId="3" fontId="0" fillId="0" borderId="0" xfId="0" applyNumberFormat="1"/>
    <xf numFmtId="0" fontId="0" fillId="0" borderId="0" xfId="0" applyAlignment="1">
      <alignment horizontal="center"/>
    </xf>
    <xf numFmtId="9" fontId="0" fillId="0" borderId="0" xfId="9" applyFont="1"/>
    <xf numFmtId="0" fontId="44" fillId="15" borderId="0" xfId="0" applyFont="1" applyFill="1" applyAlignment="1">
      <alignment horizontal="center" vertical="center"/>
    </xf>
    <xf numFmtId="0" fontId="0" fillId="0" borderId="0" xfId="0" applyAlignment="1">
      <alignment horizontal="center" vertical="center"/>
    </xf>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wrapText="1"/>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7" fillId="0" borderId="0" xfId="0" applyFont="1" applyAlignment="1">
      <alignment horizontal="justify" vertical="top"/>
    </xf>
    <xf numFmtId="0" fontId="17" fillId="0" borderId="0" xfId="0" applyFont="1" applyAlignment="1">
      <alignment horizontal="left" vertical="top" wrapText="1"/>
    </xf>
    <xf numFmtId="0" fontId="11" fillId="2" borderId="0" xfId="0" applyFont="1" applyFill="1" applyAlignment="1">
      <alignment vertical="top" wrapText="1"/>
    </xf>
    <xf numFmtId="0" fontId="11" fillId="0" borderId="0" xfId="0" applyFont="1" applyAlignment="1">
      <alignment horizontal="justify" vertical="top" wrapText="1"/>
    </xf>
    <xf numFmtId="0" fontId="11" fillId="0" borderId="0" xfId="0" applyFont="1" applyAlignment="1">
      <alignment vertical="top" wrapText="1"/>
    </xf>
    <xf numFmtId="0" fontId="11" fillId="0" borderId="0" xfId="0" applyFont="1" applyAlignment="1">
      <alignment horizontal="left" vertical="top" wrapText="1"/>
    </xf>
    <xf numFmtId="0" fontId="17" fillId="0" borderId="0" xfId="0" applyFont="1" applyAlignment="1">
      <alignment horizontal="justify" vertical="top" wrapText="1"/>
    </xf>
    <xf numFmtId="0" fontId="18" fillId="0" borderId="0" xfId="0" applyFont="1" applyAlignment="1">
      <alignment horizontal="justify" vertical="top"/>
    </xf>
    <xf numFmtId="0" fontId="17" fillId="2" borderId="0" xfId="0" applyFont="1" applyFill="1" applyAlignment="1">
      <alignment horizontal="justify" vertical="top" wrapText="1"/>
    </xf>
    <xf numFmtId="0" fontId="41" fillId="0" borderId="0" xfId="1" applyFont="1" applyAlignment="1" applyProtection="1">
      <alignment horizontal="left" vertical="top"/>
    </xf>
    <xf numFmtId="0" fontId="11" fillId="0" borderId="0" xfId="0" applyFont="1" applyAlignment="1">
      <alignment horizontal="left" vertical="top"/>
    </xf>
    <xf numFmtId="0" fontId="18" fillId="0" borderId="0" xfId="0" applyFont="1" applyAlignment="1">
      <alignment horizontal="justify" vertical="top" wrapText="1"/>
    </xf>
    <xf numFmtId="0" fontId="11" fillId="0" borderId="0" xfId="0" applyFont="1" applyAlignment="1">
      <alignment vertical="top"/>
    </xf>
    <xf numFmtId="0" fontId="11" fillId="0" borderId="0" xfId="0" applyFont="1" applyAlignment="1">
      <alignment horizontal="justify" vertical="top"/>
    </xf>
    <xf numFmtId="0" fontId="11" fillId="0" borderId="0" xfId="0" applyFont="1" applyAlignment="1">
      <alignment wrapText="1"/>
    </xf>
    <xf numFmtId="0" fontId="17" fillId="0" borderId="0" xfId="0" applyFont="1" applyAlignment="1">
      <alignment horizontal="justify" wrapText="1"/>
    </xf>
    <xf numFmtId="0" fontId="17" fillId="0" borderId="0" xfId="0" applyFont="1" applyAlignment="1">
      <alignment horizontal="left" vertical="top"/>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5" fillId="0" borderId="0" xfId="0" applyFont="1" applyAlignment="1">
      <alignment vertical="center"/>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3" borderId="22"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3" fontId="5" fillId="3" borderId="1" xfId="0" applyNumberFormat="1" applyFont="1" applyFill="1" applyBorder="1" applyAlignment="1">
      <alignment horizontal="center" vertical="center" wrapText="1"/>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4" borderId="0" xfId="0" applyNumberFormat="1" applyFont="1" applyFill="1" applyAlignment="1">
      <alignment horizontal="center"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43" fillId="14" borderId="0" xfId="0" applyFont="1" applyFill="1" applyAlignment="1">
      <alignment horizontal="center"/>
    </xf>
  </cellXfs>
  <cellStyles count="13">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cent 2" xfId="9" xr:uid="{00000000-0005-0000-0000-00000B000000}"/>
  </cellStyles>
  <dxfs count="6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FFCCFF"/>
      <color rgb="FFE4DFEC"/>
      <color rgb="FFA6A6A6"/>
      <color rgb="FF8F23B3"/>
      <color rgb="FFCC99FF"/>
      <color rgb="FFF8C4CB"/>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twoCellAnchor>
    <xdr:from>
      <xdr:col>12</xdr:col>
      <xdr:colOff>802821</xdr:colOff>
      <xdr:row>33</xdr:row>
      <xdr:rowOff>408215</xdr:rowOff>
    </xdr:from>
    <xdr:to>
      <xdr:col>16</xdr:col>
      <xdr:colOff>136071</xdr:colOff>
      <xdr:row>40</xdr:row>
      <xdr:rowOff>0</xdr:rowOff>
    </xdr:to>
    <xdr:sp macro="" textlink="">
      <xdr:nvSpPr>
        <xdr:cNvPr id="5" name="Rectangle 4">
          <a:extLst>
            <a:ext uri="{FF2B5EF4-FFF2-40B4-BE49-F238E27FC236}">
              <a16:creationId xmlns:a16="http://schemas.microsoft.com/office/drawing/2014/main" id="{A30E1484-5137-3D28-C602-5DFD01387A67}"/>
            </a:ext>
          </a:extLst>
        </xdr:cNvPr>
        <xdr:cNvSpPr/>
      </xdr:nvSpPr>
      <xdr:spPr>
        <a:xfrm>
          <a:off x="14981464" y="7198179"/>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13607</xdr:colOff>
      <xdr:row>33</xdr:row>
      <xdr:rowOff>489857</xdr:rowOff>
    </xdr:from>
    <xdr:to>
      <xdr:col>12</xdr:col>
      <xdr:colOff>816428</xdr:colOff>
      <xdr:row>33</xdr:row>
      <xdr:rowOff>789215</xdr:rowOff>
    </xdr:to>
    <xdr:cxnSp macro="">
      <xdr:nvCxnSpPr>
        <xdr:cNvPr id="7" name="Straight Arrow Connector 6">
          <a:extLst>
            <a:ext uri="{FF2B5EF4-FFF2-40B4-BE49-F238E27FC236}">
              <a16:creationId xmlns:a16="http://schemas.microsoft.com/office/drawing/2014/main" id="{BADE5317-8381-BE62-B234-30EF9F5F17BA}"/>
            </a:ext>
          </a:extLst>
        </xdr:cNvPr>
        <xdr:cNvCxnSpPr/>
      </xdr:nvCxnSpPr>
      <xdr:spPr>
        <a:xfrm flipH="1" flipV="1">
          <a:off x="14192250" y="7279821"/>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870857</xdr:colOff>
      <xdr:row>40</xdr:row>
      <xdr:rowOff>2722</xdr:rowOff>
    </xdr:from>
    <xdr:to>
      <xdr:col>13</xdr:col>
      <xdr:colOff>274864</xdr:colOff>
      <xdr:row>43</xdr:row>
      <xdr:rowOff>244928</xdr:rowOff>
    </xdr:to>
    <xdr:cxnSp macro="">
      <xdr:nvCxnSpPr>
        <xdr:cNvPr id="8" name="Straight Arrow Connector 7">
          <a:extLst>
            <a:ext uri="{FF2B5EF4-FFF2-40B4-BE49-F238E27FC236}">
              <a16:creationId xmlns:a16="http://schemas.microsoft.com/office/drawing/2014/main" id="{48FE0BC5-6332-4BB6-849F-9426F8C53C28}"/>
            </a:ext>
          </a:extLst>
        </xdr:cNvPr>
        <xdr:cNvCxnSpPr/>
      </xdr:nvCxnSpPr>
      <xdr:spPr>
        <a:xfrm flipH="1">
          <a:off x="15049500" y="8643258"/>
          <a:ext cx="547007" cy="732063"/>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845344</xdr:colOff>
      <xdr:row>29</xdr:row>
      <xdr:rowOff>440531</xdr:rowOff>
    </xdr:from>
    <xdr:to>
      <xdr:col>16</xdr:col>
      <xdr:colOff>226219</xdr:colOff>
      <xdr:row>35</xdr:row>
      <xdr:rowOff>132669</xdr:rowOff>
    </xdr:to>
    <xdr:sp macro="" textlink="">
      <xdr:nvSpPr>
        <xdr:cNvPr id="3" name="Rectangle 2">
          <a:extLst>
            <a:ext uri="{FF2B5EF4-FFF2-40B4-BE49-F238E27FC236}">
              <a16:creationId xmlns:a16="http://schemas.microsoft.com/office/drawing/2014/main" id="{4F37E137-5D2D-4E4C-9382-F1FD9CC8B27B}"/>
            </a:ext>
          </a:extLst>
        </xdr:cNvPr>
        <xdr:cNvSpPr/>
      </xdr:nvSpPr>
      <xdr:spPr>
        <a:xfrm>
          <a:off x="15013782" y="6500812"/>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11906</xdr:colOff>
      <xdr:row>29</xdr:row>
      <xdr:rowOff>714374</xdr:rowOff>
    </xdr:from>
    <xdr:to>
      <xdr:col>12</xdr:col>
      <xdr:colOff>814727</xdr:colOff>
      <xdr:row>30</xdr:row>
      <xdr:rowOff>120763</xdr:rowOff>
    </xdr:to>
    <xdr:cxnSp macro="">
      <xdr:nvCxnSpPr>
        <xdr:cNvPr id="4" name="Straight Arrow Connector 3">
          <a:extLst>
            <a:ext uri="{FF2B5EF4-FFF2-40B4-BE49-F238E27FC236}">
              <a16:creationId xmlns:a16="http://schemas.microsoft.com/office/drawing/2014/main" id="{B4CF4A96-5338-4E04-997F-5239C17AD1C8}"/>
            </a:ext>
          </a:extLst>
        </xdr:cNvPr>
        <xdr:cNvCxnSpPr/>
      </xdr:nvCxnSpPr>
      <xdr:spPr>
        <a:xfrm flipH="1" flipV="1">
          <a:off x="14180344" y="677465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35720</xdr:colOff>
      <xdr:row>35</xdr:row>
      <xdr:rowOff>119062</xdr:rowOff>
    </xdr:from>
    <xdr:to>
      <xdr:col>13</xdr:col>
      <xdr:colOff>428624</xdr:colOff>
      <xdr:row>38</xdr:row>
      <xdr:rowOff>5781</xdr:rowOff>
    </xdr:to>
    <xdr:cxnSp macro="">
      <xdr:nvCxnSpPr>
        <xdr:cNvPr id="5" name="Straight Arrow Connector 4">
          <a:extLst>
            <a:ext uri="{FF2B5EF4-FFF2-40B4-BE49-F238E27FC236}">
              <a16:creationId xmlns:a16="http://schemas.microsoft.com/office/drawing/2014/main" id="{477B83BC-58E7-4D5C-B0C1-961548DF771C}"/>
            </a:ext>
          </a:extLst>
        </xdr:cNvPr>
        <xdr:cNvCxnSpPr/>
      </xdr:nvCxnSpPr>
      <xdr:spPr>
        <a:xfrm flipH="1">
          <a:off x="15347158" y="7929562"/>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789213</xdr:colOff>
      <xdr:row>29</xdr:row>
      <xdr:rowOff>340179</xdr:rowOff>
    </xdr:from>
    <xdr:to>
      <xdr:col>16</xdr:col>
      <xdr:colOff>176892</xdr:colOff>
      <xdr:row>35</xdr:row>
      <xdr:rowOff>95250</xdr:rowOff>
    </xdr:to>
    <xdr:sp macro="" textlink="">
      <xdr:nvSpPr>
        <xdr:cNvPr id="3" name="Rectangle 2">
          <a:extLst>
            <a:ext uri="{FF2B5EF4-FFF2-40B4-BE49-F238E27FC236}">
              <a16:creationId xmlns:a16="http://schemas.microsoft.com/office/drawing/2014/main" id="{A733C44B-1972-4F3B-8EC9-69CEC40C091B}"/>
            </a:ext>
          </a:extLst>
        </xdr:cNvPr>
        <xdr:cNvSpPr/>
      </xdr:nvSpPr>
      <xdr:spPr>
        <a:xfrm>
          <a:off x="14967856" y="6545036"/>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1129392</xdr:colOff>
      <xdr:row>29</xdr:row>
      <xdr:rowOff>721178</xdr:rowOff>
    </xdr:from>
    <xdr:to>
      <xdr:col>12</xdr:col>
      <xdr:colOff>789213</xdr:colOff>
      <xdr:row>30</xdr:row>
      <xdr:rowOff>176893</xdr:rowOff>
    </xdr:to>
    <xdr:cxnSp macro="">
      <xdr:nvCxnSpPr>
        <xdr:cNvPr id="4" name="Straight Arrow Connector 3">
          <a:extLst>
            <a:ext uri="{FF2B5EF4-FFF2-40B4-BE49-F238E27FC236}">
              <a16:creationId xmlns:a16="http://schemas.microsoft.com/office/drawing/2014/main" id="{37D97A4A-5776-47BE-BB27-CF63938F74C9}"/>
            </a:ext>
          </a:extLst>
        </xdr:cNvPr>
        <xdr:cNvCxnSpPr/>
      </xdr:nvCxnSpPr>
      <xdr:spPr>
        <a:xfrm flipH="1" flipV="1">
          <a:off x="14165035" y="692603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1006928</xdr:colOff>
      <xdr:row>35</xdr:row>
      <xdr:rowOff>122464</xdr:rowOff>
    </xdr:from>
    <xdr:to>
      <xdr:col>13</xdr:col>
      <xdr:colOff>256832</xdr:colOff>
      <xdr:row>38</xdr:row>
      <xdr:rowOff>5782</xdr:rowOff>
    </xdr:to>
    <xdr:cxnSp macro="">
      <xdr:nvCxnSpPr>
        <xdr:cNvPr id="5" name="Straight Arrow Connector 4">
          <a:extLst>
            <a:ext uri="{FF2B5EF4-FFF2-40B4-BE49-F238E27FC236}">
              <a16:creationId xmlns:a16="http://schemas.microsoft.com/office/drawing/2014/main" id="{60244E93-1188-4C4C-9362-CDCF0FE32CB7}"/>
            </a:ext>
          </a:extLst>
        </xdr:cNvPr>
        <xdr:cNvCxnSpPr/>
      </xdr:nvCxnSpPr>
      <xdr:spPr>
        <a:xfrm flipH="1">
          <a:off x="15185571" y="8014607"/>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twoCellAnchor>
    <xdr:from>
      <xdr:col>15</xdr:col>
      <xdr:colOff>892969</xdr:colOff>
      <xdr:row>17</xdr:row>
      <xdr:rowOff>38893</xdr:rowOff>
    </xdr:from>
    <xdr:to>
      <xdr:col>19</xdr:col>
      <xdr:colOff>321469</xdr:colOff>
      <xdr:row>24</xdr:row>
      <xdr:rowOff>146049</xdr:rowOff>
    </xdr:to>
    <xdr:sp macro="" textlink="">
      <xdr:nvSpPr>
        <xdr:cNvPr id="3" name="Rectangle 2">
          <a:extLst>
            <a:ext uri="{FF2B5EF4-FFF2-40B4-BE49-F238E27FC236}">
              <a16:creationId xmlns:a16="http://schemas.microsoft.com/office/drawing/2014/main" id="{C826A4A5-13C2-4C01-829C-B7618742E783}"/>
            </a:ext>
          </a:extLst>
        </xdr:cNvPr>
        <xdr:cNvSpPr/>
      </xdr:nvSpPr>
      <xdr:spPr>
        <a:xfrm>
          <a:off x="19371469" y="4015581"/>
          <a:ext cx="4095750" cy="2047874"/>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1119187</xdr:colOff>
      <xdr:row>19</xdr:row>
      <xdr:rowOff>154781</xdr:rowOff>
    </xdr:from>
    <xdr:to>
      <xdr:col>15</xdr:col>
      <xdr:colOff>833437</xdr:colOff>
      <xdr:row>19</xdr:row>
      <xdr:rowOff>285750</xdr:rowOff>
    </xdr:to>
    <xdr:cxnSp macro="">
      <xdr:nvCxnSpPr>
        <xdr:cNvPr id="4" name="Straight Arrow Connector 3">
          <a:extLst>
            <a:ext uri="{FF2B5EF4-FFF2-40B4-BE49-F238E27FC236}">
              <a16:creationId xmlns:a16="http://schemas.microsoft.com/office/drawing/2014/main" id="{FA34F495-2D74-491D-BE98-83C276367722}"/>
            </a:ext>
          </a:extLst>
        </xdr:cNvPr>
        <xdr:cNvCxnSpPr/>
      </xdr:nvCxnSpPr>
      <xdr:spPr>
        <a:xfrm flipH="1">
          <a:off x="14144625" y="4429125"/>
          <a:ext cx="4262437" cy="13096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11907</xdr:colOff>
      <xdr:row>22</xdr:row>
      <xdr:rowOff>130968</xdr:rowOff>
    </xdr:from>
    <xdr:to>
      <xdr:col>15</xdr:col>
      <xdr:colOff>845344</xdr:colOff>
      <xdr:row>24</xdr:row>
      <xdr:rowOff>351063</xdr:rowOff>
    </xdr:to>
    <xdr:cxnSp macro="">
      <xdr:nvCxnSpPr>
        <xdr:cNvPr id="6" name="Straight Arrow Connector 5">
          <a:extLst>
            <a:ext uri="{FF2B5EF4-FFF2-40B4-BE49-F238E27FC236}">
              <a16:creationId xmlns:a16="http://schemas.microsoft.com/office/drawing/2014/main" id="{6F165D74-02DB-4410-A4D8-F1FA9DE8BEC2}"/>
            </a:ext>
          </a:extLst>
        </xdr:cNvPr>
        <xdr:cNvCxnSpPr/>
      </xdr:nvCxnSpPr>
      <xdr:spPr>
        <a:xfrm flipH="1">
          <a:off x="17585532" y="5679281"/>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twoCellAnchor>
    <xdr:from>
      <xdr:col>12</xdr:col>
      <xdr:colOff>809625</xdr:colOff>
      <xdr:row>29</xdr:row>
      <xdr:rowOff>452437</xdr:rowOff>
    </xdr:from>
    <xdr:to>
      <xdr:col>16</xdr:col>
      <xdr:colOff>607218</xdr:colOff>
      <xdr:row>36</xdr:row>
      <xdr:rowOff>47626</xdr:rowOff>
    </xdr:to>
    <xdr:sp macro="" textlink="">
      <xdr:nvSpPr>
        <xdr:cNvPr id="3" name="Rectangle 2">
          <a:extLst>
            <a:ext uri="{FF2B5EF4-FFF2-40B4-BE49-F238E27FC236}">
              <a16:creationId xmlns:a16="http://schemas.microsoft.com/office/drawing/2014/main" id="{645F8023-9953-4E33-9537-758A10CEB85F}"/>
            </a:ext>
          </a:extLst>
        </xdr:cNvPr>
        <xdr:cNvSpPr/>
      </xdr:nvSpPr>
      <xdr:spPr>
        <a:xfrm>
          <a:off x="12989719" y="6917531"/>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857250</xdr:colOff>
      <xdr:row>29</xdr:row>
      <xdr:rowOff>488157</xdr:rowOff>
    </xdr:from>
    <xdr:to>
      <xdr:col>12</xdr:col>
      <xdr:colOff>773906</xdr:colOff>
      <xdr:row>29</xdr:row>
      <xdr:rowOff>678656</xdr:rowOff>
    </xdr:to>
    <xdr:cxnSp macro="">
      <xdr:nvCxnSpPr>
        <xdr:cNvPr id="4" name="Straight Arrow Connector 3">
          <a:extLst>
            <a:ext uri="{FF2B5EF4-FFF2-40B4-BE49-F238E27FC236}">
              <a16:creationId xmlns:a16="http://schemas.microsoft.com/office/drawing/2014/main" id="{881D3A3F-770E-4F50-BF78-B4F8DABB483B}"/>
            </a:ext>
          </a:extLst>
        </xdr:cNvPr>
        <xdr:cNvCxnSpPr/>
      </xdr:nvCxnSpPr>
      <xdr:spPr>
        <a:xfrm flipH="1" flipV="1">
          <a:off x="12144375" y="6953251"/>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869156</xdr:colOff>
      <xdr:row>34</xdr:row>
      <xdr:rowOff>23813</xdr:rowOff>
    </xdr:from>
    <xdr:to>
      <xdr:col>12</xdr:col>
      <xdr:colOff>809624</xdr:colOff>
      <xdr:row>37</xdr:row>
      <xdr:rowOff>17689</xdr:rowOff>
    </xdr:to>
    <xdr:cxnSp macro="">
      <xdr:nvCxnSpPr>
        <xdr:cNvPr id="6" name="Straight Arrow Connector 5">
          <a:extLst>
            <a:ext uri="{FF2B5EF4-FFF2-40B4-BE49-F238E27FC236}">
              <a16:creationId xmlns:a16="http://schemas.microsoft.com/office/drawing/2014/main" id="{88C4C8DF-B3D5-4023-9278-23D9A3A57924}"/>
            </a:ext>
          </a:extLst>
        </xdr:cNvPr>
        <xdr:cNvCxnSpPr/>
      </xdr:nvCxnSpPr>
      <xdr:spPr>
        <a:xfrm flipH="1">
          <a:off x="12156281" y="8298657"/>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twoCellAnchor>
    <xdr:from>
      <xdr:col>12</xdr:col>
      <xdr:colOff>857250</xdr:colOff>
      <xdr:row>58</xdr:row>
      <xdr:rowOff>214312</xdr:rowOff>
    </xdr:from>
    <xdr:to>
      <xdr:col>16</xdr:col>
      <xdr:colOff>654843</xdr:colOff>
      <xdr:row>64</xdr:row>
      <xdr:rowOff>130969</xdr:rowOff>
    </xdr:to>
    <xdr:sp macro="" textlink="">
      <xdr:nvSpPr>
        <xdr:cNvPr id="3" name="Rectangle 2">
          <a:extLst>
            <a:ext uri="{FF2B5EF4-FFF2-40B4-BE49-F238E27FC236}">
              <a16:creationId xmlns:a16="http://schemas.microsoft.com/office/drawing/2014/main" id="{35C58AB4-04FC-44DD-91B2-2261B509FEDD}"/>
            </a:ext>
          </a:extLst>
        </xdr:cNvPr>
        <xdr:cNvSpPr/>
      </xdr:nvSpPr>
      <xdr:spPr>
        <a:xfrm>
          <a:off x="13037344" y="12418218"/>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810419</xdr:colOff>
      <xdr:row>24</xdr:row>
      <xdr:rowOff>450055</xdr:rowOff>
    </xdr:from>
    <xdr:to>
      <xdr:col>16</xdr:col>
      <xdr:colOff>601662</xdr:colOff>
      <xdr:row>31</xdr:row>
      <xdr:rowOff>793</xdr:rowOff>
    </xdr:to>
    <xdr:sp macro="" textlink="">
      <xdr:nvSpPr>
        <xdr:cNvPr id="4" name="Rectangle 3">
          <a:extLst>
            <a:ext uri="{FF2B5EF4-FFF2-40B4-BE49-F238E27FC236}">
              <a16:creationId xmlns:a16="http://schemas.microsoft.com/office/drawing/2014/main" id="{BBD0B9A1-68E4-4B08-B28B-317BF1CCCF8A}"/>
            </a:ext>
          </a:extLst>
        </xdr:cNvPr>
        <xdr:cNvSpPr/>
      </xdr:nvSpPr>
      <xdr:spPr>
        <a:xfrm>
          <a:off x="13621544" y="5081586"/>
          <a:ext cx="3553618" cy="1801020"/>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23813</xdr:colOff>
      <xdr:row>58</xdr:row>
      <xdr:rowOff>440532</xdr:rowOff>
    </xdr:from>
    <xdr:to>
      <xdr:col>12</xdr:col>
      <xdr:colOff>833438</xdr:colOff>
      <xdr:row>58</xdr:row>
      <xdr:rowOff>631031</xdr:rowOff>
    </xdr:to>
    <xdr:cxnSp macro="">
      <xdr:nvCxnSpPr>
        <xdr:cNvPr id="5" name="Straight Arrow Connector 4">
          <a:extLst>
            <a:ext uri="{FF2B5EF4-FFF2-40B4-BE49-F238E27FC236}">
              <a16:creationId xmlns:a16="http://schemas.microsoft.com/office/drawing/2014/main" id="{713C086F-3656-460E-848D-4B92E2476A42}"/>
            </a:ext>
          </a:extLst>
        </xdr:cNvPr>
        <xdr:cNvCxnSpPr/>
      </xdr:nvCxnSpPr>
      <xdr:spPr>
        <a:xfrm flipH="1" flipV="1">
          <a:off x="12203907" y="12644438"/>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24</xdr:row>
      <xdr:rowOff>750094</xdr:rowOff>
    </xdr:from>
    <xdr:to>
      <xdr:col>12</xdr:col>
      <xdr:colOff>809625</xdr:colOff>
      <xdr:row>24</xdr:row>
      <xdr:rowOff>940593</xdr:rowOff>
    </xdr:to>
    <xdr:cxnSp macro="">
      <xdr:nvCxnSpPr>
        <xdr:cNvPr id="6" name="Straight Arrow Connector 5">
          <a:extLst>
            <a:ext uri="{FF2B5EF4-FFF2-40B4-BE49-F238E27FC236}">
              <a16:creationId xmlns:a16="http://schemas.microsoft.com/office/drawing/2014/main" id="{A74AC3D1-7D18-4AAE-8D0D-35406710CF6D}"/>
            </a:ext>
          </a:extLst>
        </xdr:cNvPr>
        <xdr:cNvCxnSpPr/>
      </xdr:nvCxnSpPr>
      <xdr:spPr>
        <a:xfrm flipH="1" flipV="1">
          <a:off x="12180094" y="5226844"/>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857250</xdr:colOff>
      <xdr:row>27</xdr:row>
      <xdr:rowOff>142875</xdr:rowOff>
    </xdr:from>
    <xdr:to>
      <xdr:col>12</xdr:col>
      <xdr:colOff>797718</xdr:colOff>
      <xdr:row>31</xdr:row>
      <xdr:rowOff>5782</xdr:rowOff>
    </xdr:to>
    <xdr:cxnSp macro="">
      <xdr:nvCxnSpPr>
        <xdr:cNvPr id="7" name="Straight Arrow Connector 6">
          <a:extLst>
            <a:ext uri="{FF2B5EF4-FFF2-40B4-BE49-F238E27FC236}">
              <a16:creationId xmlns:a16="http://schemas.microsoft.com/office/drawing/2014/main" id="{5922F81C-CA82-4B48-AADE-C04DA4E7C773}"/>
            </a:ext>
          </a:extLst>
        </xdr:cNvPr>
        <xdr:cNvCxnSpPr/>
      </xdr:nvCxnSpPr>
      <xdr:spPr>
        <a:xfrm flipH="1">
          <a:off x="12144375" y="6143625"/>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11907</xdr:colOff>
      <xdr:row>61</xdr:row>
      <xdr:rowOff>178594</xdr:rowOff>
    </xdr:from>
    <xdr:to>
      <xdr:col>12</xdr:col>
      <xdr:colOff>845344</xdr:colOff>
      <xdr:row>65</xdr:row>
      <xdr:rowOff>5783</xdr:rowOff>
    </xdr:to>
    <xdr:cxnSp macro="">
      <xdr:nvCxnSpPr>
        <xdr:cNvPr id="8" name="Straight Arrow Connector 7">
          <a:extLst>
            <a:ext uri="{FF2B5EF4-FFF2-40B4-BE49-F238E27FC236}">
              <a16:creationId xmlns:a16="http://schemas.microsoft.com/office/drawing/2014/main" id="{48DC4DDE-7C63-44B1-87F6-20335CAFBC60}"/>
            </a:ext>
          </a:extLst>
        </xdr:cNvPr>
        <xdr:cNvCxnSpPr/>
      </xdr:nvCxnSpPr>
      <xdr:spPr>
        <a:xfrm flipH="1">
          <a:off x="12192001" y="13704094"/>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37"/>
  <sheetViews>
    <sheetView tabSelected="1" zoomScaleNormal="100" workbookViewId="0"/>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18" t="s">
        <v>120</v>
      </c>
      <c r="B6" s="419"/>
      <c r="C6" s="419"/>
      <c r="D6" s="419"/>
      <c r="E6" s="419"/>
      <c r="F6" s="420"/>
      <c r="G6" s="17"/>
    </row>
    <row r="7" spans="1:7" ht="23.25">
      <c r="A7" s="421" t="s">
        <v>2</v>
      </c>
      <c r="B7" s="422"/>
      <c r="C7" s="422"/>
      <c r="D7" s="422"/>
      <c r="E7" s="422"/>
      <c r="F7" s="423"/>
      <c r="G7" s="17"/>
    </row>
    <row r="8" spans="1:7" ht="18.75" thickBot="1">
      <c r="A8" s="424" t="s">
        <v>3</v>
      </c>
      <c r="B8" s="425"/>
      <c r="C8" s="425"/>
      <c r="D8" s="425"/>
      <c r="E8" s="425"/>
      <c r="F8" s="426"/>
      <c r="G8" s="17"/>
    </row>
    <row r="9" spans="1:7" ht="15" thickBot="1">
      <c r="A9" s="181"/>
      <c r="B9" s="181"/>
      <c r="C9" s="181"/>
      <c r="D9" s="181"/>
      <c r="E9" s="181"/>
      <c r="F9" s="181"/>
      <c r="G9" s="181"/>
    </row>
    <row r="10" spans="1:7" ht="27" thickBot="1">
      <c r="A10" s="427" t="str">
        <f>VLOOKUP(B250,B251:D316,2,FALSE)</f>
        <v>Avon</v>
      </c>
      <c r="B10" s="428"/>
      <c r="C10" s="428"/>
      <c r="D10" s="428"/>
      <c r="E10" s="428"/>
      <c r="F10" s="429"/>
      <c r="G10" s="181"/>
    </row>
    <row r="11" spans="1:7" ht="16.5" thickBot="1">
      <c r="A11" s="430" t="str">
        <f>VLOOKUP(B250,B251:D316,3,FALSE)</f>
        <v>E31000001</v>
      </c>
      <c r="B11" s="431"/>
      <c r="C11" s="431"/>
      <c r="D11" s="431"/>
      <c r="E11" s="431"/>
      <c r="F11" s="432"/>
      <c r="G11" s="181"/>
    </row>
    <row r="12" spans="1:7" ht="15">
      <c r="A12" s="182"/>
      <c r="B12" s="182"/>
      <c r="C12" s="182"/>
      <c r="D12" s="182"/>
      <c r="E12" s="182"/>
      <c r="F12" s="182"/>
      <c r="G12" s="182"/>
    </row>
    <row r="13" spans="1:7" ht="15">
      <c r="A13" s="183" t="s">
        <v>4</v>
      </c>
      <c r="B13" s="433" t="s">
        <v>5</v>
      </c>
      <c r="C13" s="433"/>
      <c r="D13" s="433"/>
      <c r="E13" s="433"/>
      <c r="F13" s="433"/>
      <c r="G13" s="184"/>
    </row>
    <row r="14" spans="1:7" ht="13.9" customHeight="1">
      <c r="A14" s="245" t="s">
        <v>6</v>
      </c>
      <c r="B14" s="414" t="s">
        <v>7</v>
      </c>
      <c r="C14" s="414"/>
      <c r="D14" s="414"/>
      <c r="E14" s="414"/>
      <c r="F14" s="414"/>
      <c r="G14" s="185"/>
    </row>
    <row r="15" spans="1:7" ht="13.9" customHeight="1">
      <c r="A15" s="246" t="s">
        <v>8</v>
      </c>
      <c r="B15" s="414" t="s">
        <v>9</v>
      </c>
      <c r="C15" s="414"/>
      <c r="D15" s="414"/>
      <c r="E15" s="414"/>
      <c r="F15" s="414"/>
      <c r="G15" s="181"/>
    </row>
    <row r="16" spans="1:7" ht="13.9" customHeight="1">
      <c r="A16" s="246" t="s">
        <v>10</v>
      </c>
      <c r="B16" s="414" t="s">
        <v>11</v>
      </c>
      <c r="C16" s="414"/>
      <c r="D16" s="414"/>
      <c r="E16" s="414"/>
      <c r="F16" s="414"/>
      <c r="G16" s="181"/>
    </row>
    <row r="17" spans="1:7" ht="13.9" customHeight="1">
      <c r="A17" s="246" t="s">
        <v>12</v>
      </c>
      <c r="B17" s="414" t="s">
        <v>13</v>
      </c>
      <c r="C17" s="414"/>
      <c r="D17" s="414"/>
      <c r="E17" s="414"/>
      <c r="F17" s="414"/>
      <c r="G17" s="181"/>
    </row>
    <row r="18" spans="1:7" ht="13.9" customHeight="1">
      <c r="A18" s="246" t="s">
        <v>14</v>
      </c>
      <c r="B18" s="414" t="s">
        <v>15</v>
      </c>
      <c r="C18" s="414"/>
      <c r="D18" s="414"/>
      <c r="E18" s="414"/>
      <c r="F18" s="414"/>
      <c r="G18" s="181"/>
    </row>
    <row r="19" spans="1:7" ht="13.9" customHeight="1">
      <c r="A19" s="247" t="s">
        <v>16</v>
      </c>
      <c r="B19" s="414" t="s">
        <v>17</v>
      </c>
      <c r="C19" s="414"/>
      <c r="D19" s="414"/>
      <c r="E19" s="414"/>
      <c r="F19" s="414"/>
      <c r="G19" s="181"/>
    </row>
    <row r="20" spans="1:7" ht="13.9" customHeight="1">
      <c r="A20" s="248" t="s">
        <v>18</v>
      </c>
      <c r="B20" s="414" t="s">
        <v>19</v>
      </c>
      <c r="C20" s="414"/>
      <c r="D20" s="414"/>
      <c r="E20" s="414"/>
      <c r="F20" s="414"/>
      <c r="G20" s="181"/>
    </row>
    <row r="21" spans="1:7" ht="14.25">
      <c r="A21" s="245" t="s">
        <v>20</v>
      </c>
      <c r="B21" s="415" t="s">
        <v>21</v>
      </c>
      <c r="C21" s="415"/>
      <c r="D21" s="415"/>
      <c r="E21" s="415"/>
      <c r="F21" s="415"/>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17" t="s">
        <v>23</v>
      </c>
      <c r="B24" s="417"/>
      <c r="C24" s="417"/>
      <c r="D24" s="417"/>
      <c r="E24" s="417"/>
      <c r="F24" s="417"/>
      <c r="G24" s="181"/>
    </row>
    <row r="25" spans="1:7" ht="14.25">
      <c r="A25" s="181"/>
      <c r="B25" s="181"/>
      <c r="C25" s="181"/>
      <c r="D25" s="181"/>
      <c r="E25" s="181"/>
      <c r="F25" s="181"/>
      <c r="G25" s="181"/>
    </row>
    <row r="26" spans="1:7" ht="13.9" customHeight="1">
      <c r="A26" s="416" t="s">
        <v>526</v>
      </c>
      <c r="B26" s="416"/>
      <c r="C26" s="416"/>
      <c r="D26" s="416"/>
      <c r="E26" s="416"/>
      <c r="F26" s="416"/>
      <c r="G26" s="186"/>
    </row>
    <row r="27" spans="1:7" ht="15" thickBot="1">
      <c r="A27" s="187"/>
      <c r="B27" s="187"/>
      <c r="C27" s="181"/>
      <c r="D27" s="181"/>
      <c r="E27" s="181"/>
      <c r="F27" s="181"/>
      <c r="G27" s="181"/>
    </row>
    <row r="28" spans="1:7" ht="15.75" thickBot="1">
      <c r="A28" s="18" t="s">
        <v>24</v>
      </c>
      <c r="B28" s="404"/>
      <c r="C28" s="405"/>
      <c r="D28" s="405"/>
      <c r="E28" s="405"/>
      <c r="F28" s="406"/>
      <c r="G28" s="188"/>
    </row>
    <row r="29" spans="1:7" ht="15.75" thickBot="1">
      <c r="A29" s="18" t="s">
        <v>25</v>
      </c>
      <c r="B29" s="407"/>
      <c r="C29" s="408"/>
      <c r="D29" s="408"/>
      <c r="E29" s="408"/>
      <c r="F29" s="409"/>
      <c r="G29" s="181"/>
    </row>
    <row r="30" spans="1:7" ht="14.25">
      <c r="A30" s="181"/>
      <c r="B30" s="181"/>
      <c r="C30" s="181"/>
      <c r="D30" s="181"/>
      <c r="E30" s="181"/>
      <c r="F30" s="181"/>
      <c r="G30" s="181"/>
    </row>
    <row r="31" spans="1:7" ht="14.45" customHeight="1" thickBot="1">
      <c r="A31" s="410" t="s">
        <v>26</v>
      </c>
      <c r="B31" s="410"/>
      <c r="C31" s="410"/>
      <c r="D31" s="410"/>
      <c r="E31" s="410"/>
      <c r="F31" s="410"/>
      <c r="G31" s="181"/>
    </row>
    <row r="32" spans="1:7" ht="49.15" customHeight="1" thickBot="1">
      <c r="A32" s="411"/>
      <c r="B32" s="412"/>
      <c r="C32" s="412"/>
      <c r="D32" s="412"/>
      <c r="E32" s="412"/>
      <c r="F32" s="413"/>
      <c r="G32" s="189"/>
    </row>
    <row r="34" spans="1:1">
      <c r="A34" s="205"/>
    </row>
    <row r="248" spans="1:4" hidden="1"/>
    <row r="249" spans="1:4" hidden="1"/>
    <row r="250" spans="1:4" s="325" customFormat="1" ht="15" hidden="1" customHeight="1">
      <c r="A250" s="323" t="s">
        <v>27</v>
      </c>
      <c r="B250" s="323">
        <v>1</v>
      </c>
      <c r="C250" s="323">
        <f>MAX(B251:B316)</f>
        <v>45</v>
      </c>
      <c r="D250" s="324"/>
    </row>
    <row r="251" spans="1:4" s="325" customFormat="1" ht="15" hidden="1" customHeight="1">
      <c r="A251" s="326"/>
      <c r="B251" s="327">
        <v>1</v>
      </c>
      <c r="C251" s="327" t="s">
        <v>28</v>
      </c>
      <c r="D251" s="327" t="s">
        <v>29</v>
      </c>
    </row>
    <row r="252" spans="1:4" s="325" customFormat="1" ht="15" hidden="1" customHeight="1">
      <c r="A252" s="326"/>
      <c r="B252" s="327">
        <v>2</v>
      </c>
      <c r="C252" s="327" t="s">
        <v>30</v>
      </c>
      <c r="D252" s="327" t="s">
        <v>31</v>
      </c>
    </row>
    <row r="253" spans="1:4" s="325" customFormat="1" ht="15" hidden="1" customHeight="1">
      <c r="A253" s="326"/>
      <c r="B253" s="327">
        <v>3</v>
      </c>
      <c r="C253" s="327" t="s">
        <v>32</v>
      </c>
      <c r="D253" s="327" t="s">
        <v>33</v>
      </c>
    </row>
    <row r="254" spans="1:4" s="325" customFormat="1" ht="15" hidden="1" customHeight="1">
      <c r="A254" s="326"/>
      <c r="B254" s="327">
        <v>4</v>
      </c>
      <c r="C254" s="327" t="s">
        <v>34</v>
      </c>
      <c r="D254" s="327" t="s">
        <v>35</v>
      </c>
    </row>
    <row r="255" spans="1:4" s="325" customFormat="1" ht="15" hidden="1" customHeight="1">
      <c r="A255" s="326"/>
      <c r="B255" s="327">
        <v>5</v>
      </c>
      <c r="C255" s="327" t="s">
        <v>36</v>
      </c>
      <c r="D255" s="327" t="s">
        <v>37</v>
      </c>
    </row>
    <row r="256" spans="1:4" s="325" customFormat="1" ht="15" hidden="1" customHeight="1">
      <c r="A256" s="326"/>
      <c r="B256" s="327">
        <v>6</v>
      </c>
      <c r="C256" s="327" t="s">
        <v>38</v>
      </c>
      <c r="D256" s="327" t="s">
        <v>39</v>
      </c>
    </row>
    <row r="257" spans="1:4" s="325" customFormat="1" ht="15" hidden="1" customHeight="1">
      <c r="A257" s="326"/>
      <c r="B257" s="327">
        <v>7</v>
      </c>
      <c r="C257" s="327" t="s">
        <v>40</v>
      </c>
      <c r="D257" s="327" t="s">
        <v>41</v>
      </c>
    </row>
    <row r="258" spans="1:4" s="325" customFormat="1" ht="15" hidden="1" customHeight="1">
      <c r="A258" s="326"/>
      <c r="B258" s="327">
        <v>8</v>
      </c>
      <c r="C258" s="327" t="s">
        <v>42</v>
      </c>
      <c r="D258" s="327" t="s">
        <v>43</v>
      </c>
    </row>
    <row r="259" spans="1:4" s="325" customFormat="1" ht="15" hidden="1" customHeight="1">
      <c r="A259" s="326"/>
      <c r="B259" s="327">
        <v>9</v>
      </c>
      <c r="C259" s="327" t="s">
        <v>44</v>
      </c>
      <c r="D259" s="327" t="s">
        <v>45</v>
      </c>
    </row>
    <row r="260" spans="1:4" s="325" customFormat="1" ht="15" hidden="1" customHeight="1">
      <c r="A260" s="326"/>
      <c r="B260" s="327">
        <v>10</v>
      </c>
      <c r="C260" s="327" t="s">
        <v>46</v>
      </c>
      <c r="D260" s="327" t="s">
        <v>47</v>
      </c>
    </row>
    <row r="261" spans="1:4" s="325" customFormat="1" ht="15" hidden="1" customHeight="1">
      <c r="A261" s="326"/>
      <c r="B261" s="327">
        <v>11</v>
      </c>
      <c r="C261" s="327" t="s">
        <v>48</v>
      </c>
      <c r="D261" s="327" t="s">
        <v>49</v>
      </c>
    </row>
    <row r="262" spans="1:4" s="325" customFormat="1" ht="15" hidden="1" customHeight="1">
      <c r="A262" s="326"/>
      <c r="B262" s="327">
        <v>12</v>
      </c>
      <c r="C262" s="327" t="s">
        <v>50</v>
      </c>
      <c r="D262" s="327" t="s">
        <v>51</v>
      </c>
    </row>
    <row r="263" spans="1:4" s="325" customFormat="1" ht="15" hidden="1" customHeight="1">
      <c r="A263" s="326"/>
      <c r="B263" s="327">
        <v>13</v>
      </c>
      <c r="C263" s="327" t="s">
        <v>52</v>
      </c>
      <c r="D263" s="327" t="s">
        <v>53</v>
      </c>
    </row>
    <row r="264" spans="1:4" s="325" customFormat="1" ht="15" hidden="1" customHeight="1">
      <c r="A264" s="326"/>
      <c r="B264" s="327">
        <v>14</v>
      </c>
      <c r="C264" s="327" t="s">
        <v>54</v>
      </c>
      <c r="D264" s="327" t="s">
        <v>55</v>
      </c>
    </row>
    <row r="265" spans="1:4" s="325" customFormat="1" ht="15" hidden="1" customHeight="1">
      <c r="A265" s="326"/>
      <c r="B265" s="327">
        <v>15</v>
      </c>
      <c r="C265" s="327" t="s">
        <v>56</v>
      </c>
      <c r="D265" s="327" t="s">
        <v>57</v>
      </c>
    </row>
    <row r="266" spans="1:4" s="325" customFormat="1" ht="15" hidden="1" customHeight="1">
      <c r="A266" s="326"/>
      <c r="B266" s="327">
        <v>16</v>
      </c>
      <c r="C266" s="327" t="s">
        <v>58</v>
      </c>
      <c r="D266" s="327" t="s">
        <v>59</v>
      </c>
    </row>
    <row r="267" spans="1:4" s="325" customFormat="1" ht="15" hidden="1" customHeight="1">
      <c r="A267" s="326"/>
      <c r="B267" s="327">
        <v>17</v>
      </c>
      <c r="C267" s="327" t="s">
        <v>60</v>
      </c>
      <c r="D267" s="327" t="s">
        <v>61</v>
      </c>
    </row>
    <row r="268" spans="1:4" s="325" customFormat="1" ht="15" hidden="1" customHeight="1">
      <c r="A268" s="326"/>
      <c r="B268" s="327">
        <v>18</v>
      </c>
      <c r="C268" s="327" t="s">
        <v>62</v>
      </c>
      <c r="D268" s="327" t="s">
        <v>63</v>
      </c>
    </row>
    <row r="269" spans="1:4" s="325" customFormat="1" ht="15" hidden="1" customHeight="1">
      <c r="A269" s="326"/>
      <c r="B269" s="327">
        <v>19</v>
      </c>
      <c r="C269" s="327" t="s">
        <v>64</v>
      </c>
      <c r="D269" s="327" t="s">
        <v>65</v>
      </c>
    </row>
    <row r="270" spans="1:4" s="325" customFormat="1" ht="15" hidden="1" customHeight="1">
      <c r="A270" s="326"/>
      <c r="B270" s="327">
        <v>20</v>
      </c>
      <c r="C270" s="327" t="s">
        <v>66</v>
      </c>
      <c r="D270" s="327" t="s">
        <v>67</v>
      </c>
    </row>
    <row r="271" spans="1:4" s="325" customFormat="1" ht="15" hidden="1" customHeight="1">
      <c r="A271" s="326"/>
      <c r="B271" s="327">
        <v>21</v>
      </c>
      <c r="C271" s="327" t="s">
        <v>68</v>
      </c>
      <c r="D271" s="327" t="s">
        <v>69</v>
      </c>
    </row>
    <row r="272" spans="1:4" s="325" customFormat="1" ht="15" hidden="1" customHeight="1">
      <c r="A272" s="326"/>
      <c r="B272" s="327">
        <v>22</v>
      </c>
      <c r="C272" s="327" t="s">
        <v>70</v>
      </c>
      <c r="D272" s="327" t="s">
        <v>71</v>
      </c>
    </row>
    <row r="273" spans="1:4" s="325" customFormat="1" ht="15" hidden="1" customHeight="1">
      <c r="A273" s="326"/>
      <c r="B273" s="327">
        <v>23</v>
      </c>
      <c r="C273" s="327" t="s">
        <v>72</v>
      </c>
      <c r="D273" s="327" t="s">
        <v>73</v>
      </c>
    </row>
    <row r="274" spans="1:4" s="325" customFormat="1" ht="15" hidden="1" customHeight="1">
      <c r="A274" s="326"/>
      <c r="B274" s="327">
        <v>24</v>
      </c>
      <c r="C274" s="327" t="s">
        <v>74</v>
      </c>
      <c r="D274" s="327" t="s">
        <v>75</v>
      </c>
    </row>
    <row r="275" spans="1:4" s="325" customFormat="1" ht="15" hidden="1" customHeight="1">
      <c r="A275" s="326"/>
      <c r="B275" s="327">
        <v>25</v>
      </c>
      <c r="C275" s="327" t="s">
        <v>76</v>
      </c>
      <c r="D275" s="327" t="s">
        <v>77</v>
      </c>
    </row>
    <row r="276" spans="1:4" s="325" customFormat="1" ht="15" hidden="1" customHeight="1">
      <c r="A276" s="326"/>
      <c r="B276" s="327">
        <v>26</v>
      </c>
      <c r="C276" s="327" t="s">
        <v>78</v>
      </c>
      <c r="D276" s="327" t="s">
        <v>79</v>
      </c>
    </row>
    <row r="277" spans="1:4" s="325" customFormat="1" ht="15" hidden="1" customHeight="1">
      <c r="A277" s="326"/>
      <c r="B277" s="327">
        <v>27</v>
      </c>
      <c r="C277" s="327" t="s">
        <v>80</v>
      </c>
      <c r="D277" s="327" t="s">
        <v>81</v>
      </c>
    </row>
    <row r="278" spans="1:4" s="325" customFormat="1" ht="15" hidden="1" customHeight="1">
      <c r="A278" s="326"/>
      <c r="B278" s="327">
        <v>28</v>
      </c>
      <c r="C278" s="327" t="s">
        <v>82</v>
      </c>
      <c r="D278" s="327" t="s">
        <v>83</v>
      </c>
    </row>
    <row r="279" spans="1:4" s="325" customFormat="1" ht="15" hidden="1" customHeight="1">
      <c r="A279" s="326"/>
      <c r="B279" s="327">
        <v>29</v>
      </c>
      <c r="C279" s="327" t="s">
        <v>84</v>
      </c>
      <c r="D279" s="327" t="s">
        <v>85</v>
      </c>
    </row>
    <row r="280" spans="1:4" s="325" customFormat="1" ht="15" hidden="1" customHeight="1">
      <c r="A280" s="326"/>
      <c r="B280" s="327">
        <v>30</v>
      </c>
      <c r="C280" s="327" t="s">
        <v>86</v>
      </c>
      <c r="D280" s="327" t="s">
        <v>87</v>
      </c>
    </row>
    <row r="281" spans="1:4" s="325" customFormat="1" ht="15" hidden="1" customHeight="1">
      <c r="A281" s="326"/>
      <c r="B281" s="327">
        <v>31</v>
      </c>
      <c r="C281" s="327" t="s">
        <v>88</v>
      </c>
      <c r="D281" s="327" t="s">
        <v>89</v>
      </c>
    </row>
    <row r="282" spans="1:4" s="325" customFormat="1" ht="15" hidden="1" customHeight="1">
      <c r="A282" s="326"/>
      <c r="B282" s="327">
        <v>32</v>
      </c>
      <c r="C282" s="327" t="s">
        <v>90</v>
      </c>
      <c r="D282" s="327" t="s">
        <v>91</v>
      </c>
    </row>
    <row r="283" spans="1:4" s="325" customFormat="1" ht="15" hidden="1" customHeight="1">
      <c r="A283" s="326"/>
      <c r="B283" s="327">
        <v>33</v>
      </c>
      <c r="C283" s="327" t="s">
        <v>92</v>
      </c>
      <c r="D283" s="327" t="s">
        <v>93</v>
      </c>
    </row>
    <row r="284" spans="1:4" s="325" customFormat="1" ht="15" hidden="1" customHeight="1">
      <c r="A284" s="326"/>
      <c r="B284" s="327">
        <v>34</v>
      </c>
      <c r="C284" s="327" t="s">
        <v>94</v>
      </c>
      <c r="D284" s="327" t="s">
        <v>95</v>
      </c>
    </row>
    <row r="285" spans="1:4" s="325" customFormat="1" ht="15" hidden="1" customHeight="1">
      <c r="A285" s="326"/>
      <c r="B285" s="327">
        <v>35</v>
      </c>
      <c r="C285" s="327" t="s">
        <v>96</v>
      </c>
      <c r="D285" s="327" t="s">
        <v>97</v>
      </c>
    </row>
    <row r="286" spans="1:4" s="325" customFormat="1" ht="15" hidden="1" customHeight="1">
      <c r="A286" s="326"/>
      <c r="B286" s="327">
        <v>36</v>
      </c>
      <c r="C286" s="327" t="s">
        <v>98</v>
      </c>
      <c r="D286" s="327" t="s">
        <v>99</v>
      </c>
    </row>
    <row r="287" spans="1:4" s="325" customFormat="1" ht="15" hidden="1" customHeight="1">
      <c r="A287" s="326"/>
      <c r="B287" s="327">
        <v>37</v>
      </c>
      <c r="C287" s="327" t="s">
        <v>100</v>
      </c>
      <c r="D287" s="327" t="s">
        <v>101</v>
      </c>
    </row>
    <row r="288" spans="1:4" s="325" customFormat="1" ht="15" hidden="1" customHeight="1">
      <c r="A288" s="326"/>
      <c r="B288" s="327">
        <v>38</v>
      </c>
      <c r="C288" s="327" t="s">
        <v>102</v>
      </c>
      <c r="D288" s="327" t="s">
        <v>103</v>
      </c>
    </row>
    <row r="289" spans="1:4" s="325" customFormat="1" ht="15" hidden="1" customHeight="1">
      <c r="A289" s="326"/>
      <c r="B289" s="327">
        <v>39</v>
      </c>
      <c r="C289" s="327" t="s">
        <v>104</v>
      </c>
      <c r="D289" s="327" t="s">
        <v>105</v>
      </c>
    </row>
    <row r="290" spans="1:4" s="325" customFormat="1" ht="15" hidden="1" customHeight="1">
      <c r="A290" s="326"/>
      <c r="B290" s="327">
        <v>40</v>
      </c>
      <c r="C290" s="327" t="s">
        <v>106</v>
      </c>
      <c r="D290" s="327" t="s">
        <v>107</v>
      </c>
    </row>
    <row r="291" spans="1:4" s="325" customFormat="1" ht="15" hidden="1" customHeight="1">
      <c r="A291" s="326"/>
      <c r="B291" s="327">
        <v>41</v>
      </c>
      <c r="C291" s="327" t="s">
        <v>108</v>
      </c>
      <c r="D291" s="327" t="s">
        <v>109</v>
      </c>
    </row>
    <row r="292" spans="1:4" s="325" customFormat="1" ht="15" hidden="1" customHeight="1">
      <c r="A292" s="326"/>
      <c r="B292" s="327">
        <v>42</v>
      </c>
      <c r="C292" s="327" t="s">
        <v>110</v>
      </c>
      <c r="D292" s="327" t="s">
        <v>111</v>
      </c>
    </row>
    <row r="293" spans="1:4" s="325" customFormat="1" ht="15" hidden="1" customHeight="1">
      <c r="A293" s="326"/>
      <c r="B293" s="327">
        <v>43</v>
      </c>
      <c r="C293" s="327" t="s">
        <v>112</v>
      </c>
      <c r="D293" s="327" t="s">
        <v>113</v>
      </c>
    </row>
    <row r="294" spans="1:4" s="325" customFormat="1" ht="15" hidden="1" customHeight="1">
      <c r="A294" s="326"/>
      <c r="B294" s="327">
        <v>44</v>
      </c>
      <c r="C294" s="327" t="s">
        <v>114</v>
      </c>
      <c r="D294" s="327" t="s">
        <v>115</v>
      </c>
    </row>
    <row r="295" spans="1:4" s="325" customFormat="1" ht="15" hidden="1" customHeight="1">
      <c r="A295" s="326"/>
      <c r="B295" s="327">
        <v>45</v>
      </c>
      <c r="C295" s="327" t="s">
        <v>116</v>
      </c>
      <c r="D295" s="327" t="s">
        <v>117</v>
      </c>
    </row>
    <row r="296" spans="1:4" s="325" customFormat="1" ht="15" hidden="1" customHeight="1">
      <c r="A296" s="326"/>
      <c r="B296" s="327"/>
      <c r="C296" s="327"/>
      <c r="D296" s="327"/>
    </row>
    <row r="297" spans="1:4" s="325" customFormat="1" ht="15" hidden="1" customHeight="1">
      <c r="A297" s="326"/>
      <c r="B297" s="327"/>
      <c r="C297" s="327"/>
      <c r="D297" s="327"/>
    </row>
    <row r="298" spans="1:4" s="325" customFormat="1" ht="15" hidden="1" customHeight="1">
      <c r="A298" s="326"/>
      <c r="B298" s="327"/>
      <c r="C298" s="327"/>
      <c r="D298" s="327"/>
    </row>
    <row r="299" spans="1:4" s="325" customFormat="1" ht="15" hidden="1" customHeight="1">
      <c r="A299" s="326"/>
      <c r="B299" s="327"/>
      <c r="C299" s="327"/>
      <c r="D299" s="327"/>
    </row>
    <row r="300" spans="1:4" s="325" customFormat="1" ht="15" hidden="1" customHeight="1">
      <c r="A300" s="326"/>
      <c r="B300" s="327"/>
      <c r="C300" s="327"/>
      <c r="D300" s="327"/>
    </row>
    <row r="301" spans="1:4" s="325" customFormat="1" ht="15" hidden="1" customHeight="1">
      <c r="A301" s="326"/>
      <c r="B301" s="327"/>
      <c r="C301" s="327"/>
      <c r="D301" s="327"/>
    </row>
    <row r="302" spans="1:4" s="325" customFormat="1" ht="15" hidden="1" customHeight="1">
      <c r="A302" s="326"/>
      <c r="B302" s="327"/>
      <c r="C302" s="327"/>
      <c r="D302" s="327"/>
    </row>
    <row r="303" spans="1:4" s="325" customFormat="1" ht="15" hidden="1" customHeight="1">
      <c r="A303" s="326"/>
      <c r="B303" s="327"/>
      <c r="C303" s="327"/>
      <c r="D303" s="327"/>
    </row>
    <row r="304" spans="1:4" s="325" customFormat="1" ht="15" hidden="1" customHeight="1">
      <c r="A304" s="326"/>
      <c r="B304" s="327"/>
      <c r="C304" s="327"/>
      <c r="D304" s="327"/>
    </row>
    <row r="305" spans="1:4" s="325" customFormat="1" ht="15" hidden="1" customHeight="1">
      <c r="A305" s="326"/>
      <c r="B305" s="327"/>
      <c r="C305" s="327"/>
      <c r="D305" s="327"/>
    </row>
    <row r="306" spans="1:4" s="325" customFormat="1" ht="15" hidden="1" customHeight="1">
      <c r="A306" s="326"/>
      <c r="B306" s="327"/>
      <c r="C306" s="327"/>
      <c r="D306" s="327"/>
    </row>
    <row r="307" spans="1:4" s="325" customFormat="1" ht="15" hidden="1" customHeight="1">
      <c r="A307" s="326"/>
      <c r="B307" s="327"/>
      <c r="C307" s="327"/>
      <c r="D307" s="327"/>
    </row>
    <row r="308" spans="1:4" s="325" customFormat="1" ht="15" hidden="1" customHeight="1">
      <c r="A308" s="326"/>
      <c r="B308" s="327"/>
      <c r="C308" s="327"/>
      <c r="D308" s="327"/>
    </row>
    <row r="309" spans="1:4" s="325" customFormat="1" ht="15" hidden="1" customHeight="1">
      <c r="A309" s="326"/>
      <c r="B309" s="327"/>
      <c r="C309" s="327"/>
      <c r="D309" s="327"/>
    </row>
    <row r="310" spans="1:4" s="325" customFormat="1" ht="15" hidden="1" customHeight="1">
      <c r="A310" s="326"/>
      <c r="B310" s="327"/>
      <c r="C310" s="327"/>
      <c r="D310" s="327"/>
    </row>
    <row r="311" spans="1:4" s="325" customFormat="1" ht="15" hidden="1" customHeight="1">
      <c r="A311" s="326"/>
      <c r="B311" s="327"/>
      <c r="C311" s="327"/>
      <c r="D311" s="327"/>
    </row>
    <row r="312" spans="1:4" s="325" customFormat="1" ht="15" hidden="1" customHeight="1">
      <c r="A312" s="326"/>
      <c r="B312" s="327"/>
      <c r="C312" s="327"/>
      <c r="D312" s="327"/>
    </row>
    <row r="313" spans="1:4" s="325" customFormat="1" ht="15" hidden="1" customHeight="1">
      <c r="A313" s="326"/>
      <c r="B313" s="327"/>
      <c r="C313" s="327"/>
      <c r="D313" s="327"/>
    </row>
    <row r="314" spans="1:4" s="325" customFormat="1" ht="15" hidden="1" customHeight="1">
      <c r="A314" s="326"/>
      <c r="B314" s="327"/>
      <c r="C314" s="327"/>
      <c r="D314" s="327"/>
    </row>
    <row r="315" spans="1:4" s="325" customFormat="1" ht="15" hidden="1" customHeight="1">
      <c r="A315" s="326"/>
      <c r="B315" s="327"/>
      <c r="C315" s="327"/>
      <c r="D315" s="327"/>
    </row>
    <row r="316" spans="1:4" s="325" customFormat="1" ht="15" hidden="1" customHeight="1">
      <c r="A316" s="326"/>
      <c r="B316" s="327">
        <v>0</v>
      </c>
      <c r="C316" s="327" t="s">
        <v>118</v>
      </c>
      <c r="D316" s="328">
        <v>0</v>
      </c>
    </row>
    <row r="317" spans="1:4" s="325" customFormat="1" ht="15" hidden="1" customHeight="1"/>
    <row r="318" spans="1:4" s="325" customFormat="1" ht="15" hidden="1" customHeight="1"/>
    <row r="319" spans="1:4" s="325" customFormat="1" ht="15" hidden="1" customHeight="1">
      <c r="B319" s="329" t="s">
        <v>1</v>
      </c>
      <c r="C319" s="329">
        <v>2024</v>
      </c>
      <c r="D319" s="329" t="s">
        <v>119</v>
      </c>
    </row>
    <row r="320" spans="1:4" s="325" customFormat="1" ht="15" hidden="1" customHeight="1">
      <c r="B320" s="329" t="s">
        <v>120</v>
      </c>
      <c r="C320" s="329">
        <v>2025</v>
      </c>
      <c r="D320" s="329" t="s">
        <v>121</v>
      </c>
    </row>
    <row r="321" spans="2:4" s="325" customFormat="1" ht="15" hidden="1" customHeight="1">
      <c r="B321" s="329" t="s">
        <v>122</v>
      </c>
      <c r="C321" s="329">
        <v>2026</v>
      </c>
      <c r="D321" s="329" t="s">
        <v>123</v>
      </c>
    </row>
    <row r="322" spans="2:4" s="325" customFormat="1" ht="15" hidden="1" customHeight="1">
      <c r="B322" s="329" t="s">
        <v>124</v>
      </c>
      <c r="C322" s="329">
        <v>2027</v>
      </c>
      <c r="D322" s="329" t="s">
        <v>125</v>
      </c>
    </row>
    <row r="323" spans="2:4" s="325" customFormat="1" ht="15" hidden="1" customHeight="1">
      <c r="B323" s="329" t="s">
        <v>126</v>
      </c>
      <c r="C323" s="329">
        <v>2028</v>
      </c>
      <c r="D323" s="329" t="s">
        <v>127</v>
      </c>
    </row>
    <row r="324" spans="2:4" s="325" customFormat="1" ht="15" hidden="1" customHeight="1">
      <c r="B324" s="329" t="s">
        <v>567</v>
      </c>
      <c r="C324" s="329">
        <v>2029</v>
      </c>
      <c r="D324" s="329" t="s">
        <v>128</v>
      </c>
    </row>
    <row r="325" spans="2:4" ht="14.25" hidden="1">
      <c r="D325" s="329" t="s">
        <v>568</v>
      </c>
    </row>
    <row r="326" spans="2:4" hidden="1"/>
    <row r="327" spans="2:4" hidden="1"/>
    <row r="328" spans="2:4" hidden="1"/>
    <row r="329" spans="2:4" hidden="1"/>
    <row r="330" spans="2:4" hidden="1"/>
    <row r="331" spans="2:4" hidden="1"/>
    <row r="332" spans="2:4" hidden="1"/>
    <row r="333" spans="2:4" hidden="1"/>
    <row r="334" spans="2:4" hidden="1"/>
    <row r="335" spans="2:4" hidden="1"/>
    <row r="336" spans="2:4" hidden="1"/>
    <row r="337" hidden="1"/>
  </sheetData>
  <sheetProtection algorithmName="SHA-512" hashValue="uFBg3EereeqoGOh/0KRFmJsvAkOYtEXKN4kCO0lGG8xfma0qKUUCyWYsS4Y9A6qOwtc4WLPOrB4gegW352WfFQ==" saltValue="BMSPrEJaNsGt9xL4+gDpfQ==" spinCount="100000" sheet="1" objects="1" scenarios="1"/>
  <mergeCells count="20">
    <mergeCell ref="B17:F17"/>
    <mergeCell ref="A6:F6"/>
    <mergeCell ref="A7:F7"/>
    <mergeCell ref="A8:F8"/>
    <mergeCell ref="A10:F10"/>
    <mergeCell ref="A11:F11"/>
    <mergeCell ref="B13:F13"/>
    <mergeCell ref="B14:F14"/>
    <mergeCell ref="B15:F15"/>
    <mergeCell ref="B16:F16"/>
    <mergeCell ref="B28:F28"/>
    <mergeCell ref="B29:F29"/>
    <mergeCell ref="A31:F31"/>
    <mergeCell ref="A32:F32"/>
    <mergeCell ref="B18:F18"/>
    <mergeCell ref="B19:F19"/>
    <mergeCell ref="B20:F20"/>
    <mergeCell ref="B21:F21"/>
    <mergeCell ref="A26:F26"/>
    <mergeCell ref="A24:F24"/>
  </mergeCells>
  <phoneticPr fontId="45" type="noConversion"/>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130"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20" t="s">
        <v>129</v>
      </c>
      <c r="B1" s="320"/>
      <c r="C1" s="320"/>
      <c r="D1" s="320"/>
      <c r="E1" s="320"/>
      <c r="F1" s="320"/>
      <c r="G1" s="320"/>
      <c r="H1" s="320"/>
      <c r="I1" s="320"/>
      <c r="J1" s="320"/>
      <c r="K1" s="320"/>
      <c r="L1" s="320"/>
      <c r="M1" s="320"/>
    </row>
    <row r="2" spans="1:15" ht="15" customHeight="1"/>
    <row r="3" spans="1:15" ht="15" customHeight="1">
      <c r="A3" s="62" t="s">
        <v>130</v>
      </c>
    </row>
    <row r="4" spans="1:15" ht="15" customHeight="1">
      <c r="A4" s="219" t="s">
        <v>131</v>
      </c>
      <c r="O4" s="220"/>
    </row>
    <row r="5" spans="1:15" ht="15" customHeight="1">
      <c r="A5" s="219" t="s">
        <v>132</v>
      </c>
      <c r="O5" s="220"/>
    </row>
    <row r="6" spans="1:15" ht="15" customHeight="1">
      <c r="A6" s="219" t="s">
        <v>133</v>
      </c>
      <c r="O6" s="220"/>
    </row>
    <row r="7" spans="1:15" ht="15" customHeight="1">
      <c r="A7" s="219" t="s">
        <v>134</v>
      </c>
      <c r="O7" s="220"/>
    </row>
    <row r="8" spans="1:15" ht="15" customHeight="1">
      <c r="O8" s="220"/>
    </row>
    <row r="9" spans="1:15" ht="15" customHeight="1">
      <c r="A9" s="62" t="s">
        <v>135</v>
      </c>
      <c r="O9" s="220"/>
    </row>
    <row r="10" spans="1:15">
      <c r="A10" s="62" t="s">
        <v>136</v>
      </c>
      <c r="L10" s="61"/>
      <c r="M10" s="61"/>
      <c r="N10" s="221"/>
    </row>
    <row r="11" spans="1:15">
      <c r="A11" s="319" t="s">
        <v>137</v>
      </c>
      <c r="B11" s="221"/>
      <c r="C11" s="221"/>
      <c r="D11" s="221"/>
      <c r="E11" s="221"/>
      <c r="F11" s="221"/>
      <c r="G11" s="221"/>
      <c r="H11" s="221"/>
      <c r="I11" s="221"/>
      <c r="J11" s="221"/>
      <c r="K11" s="221"/>
      <c r="L11" s="221"/>
      <c r="M11" s="221"/>
      <c r="N11" s="221"/>
    </row>
    <row r="12" spans="1:15">
      <c r="A12" s="62" t="s">
        <v>138</v>
      </c>
      <c r="B12" s="62"/>
      <c r="C12" s="62"/>
      <c r="D12" s="62"/>
      <c r="E12" s="62"/>
      <c r="F12" s="62"/>
      <c r="G12" s="62"/>
      <c r="H12" s="62"/>
      <c r="I12" s="62"/>
      <c r="J12" s="62"/>
      <c r="K12" s="62"/>
    </row>
    <row r="13" spans="1:15" ht="15" customHeight="1">
      <c r="A13" s="62" t="s">
        <v>139</v>
      </c>
      <c r="B13" s="62"/>
      <c r="C13" s="62"/>
      <c r="D13" s="62"/>
      <c r="E13" s="62"/>
      <c r="F13" s="62"/>
      <c r="G13" s="62"/>
      <c r="H13" s="62"/>
      <c r="I13" s="62"/>
      <c r="J13" s="62"/>
      <c r="K13" s="62"/>
    </row>
    <row r="14" spans="1:15" ht="15" customHeight="1">
      <c r="A14" s="221"/>
      <c r="B14" s="221"/>
      <c r="C14" s="221"/>
      <c r="D14" s="221"/>
      <c r="E14" s="221"/>
      <c r="F14" s="221"/>
      <c r="G14" s="221"/>
      <c r="H14" s="221"/>
      <c r="I14" s="221"/>
      <c r="J14" s="221"/>
      <c r="K14" s="221"/>
      <c r="L14" s="221"/>
      <c r="M14" s="221"/>
    </row>
    <row r="15" spans="1:15" ht="15" customHeight="1">
      <c r="A15" s="439" t="s">
        <v>140</v>
      </c>
      <c r="B15" s="439"/>
      <c r="C15" s="439"/>
      <c r="D15" s="439"/>
      <c r="E15" s="439"/>
      <c r="F15" s="439"/>
      <c r="G15" s="439"/>
      <c r="H15" s="439"/>
      <c r="I15" s="439"/>
      <c r="J15" s="439"/>
      <c r="K15" s="439"/>
      <c r="L15" s="439"/>
      <c r="M15" s="439"/>
    </row>
    <row r="16" spans="1:15">
      <c r="A16" s="438" t="s">
        <v>141</v>
      </c>
      <c r="B16" s="438"/>
      <c r="C16" s="438"/>
      <c r="D16" s="438"/>
      <c r="E16" s="438"/>
      <c r="F16" s="438"/>
      <c r="G16" s="438"/>
      <c r="H16" s="438"/>
      <c r="I16" s="438"/>
      <c r="J16" s="438"/>
      <c r="K16" s="438"/>
      <c r="L16" s="438"/>
      <c r="M16" s="438"/>
    </row>
    <row r="17" spans="1:13" ht="15" customHeight="1">
      <c r="A17" s="438" t="s">
        <v>142</v>
      </c>
      <c r="B17" s="438"/>
      <c r="C17" s="438"/>
      <c r="D17" s="438"/>
      <c r="E17" s="438"/>
      <c r="F17" s="438"/>
      <c r="G17" s="438"/>
      <c r="H17" s="438"/>
      <c r="I17" s="438"/>
      <c r="J17" s="438"/>
      <c r="K17" s="438"/>
      <c r="L17" s="438"/>
      <c r="M17" s="438"/>
    </row>
    <row r="18" spans="1:13" ht="15" customHeight="1">
      <c r="A18" s="438" t="s">
        <v>143</v>
      </c>
      <c r="B18" s="438"/>
      <c r="C18" s="438"/>
      <c r="D18" s="438"/>
      <c r="E18" s="438"/>
      <c r="F18" s="438"/>
      <c r="G18" s="438"/>
      <c r="H18" s="438"/>
      <c r="I18" s="438"/>
      <c r="J18" s="438"/>
      <c r="K18" s="438"/>
      <c r="L18" s="438"/>
      <c r="M18" s="438"/>
    </row>
    <row r="19" spans="1:13" ht="15" customHeight="1">
      <c r="A19" s="438" t="s">
        <v>144</v>
      </c>
      <c r="B19" s="438"/>
      <c r="C19" s="438"/>
      <c r="D19" s="438"/>
      <c r="E19" s="438"/>
      <c r="F19" s="438"/>
      <c r="G19" s="438"/>
      <c r="H19" s="438"/>
      <c r="I19" s="438"/>
      <c r="J19" s="438"/>
      <c r="K19" s="438"/>
      <c r="L19" s="438"/>
      <c r="M19" s="438"/>
    </row>
    <row r="20" spans="1:13" ht="15" customHeight="1">
      <c r="A20" s="61"/>
      <c r="L20" s="61"/>
      <c r="M20" s="61"/>
    </row>
    <row r="21" spans="1:13" ht="27.6" customHeight="1">
      <c r="A21" s="222" t="s">
        <v>145</v>
      </c>
    </row>
    <row r="22" spans="1:13" ht="15.75">
      <c r="A22" s="224" t="s">
        <v>146</v>
      </c>
      <c r="B22" s="437" t="s">
        <v>147</v>
      </c>
      <c r="C22" s="437"/>
      <c r="D22" s="437"/>
      <c r="E22" s="437"/>
      <c r="F22" s="437"/>
      <c r="G22" s="437"/>
      <c r="H22" s="437"/>
      <c r="I22" s="437"/>
      <c r="J22" s="437"/>
      <c r="K22" s="437"/>
      <c r="L22" s="437"/>
      <c r="M22" s="437"/>
    </row>
    <row r="23" spans="1:13" ht="15.75">
      <c r="A23" s="224"/>
      <c r="B23" s="440" t="s">
        <v>527</v>
      </c>
      <c r="C23" s="440"/>
      <c r="D23" s="440"/>
      <c r="E23" s="440"/>
      <c r="F23" s="440"/>
      <c r="G23" s="440"/>
      <c r="H23" s="440"/>
      <c r="I23" s="440"/>
      <c r="J23" s="440"/>
      <c r="K23" s="440"/>
      <c r="L23" s="440"/>
      <c r="M23" s="440"/>
    </row>
    <row r="24" spans="1:13">
      <c r="A24" s="223"/>
      <c r="B24" s="435" t="s">
        <v>528</v>
      </c>
      <c r="C24" s="435"/>
      <c r="D24" s="435"/>
      <c r="E24" s="435"/>
      <c r="F24" s="435"/>
      <c r="G24" s="435"/>
      <c r="H24" s="435"/>
      <c r="I24" s="435"/>
      <c r="J24" s="435"/>
      <c r="K24" s="435"/>
      <c r="L24" s="435"/>
      <c r="M24" s="435"/>
    </row>
    <row r="25" spans="1:13">
      <c r="A25" s="223"/>
      <c r="B25" s="440" t="s">
        <v>529</v>
      </c>
      <c r="C25" s="440"/>
      <c r="D25" s="440"/>
      <c r="E25" s="440"/>
      <c r="F25" s="440"/>
      <c r="G25" s="440"/>
      <c r="H25" s="440"/>
      <c r="I25" s="440"/>
      <c r="J25" s="440"/>
      <c r="K25" s="440"/>
      <c r="L25" s="440"/>
      <c r="M25" s="440"/>
    </row>
    <row r="26" spans="1:13">
      <c r="A26" s="223"/>
      <c r="B26" s="440" t="s">
        <v>530</v>
      </c>
      <c r="C26" s="440"/>
      <c r="D26" s="440"/>
      <c r="E26" s="440"/>
      <c r="F26" s="440"/>
      <c r="G26" s="440"/>
      <c r="H26" s="440"/>
      <c r="I26" s="440"/>
      <c r="J26" s="440"/>
      <c r="K26" s="440"/>
      <c r="L26" s="440"/>
      <c r="M26" s="440"/>
    </row>
    <row r="27" spans="1:13" ht="22.9" customHeight="1">
      <c r="A27" s="223"/>
      <c r="B27" s="449" t="s">
        <v>148</v>
      </c>
      <c r="C27" s="449"/>
      <c r="D27" s="449"/>
      <c r="E27" s="449"/>
      <c r="F27" s="449"/>
      <c r="G27" s="449"/>
      <c r="H27" s="449"/>
      <c r="I27" s="449"/>
      <c r="J27" s="449"/>
    </row>
    <row r="28" spans="1:13">
      <c r="A28" s="223"/>
      <c r="B28" s="438" t="s">
        <v>531</v>
      </c>
      <c r="C28" s="438"/>
      <c r="D28" s="438"/>
      <c r="E28" s="438"/>
      <c r="F28" s="438"/>
      <c r="G28" s="438"/>
      <c r="H28" s="438"/>
      <c r="I28" s="438"/>
      <c r="J28" s="438"/>
      <c r="K28" s="438"/>
      <c r="L28" s="438"/>
      <c r="M28" s="438"/>
    </row>
    <row r="29" spans="1:13">
      <c r="A29" s="223"/>
      <c r="B29" s="438" t="s">
        <v>532</v>
      </c>
      <c r="C29" s="438"/>
      <c r="D29" s="438"/>
      <c r="E29" s="438"/>
      <c r="F29" s="438"/>
      <c r="G29" s="438"/>
      <c r="H29" s="438"/>
      <c r="I29" s="438"/>
      <c r="J29" s="438"/>
      <c r="K29" s="438"/>
      <c r="L29" s="438"/>
      <c r="M29" s="438"/>
    </row>
    <row r="30" spans="1:13">
      <c r="A30" s="223"/>
      <c r="B30" s="438" t="s">
        <v>149</v>
      </c>
      <c r="C30" s="438"/>
      <c r="D30" s="438"/>
      <c r="E30" s="438"/>
      <c r="F30" s="438"/>
      <c r="G30" s="438"/>
      <c r="H30" s="438"/>
      <c r="I30" s="438"/>
      <c r="J30" s="438"/>
      <c r="K30" s="438"/>
      <c r="L30" s="438"/>
      <c r="M30" s="438"/>
    </row>
    <row r="31" spans="1:13">
      <c r="A31" s="223"/>
      <c r="B31" s="438" t="s">
        <v>533</v>
      </c>
      <c r="C31" s="438"/>
      <c r="D31" s="438"/>
      <c r="E31" s="438"/>
      <c r="F31" s="438"/>
      <c r="G31" s="438"/>
      <c r="H31" s="438"/>
      <c r="I31" s="438"/>
      <c r="J31" s="438"/>
      <c r="K31" s="438"/>
      <c r="L31" s="438"/>
      <c r="M31" s="438"/>
    </row>
    <row r="32" spans="1:13">
      <c r="A32" s="223"/>
      <c r="B32" s="438" t="s">
        <v>150</v>
      </c>
      <c r="C32" s="438"/>
      <c r="D32" s="438"/>
      <c r="E32" s="438"/>
      <c r="F32" s="438"/>
      <c r="G32" s="438"/>
      <c r="H32" s="438"/>
      <c r="I32" s="438"/>
      <c r="J32" s="438"/>
      <c r="K32" s="438"/>
      <c r="L32" s="438"/>
      <c r="M32" s="438"/>
    </row>
    <row r="33" spans="1:25" ht="22.9" customHeight="1">
      <c r="A33" s="223"/>
      <c r="B33" s="449" t="s">
        <v>534</v>
      </c>
      <c r="C33" s="449"/>
      <c r="D33" s="449"/>
      <c r="E33" s="449"/>
      <c r="F33" s="449"/>
      <c r="G33" s="449"/>
      <c r="H33" s="449"/>
      <c r="I33" s="449"/>
      <c r="J33" s="449"/>
      <c r="K33" s="449"/>
      <c r="L33" s="449"/>
      <c r="M33" s="449"/>
    </row>
    <row r="34" spans="1:25" ht="21.6" customHeight="1">
      <c r="B34" s="448" t="s">
        <v>151</v>
      </c>
      <c r="C34" s="448"/>
      <c r="D34" s="448"/>
      <c r="E34" s="448"/>
      <c r="F34" s="448"/>
      <c r="G34" s="448"/>
      <c r="H34" s="448"/>
      <c r="I34" s="448"/>
      <c r="J34" s="448"/>
      <c r="K34" s="448"/>
      <c r="L34" s="448"/>
      <c r="M34" s="448"/>
      <c r="N34" s="447"/>
      <c r="O34" s="447"/>
      <c r="P34" s="447"/>
      <c r="Q34" s="447"/>
      <c r="R34" s="447"/>
      <c r="S34" s="447"/>
      <c r="T34" s="447"/>
      <c r="U34" s="447"/>
      <c r="V34" s="447"/>
      <c r="W34" s="447"/>
      <c r="X34" s="447"/>
    </row>
    <row r="35" spans="1:25" ht="39" customHeight="1">
      <c r="B35" s="448" t="s">
        <v>152</v>
      </c>
      <c r="C35" s="448"/>
      <c r="D35" s="448"/>
      <c r="E35" s="448"/>
      <c r="F35" s="448"/>
      <c r="G35" s="448"/>
      <c r="H35" s="448"/>
      <c r="I35" s="448"/>
      <c r="J35" s="448"/>
      <c r="K35" s="448"/>
      <c r="L35" s="448"/>
      <c r="M35" s="448"/>
      <c r="O35" s="447"/>
      <c r="P35" s="447"/>
      <c r="Q35" s="447"/>
      <c r="R35" s="447"/>
      <c r="S35" s="447"/>
      <c r="T35" s="447"/>
      <c r="U35" s="447"/>
      <c r="V35" s="447"/>
      <c r="W35" s="447"/>
      <c r="X35" s="447"/>
      <c r="Y35" s="447"/>
    </row>
    <row r="37" spans="1:25" ht="42.6" customHeight="1">
      <c r="A37" s="224" t="s">
        <v>153</v>
      </c>
      <c r="B37" s="440" t="s">
        <v>154</v>
      </c>
      <c r="C37" s="440"/>
      <c r="D37" s="440"/>
      <c r="E37" s="440"/>
      <c r="F37" s="440"/>
      <c r="G37" s="440"/>
      <c r="H37" s="440"/>
      <c r="I37" s="440"/>
      <c r="J37" s="440"/>
      <c r="K37" s="440"/>
      <c r="L37" s="440"/>
      <c r="M37" s="440"/>
      <c r="O37" s="226"/>
    </row>
    <row r="38" spans="1:25" ht="33.6" customHeight="1">
      <c r="A38" s="224" t="s">
        <v>155</v>
      </c>
      <c r="B38" s="440" t="s">
        <v>156</v>
      </c>
      <c r="C38" s="440"/>
      <c r="D38" s="440"/>
      <c r="E38" s="440"/>
      <c r="F38" s="440"/>
      <c r="G38" s="440"/>
      <c r="H38" s="440"/>
      <c r="I38" s="440"/>
      <c r="J38" s="440"/>
      <c r="K38" s="440"/>
      <c r="L38" s="440"/>
      <c r="M38" s="440"/>
    </row>
    <row r="39" spans="1:25">
      <c r="A39" s="223"/>
      <c r="B39" s="448" t="s">
        <v>157</v>
      </c>
      <c r="C39" s="448"/>
      <c r="D39" s="448"/>
      <c r="E39" s="448"/>
      <c r="F39" s="448"/>
      <c r="G39" s="448"/>
      <c r="H39" s="448"/>
      <c r="I39" s="448"/>
      <c r="J39" s="448"/>
      <c r="K39" s="448"/>
      <c r="L39" s="448"/>
      <c r="M39" s="448"/>
    </row>
    <row r="40" spans="1:25">
      <c r="A40" s="223"/>
      <c r="B40" s="448" t="s">
        <v>158</v>
      </c>
      <c r="C40" s="448"/>
      <c r="D40" s="448"/>
      <c r="E40" s="448"/>
      <c r="F40" s="448"/>
      <c r="G40" s="448"/>
      <c r="H40" s="448"/>
      <c r="I40" s="448"/>
      <c r="J40" s="448"/>
      <c r="K40" s="448"/>
      <c r="L40" s="448"/>
      <c r="M40" s="448"/>
    </row>
    <row r="41" spans="1:25">
      <c r="A41" s="223"/>
      <c r="B41" s="434" t="s">
        <v>159</v>
      </c>
      <c r="C41" s="434"/>
      <c r="D41" s="434"/>
      <c r="E41" s="434"/>
      <c r="F41" s="434"/>
      <c r="G41" s="434"/>
      <c r="H41" s="434"/>
      <c r="I41" s="434"/>
      <c r="J41" s="434"/>
      <c r="K41" s="434"/>
    </row>
    <row r="42" spans="1:25">
      <c r="A42" s="223"/>
      <c r="B42" s="438" t="s">
        <v>160</v>
      </c>
      <c r="C42" s="438"/>
      <c r="D42" s="438"/>
      <c r="E42" s="438"/>
      <c r="F42" s="438"/>
      <c r="G42" s="438"/>
      <c r="H42" s="438"/>
      <c r="I42" s="438"/>
      <c r="J42" s="438"/>
      <c r="K42" s="438"/>
    </row>
    <row r="43" spans="1:25">
      <c r="A43" s="223"/>
      <c r="B43" s="438" t="s">
        <v>161</v>
      </c>
      <c r="C43" s="438"/>
      <c r="D43" s="438"/>
      <c r="E43" s="438"/>
      <c r="F43" s="438"/>
      <c r="G43" s="438"/>
      <c r="H43" s="438"/>
      <c r="I43" s="438"/>
      <c r="J43" s="438"/>
      <c r="K43" s="438"/>
    </row>
    <row r="44" spans="1:25">
      <c r="A44" s="223"/>
      <c r="B44" s="438" t="s">
        <v>162</v>
      </c>
      <c r="C44" s="438"/>
      <c r="D44" s="438"/>
      <c r="E44" s="438"/>
      <c r="F44" s="438"/>
      <c r="G44" s="438"/>
      <c r="H44" s="438"/>
      <c r="I44" s="438"/>
      <c r="J44" s="438"/>
      <c r="K44" s="438"/>
    </row>
    <row r="45" spans="1:25">
      <c r="A45" s="223"/>
      <c r="B45" s="438" t="s">
        <v>163</v>
      </c>
      <c r="C45" s="438"/>
      <c r="D45" s="438"/>
      <c r="E45" s="438"/>
      <c r="F45" s="438"/>
      <c r="G45" s="438"/>
      <c r="H45" s="438"/>
      <c r="I45" s="438"/>
      <c r="J45" s="438"/>
      <c r="K45" s="438"/>
      <c r="L45" s="438"/>
      <c r="M45" s="438"/>
    </row>
    <row r="46" spans="1:25">
      <c r="A46" s="223"/>
      <c r="B46" s="438" t="s">
        <v>164</v>
      </c>
      <c r="C46" s="438"/>
      <c r="D46" s="438"/>
      <c r="E46" s="438"/>
      <c r="F46" s="438"/>
      <c r="G46" s="438"/>
      <c r="H46" s="438"/>
      <c r="I46" s="438"/>
      <c r="J46" s="438"/>
      <c r="K46" s="438"/>
    </row>
    <row r="47" spans="1:25" ht="28.9" customHeight="1">
      <c r="A47" s="223"/>
      <c r="B47" s="438" t="s">
        <v>165</v>
      </c>
      <c r="C47" s="438"/>
      <c r="D47" s="438"/>
      <c r="E47" s="438"/>
      <c r="F47" s="438"/>
      <c r="G47" s="438"/>
      <c r="H47" s="438"/>
      <c r="I47" s="438"/>
      <c r="J47" s="438"/>
      <c r="K47" s="438"/>
    </row>
    <row r="48" spans="1:25" ht="25.9" customHeight="1">
      <c r="A48" s="224" t="s">
        <v>166</v>
      </c>
      <c r="B48" s="438" t="s">
        <v>167</v>
      </c>
      <c r="C48" s="438"/>
      <c r="D48" s="438"/>
      <c r="E48" s="438"/>
      <c r="F48" s="438"/>
      <c r="G48" s="438"/>
      <c r="H48" s="438"/>
      <c r="I48" s="438"/>
      <c r="J48" s="438"/>
      <c r="K48" s="438"/>
    </row>
    <row r="49" spans="1:13" ht="40.9" customHeight="1">
      <c r="A49" s="224" t="s">
        <v>168</v>
      </c>
      <c r="B49" s="440" t="s">
        <v>169</v>
      </c>
      <c r="C49" s="440"/>
      <c r="D49" s="440"/>
      <c r="E49" s="440"/>
      <c r="F49" s="440"/>
      <c r="G49" s="440"/>
      <c r="H49" s="440"/>
      <c r="I49" s="440"/>
      <c r="J49" s="440"/>
      <c r="K49" s="440"/>
      <c r="L49" s="440"/>
      <c r="M49" s="440"/>
    </row>
    <row r="50" spans="1:13" ht="30.6" customHeight="1">
      <c r="A50" s="224" t="s">
        <v>170</v>
      </c>
      <c r="B50" s="440" t="s">
        <v>171</v>
      </c>
      <c r="C50" s="440"/>
      <c r="D50" s="440"/>
      <c r="E50" s="440"/>
      <c r="F50" s="440"/>
      <c r="G50" s="440"/>
      <c r="H50" s="440"/>
      <c r="I50" s="440"/>
      <c r="J50" s="440"/>
      <c r="K50" s="440"/>
      <c r="L50" s="440"/>
      <c r="M50" s="440"/>
    </row>
    <row r="51" spans="1:13" ht="30.6" customHeight="1">
      <c r="A51" s="224" t="s">
        <v>172</v>
      </c>
      <c r="B51" s="437" t="s">
        <v>173</v>
      </c>
      <c r="C51" s="437"/>
      <c r="D51" s="437"/>
      <c r="E51" s="437"/>
      <c r="F51" s="437"/>
      <c r="G51" s="437"/>
      <c r="H51" s="437"/>
      <c r="I51" s="437"/>
      <c r="J51" s="437"/>
      <c r="K51" s="437"/>
      <c r="L51" s="437"/>
      <c r="M51" s="437"/>
    </row>
    <row r="52" spans="1:13" ht="45" customHeight="1">
      <c r="A52" s="224" t="s">
        <v>174</v>
      </c>
      <c r="B52" s="437" t="s">
        <v>175</v>
      </c>
      <c r="C52" s="437"/>
      <c r="D52" s="437"/>
      <c r="E52" s="437"/>
      <c r="F52" s="437"/>
      <c r="G52" s="437"/>
      <c r="H52" s="437"/>
      <c r="I52" s="437"/>
      <c r="J52" s="437"/>
      <c r="K52" s="437"/>
      <c r="L52" s="437"/>
      <c r="M52" s="437"/>
    </row>
    <row r="53" spans="1:13" ht="42" customHeight="1">
      <c r="A53" s="224" t="s">
        <v>176</v>
      </c>
      <c r="B53" s="437" t="s">
        <v>177</v>
      </c>
      <c r="C53" s="437"/>
      <c r="D53" s="437"/>
      <c r="E53" s="437"/>
      <c r="F53" s="437"/>
      <c r="G53" s="437"/>
      <c r="H53" s="437"/>
      <c r="I53" s="437"/>
      <c r="J53" s="437"/>
      <c r="K53" s="437"/>
      <c r="L53" s="437"/>
      <c r="M53" s="437"/>
    </row>
    <row r="54" spans="1:13" ht="26.45" customHeight="1">
      <c r="A54" s="224" t="s">
        <v>178</v>
      </c>
      <c r="B54" s="437" t="s">
        <v>179</v>
      </c>
      <c r="C54" s="437"/>
      <c r="D54" s="437"/>
      <c r="E54" s="437"/>
      <c r="F54" s="437"/>
      <c r="G54" s="437"/>
      <c r="H54" s="437"/>
      <c r="I54" s="437"/>
      <c r="J54" s="437"/>
      <c r="K54" s="437"/>
      <c r="L54" s="437"/>
      <c r="M54" s="437"/>
    </row>
    <row r="55" spans="1:13" ht="25.5" customHeight="1">
      <c r="A55" s="224" t="s">
        <v>180</v>
      </c>
      <c r="B55" s="437" t="s">
        <v>181</v>
      </c>
      <c r="C55" s="437"/>
      <c r="D55" s="437"/>
      <c r="E55" s="437"/>
      <c r="F55" s="437"/>
      <c r="G55" s="437"/>
      <c r="H55" s="437"/>
      <c r="I55" s="437"/>
      <c r="J55" s="437"/>
      <c r="K55" s="437"/>
      <c r="L55" s="437"/>
      <c r="M55" s="437"/>
    </row>
    <row r="56" spans="1:13" ht="37.5" customHeight="1">
      <c r="A56" s="224" t="s">
        <v>182</v>
      </c>
      <c r="B56" s="437" t="s">
        <v>183</v>
      </c>
      <c r="C56" s="437"/>
      <c r="D56" s="437"/>
      <c r="E56" s="437"/>
      <c r="F56" s="437"/>
      <c r="G56" s="437"/>
      <c r="H56" s="437"/>
      <c r="I56" s="437"/>
      <c r="J56" s="437"/>
      <c r="K56" s="437"/>
      <c r="L56" s="437"/>
      <c r="M56" s="437"/>
    </row>
    <row r="57" spans="1:13" ht="52.9" customHeight="1">
      <c r="A57" s="224" t="s">
        <v>184</v>
      </c>
      <c r="B57" s="437" t="s">
        <v>185</v>
      </c>
      <c r="C57" s="437"/>
      <c r="D57" s="437"/>
      <c r="E57" s="437"/>
      <c r="F57" s="437"/>
      <c r="G57" s="437"/>
      <c r="H57" s="437"/>
      <c r="I57" s="437"/>
      <c r="J57" s="437"/>
      <c r="K57" s="437"/>
      <c r="L57" s="437"/>
      <c r="M57" s="437"/>
    </row>
    <row r="58" spans="1:13" ht="35.450000000000003" customHeight="1">
      <c r="A58" s="223"/>
      <c r="B58" s="434" t="s">
        <v>535</v>
      </c>
      <c r="C58" s="434"/>
      <c r="D58" s="434"/>
      <c r="E58" s="434"/>
      <c r="F58" s="434"/>
      <c r="G58" s="434"/>
      <c r="H58" s="434"/>
      <c r="I58" s="434"/>
      <c r="J58" s="434"/>
      <c r="K58" s="434"/>
      <c r="L58" s="434"/>
      <c r="M58" s="434"/>
    </row>
    <row r="59" spans="1:13" ht="30" customHeight="1">
      <c r="A59" s="223"/>
      <c r="B59" s="434" t="s">
        <v>186</v>
      </c>
      <c r="C59" s="434"/>
      <c r="D59" s="434"/>
      <c r="E59" s="434"/>
      <c r="F59" s="434"/>
      <c r="G59" s="434"/>
      <c r="H59" s="434"/>
      <c r="I59" s="434"/>
      <c r="J59" s="434"/>
      <c r="K59" s="434"/>
      <c r="L59" s="434"/>
      <c r="M59" s="434"/>
    </row>
    <row r="60" spans="1:13" ht="30.6" customHeight="1">
      <c r="A60" s="321" t="s">
        <v>187</v>
      </c>
      <c r="B60" s="442" t="s">
        <v>188</v>
      </c>
      <c r="C60" s="442"/>
      <c r="D60" s="442"/>
      <c r="E60" s="442"/>
      <c r="F60" s="442"/>
      <c r="G60" s="442"/>
      <c r="H60" s="442"/>
      <c r="I60" s="442"/>
      <c r="J60" s="442"/>
      <c r="K60" s="442"/>
      <c r="L60" s="442"/>
      <c r="M60" s="442"/>
    </row>
    <row r="61" spans="1:13">
      <c r="A61" s="228"/>
      <c r="B61" s="436" t="s">
        <v>189</v>
      </c>
      <c r="C61" s="436"/>
      <c r="D61" s="436"/>
      <c r="E61" s="436"/>
      <c r="F61" s="436"/>
      <c r="G61" s="436"/>
      <c r="H61" s="436"/>
      <c r="I61" s="436"/>
      <c r="J61" s="436"/>
      <c r="K61" s="436"/>
      <c r="L61" s="436"/>
      <c r="M61" s="436"/>
    </row>
    <row r="62" spans="1:13" ht="31.15" customHeight="1">
      <c r="A62" s="228"/>
      <c r="B62" s="436" t="s">
        <v>190</v>
      </c>
      <c r="C62" s="436"/>
      <c r="D62" s="436"/>
      <c r="E62" s="436"/>
      <c r="F62" s="436"/>
      <c r="G62" s="436"/>
      <c r="H62" s="436"/>
      <c r="I62" s="436"/>
      <c r="J62" s="436"/>
      <c r="K62" s="436"/>
      <c r="L62" s="436"/>
      <c r="M62" s="436"/>
    </row>
    <row r="63" spans="1:13" ht="54" customHeight="1">
      <c r="A63" s="228"/>
      <c r="B63" s="436" t="s">
        <v>191</v>
      </c>
      <c r="C63" s="436"/>
      <c r="D63" s="436"/>
      <c r="E63" s="436"/>
      <c r="F63" s="436"/>
      <c r="G63" s="436"/>
      <c r="H63" s="436"/>
      <c r="I63" s="436"/>
      <c r="J63" s="436"/>
      <c r="K63" s="436"/>
      <c r="L63" s="436"/>
      <c r="M63" s="436"/>
    </row>
    <row r="64" spans="1:13" ht="33" customHeight="1">
      <c r="A64" s="229" t="s">
        <v>192</v>
      </c>
      <c r="B64" s="438" t="s">
        <v>193</v>
      </c>
      <c r="C64" s="438"/>
      <c r="D64" s="438"/>
      <c r="E64" s="438"/>
      <c r="F64" s="438"/>
      <c r="G64" s="438"/>
      <c r="H64" s="438"/>
      <c r="I64" s="438"/>
      <c r="J64" s="438"/>
      <c r="K64" s="438"/>
      <c r="L64" s="438"/>
      <c r="M64" s="438"/>
    </row>
    <row r="65" spans="1:13" ht="30.6" customHeight="1">
      <c r="A65" s="227" t="s">
        <v>194</v>
      </c>
      <c r="B65" s="437" t="s">
        <v>195</v>
      </c>
      <c r="C65" s="437"/>
      <c r="D65" s="437"/>
      <c r="E65" s="437"/>
      <c r="F65" s="437"/>
      <c r="G65" s="437"/>
      <c r="H65" s="437"/>
      <c r="I65" s="437"/>
      <c r="J65" s="437"/>
      <c r="K65" s="437"/>
      <c r="L65" s="437"/>
      <c r="M65" s="437"/>
    </row>
    <row r="66" spans="1:13">
      <c r="A66" s="225"/>
      <c r="B66" s="438" t="s">
        <v>196</v>
      </c>
      <c r="C66" s="438"/>
      <c r="D66" s="438"/>
      <c r="E66" s="438"/>
      <c r="F66" s="438"/>
      <c r="G66" s="438"/>
      <c r="H66" s="438"/>
      <c r="I66" s="438"/>
      <c r="J66" s="438"/>
      <c r="K66" s="438"/>
      <c r="L66" s="438"/>
      <c r="M66" s="438"/>
    </row>
    <row r="67" spans="1:13" ht="37.15" customHeight="1">
      <c r="A67" s="225"/>
      <c r="B67" s="438" t="s">
        <v>536</v>
      </c>
      <c r="C67" s="438"/>
      <c r="D67" s="438"/>
      <c r="E67" s="438"/>
      <c r="F67" s="438"/>
      <c r="G67" s="438"/>
      <c r="H67" s="438"/>
      <c r="I67" s="438"/>
      <c r="J67" s="438"/>
      <c r="K67" s="438"/>
      <c r="L67" s="438"/>
      <c r="M67" s="438"/>
    </row>
    <row r="68" spans="1:13" ht="22.9" customHeight="1">
      <c r="A68" s="224" t="s">
        <v>197</v>
      </c>
      <c r="B68" s="440" t="s">
        <v>198</v>
      </c>
      <c r="C68" s="440"/>
      <c r="D68" s="440"/>
      <c r="E68" s="440"/>
      <c r="F68" s="440"/>
      <c r="G68" s="440"/>
      <c r="H68" s="440"/>
      <c r="I68" s="440"/>
      <c r="J68" s="440"/>
      <c r="K68" s="440"/>
      <c r="L68" s="440"/>
      <c r="M68" s="440"/>
    </row>
    <row r="69" spans="1:13" ht="31.5" customHeight="1">
      <c r="A69" s="230" t="s">
        <v>199</v>
      </c>
      <c r="B69" s="439" t="s">
        <v>200</v>
      </c>
      <c r="C69" s="439"/>
      <c r="D69" s="439"/>
      <c r="E69" s="439"/>
      <c r="F69" s="439"/>
      <c r="G69" s="439"/>
      <c r="H69" s="439"/>
      <c r="I69" s="439"/>
      <c r="J69" s="439"/>
      <c r="K69" s="439"/>
      <c r="L69" s="439"/>
      <c r="M69" s="439"/>
    </row>
    <row r="70" spans="1:13">
      <c r="B70" s="444" t="s">
        <v>201</v>
      </c>
      <c r="C70" s="444"/>
      <c r="D70" s="444"/>
      <c r="E70" s="444"/>
      <c r="F70" s="444"/>
      <c r="G70" s="444"/>
      <c r="H70" s="444"/>
      <c r="I70" s="444"/>
      <c r="J70" s="444"/>
      <c r="K70" s="444"/>
      <c r="L70" s="444"/>
      <c r="M70" s="444"/>
    </row>
    <row r="71" spans="1:13">
      <c r="B71" s="443" t="s">
        <v>202</v>
      </c>
      <c r="C71" s="443"/>
      <c r="D71" s="443"/>
      <c r="E71" s="443"/>
      <c r="F71" s="443"/>
      <c r="G71" s="443"/>
      <c r="H71" s="443"/>
      <c r="I71" s="443"/>
      <c r="J71" s="443"/>
      <c r="K71" s="443"/>
      <c r="L71" s="443"/>
      <c r="M71" s="443"/>
    </row>
    <row r="72" spans="1:13" s="61" customFormat="1" ht="54" customHeight="1">
      <c r="B72" s="439" t="s">
        <v>203</v>
      </c>
      <c r="C72" s="439"/>
      <c r="D72" s="439"/>
      <c r="E72" s="439"/>
      <c r="F72" s="439"/>
      <c r="G72" s="439"/>
      <c r="H72" s="439"/>
      <c r="I72" s="439"/>
      <c r="J72" s="439"/>
      <c r="K72" s="439"/>
      <c r="L72" s="439"/>
      <c r="M72" s="439"/>
    </row>
    <row r="73" spans="1:13" ht="15.75">
      <c r="A73" s="224" t="s">
        <v>204</v>
      </c>
      <c r="B73" s="434" t="s">
        <v>205</v>
      </c>
      <c r="C73" s="434"/>
      <c r="D73" s="434"/>
      <c r="E73" s="434"/>
      <c r="F73" s="434"/>
      <c r="G73" s="434"/>
      <c r="H73" s="434"/>
      <c r="I73" s="434"/>
      <c r="J73" s="434"/>
      <c r="K73" s="434"/>
      <c r="L73" s="434"/>
      <c r="M73" s="434"/>
    </row>
    <row r="74" spans="1:13" ht="31.5" customHeight="1">
      <c r="B74" s="434" t="s">
        <v>206</v>
      </c>
      <c r="C74" s="434"/>
      <c r="D74" s="434"/>
      <c r="E74" s="434"/>
      <c r="F74" s="434"/>
      <c r="G74" s="434"/>
      <c r="H74" s="434"/>
      <c r="I74" s="434"/>
      <c r="J74" s="434"/>
      <c r="K74" s="434"/>
      <c r="L74" s="434"/>
    </row>
    <row r="75" spans="1:13" ht="15.75">
      <c r="A75" s="224" t="s">
        <v>207</v>
      </c>
      <c r="B75" s="435" t="s">
        <v>537</v>
      </c>
      <c r="C75" s="435"/>
      <c r="D75" s="435"/>
      <c r="E75" s="435"/>
      <c r="F75" s="435"/>
      <c r="G75" s="435"/>
      <c r="H75" s="435"/>
      <c r="I75" s="435"/>
      <c r="J75" s="435"/>
      <c r="K75" s="435"/>
      <c r="L75" s="435"/>
      <c r="M75" s="435"/>
    </row>
    <row r="76" spans="1:13" ht="15.75">
      <c r="A76" s="224"/>
      <c r="B76" s="435" t="s">
        <v>208</v>
      </c>
      <c r="C76" s="435"/>
      <c r="D76" s="435"/>
      <c r="E76" s="435"/>
      <c r="F76" s="435"/>
      <c r="G76" s="435"/>
      <c r="H76" s="435"/>
      <c r="I76" s="435"/>
      <c r="J76" s="435"/>
      <c r="K76" s="435"/>
      <c r="L76" s="435"/>
      <c r="M76" s="435"/>
    </row>
    <row r="77" spans="1:13" ht="15.75">
      <c r="A77" s="224"/>
      <c r="B77" s="434" t="s">
        <v>209</v>
      </c>
      <c r="C77" s="434"/>
      <c r="D77" s="434"/>
      <c r="E77" s="434"/>
      <c r="F77" s="434"/>
      <c r="G77" s="434"/>
      <c r="H77" s="434"/>
      <c r="I77" s="434"/>
      <c r="J77" s="434"/>
      <c r="K77" s="434"/>
      <c r="L77" s="434"/>
    </row>
    <row r="78" spans="1:13" ht="15.75">
      <c r="A78" s="223"/>
      <c r="B78" s="441" t="s">
        <v>210</v>
      </c>
      <c r="C78" s="441"/>
      <c r="D78" s="441"/>
      <c r="E78" s="441"/>
      <c r="F78" s="441"/>
      <c r="G78" s="441"/>
      <c r="H78" s="441"/>
      <c r="I78" s="441"/>
      <c r="J78" s="441"/>
      <c r="K78" s="441"/>
      <c r="L78" s="441"/>
    </row>
    <row r="79" spans="1:13" ht="16.149999999999999" customHeight="1">
      <c r="A79" s="223"/>
      <c r="B79" s="306" t="s">
        <v>211</v>
      </c>
      <c r="C79" s="223" t="s">
        <v>212</v>
      </c>
      <c r="D79" s="223"/>
      <c r="E79" s="223"/>
      <c r="F79" s="223"/>
      <c r="G79" s="223"/>
      <c r="H79" s="223"/>
      <c r="I79" s="223"/>
      <c r="J79" s="223"/>
      <c r="K79" s="223"/>
      <c r="L79" s="223"/>
    </row>
    <row r="80" spans="1:13" ht="15.75">
      <c r="A80" s="223"/>
      <c r="B80" s="306" t="s">
        <v>211</v>
      </c>
      <c r="C80" s="223" t="s">
        <v>213</v>
      </c>
      <c r="D80" s="223"/>
      <c r="E80" s="223"/>
      <c r="F80" s="223"/>
      <c r="G80" s="223"/>
      <c r="H80" s="223"/>
      <c r="I80" s="223"/>
      <c r="J80" s="223"/>
      <c r="K80" s="223"/>
      <c r="L80" s="223"/>
    </row>
    <row r="81" spans="1:12" ht="15.75">
      <c r="A81" s="223"/>
      <c r="B81" s="306" t="s">
        <v>211</v>
      </c>
      <c r="C81" s="223" t="s">
        <v>214</v>
      </c>
      <c r="D81" s="223"/>
      <c r="E81" s="223"/>
      <c r="F81" s="223"/>
      <c r="G81" s="223"/>
      <c r="H81" s="223"/>
      <c r="I81" s="223"/>
      <c r="J81" s="223"/>
      <c r="K81" s="223"/>
      <c r="L81" s="223"/>
    </row>
    <row r="82" spans="1:12" ht="15.75">
      <c r="A82" s="223"/>
      <c r="B82" s="306" t="s">
        <v>211</v>
      </c>
      <c r="C82" s="223" t="s">
        <v>215</v>
      </c>
      <c r="D82" s="223"/>
      <c r="E82" s="223"/>
      <c r="F82" s="223"/>
      <c r="G82" s="223"/>
      <c r="H82" s="223"/>
      <c r="I82" s="223"/>
      <c r="J82" s="223"/>
      <c r="K82" s="223"/>
      <c r="L82" s="223"/>
    </row>
    <row r="83" spans="1:12" ht="15.75">
      <c r="A83" s="223"/>
      <c r="B83" s="306" t="s">
        <v>211</v>
      </c>
      <c r="C83" s="223" t="s">
        <v>216</v>
      </c>
      <c r="D83" s="223"/>
      <c r="E83" s="223"/>
      <c r="F83" s="223"/>
      <c r="G83" s="223"/>
      <c r="H83" s="223"/>
      <c r="I83" s="223"/>
      <c r="J83" s="223"/>
      <c r="K83" s="223"/>
      <c r="L83" s="223"/>
    </row>
    <row r="84" spans="1:12" ht="15.4" customHeight="1">
      <c r="B84" s="441" t="s">
        <v>217</v>
      </c>
      <c r="C84" s="441"/>
      <c r="D84" s="441"/>
      <c r="E84" s="441"/>
      <c r="F84" s="441"/>
      <c r="G84" s="441"/>
      <c r="H84" s="441"/>
      <c r="I84" s="441"/>
      <c r="J84" s="441"/>
      <c r="K84" s="441"/>
      <c r="L84" s="441"/>
    </row>
    <row r="85" spans="1:12" ht="15.75">
      <c r="A85" s="223"/>
      <c r="B85" s="306" t="s">
        <v>211</v>
      </c>
      <c r="C85" s="223" t="s">
        <v>218</v>
      </c>
      <c r="D85" s="223"/>
      <c r="E85" s="223"/>
      <c r="F85" s="223"/>
      <c r="G85" s="223"/>
      <c r="H85" s="223"/>
      <c r="I85" s="223"/>
      <c r="J85" s="223"/>
      <c r="K85" s="223"/>
      <c r="L85" s="223"/>
    </row>
    <row r="86" spans="1:12" ht="15.75">
      <c r="A86" s="223"/>
      <c r="B86" s="306" t="s">
        <v>211</v>
      </c>
      <c r="C86" s="223" t="s">
        <v>219</v>
      </c>
      <c r="D86" s="223"/>
      <c r="E86" s="223"/>
      <c r="F86" s="223"/>
      <c r="G86" s="223"/>
      <c r="H86" s="223"/>
      <c r="I86" s="223"/>
      <c r="J86" s="223"/>
      <c r="K86" s="223"/>
      <c r="L86" s="223"/>
    </row>
    <row r="87" spans="1:12" ht="15.75">
      <c r="A87" s="223"/>
      <c r="B87" s="306" t="s">
        <v>211</v>
      </c>
      <c r="C87" s="223" t="s">
        <v>220</v>
      </c>
      <c r="D87" s="223"/>
      <c r="E87" s="223"/>
      <c r="F87" s="223"/>
      <c r="G87" s="223"/>
      <c r="H87" s="223"/>
      <c r="I87" s="223"/>
      <c r="J87" s="223"/>
      <c r="K87" s="223"/>
      <c r="L87" s="223"/>
    </row>
    <row r="88" spans="1:12" ht="15.75">
      <c r="A88" s="223"/>
      <c r="B88" s="306" t="s">
        <v>211</v>
      </c>
      <c r="C88" s="223" t="s">
        <v>221</v>
      </c>
      <c r="D88" s="223"/>
      <c r="E88" s="223"/>
      <c r="F88" s="223"/>
      <c r="G88" s="223"/>
      <c r="H88" s="223"/>
      <c r="I88" s="223"/>
      <c r="J88" s="223"/>
      <c r="K88" s="223"/>
      <c r="L88" s="223"/>
    </row>
    <row r="89" spans="1:12" ht="15.75">
      <c r="B89" s="441" t="s">
        <v>222</v>
      </c>
      <c r="C89" s="441"/>
      <c r="D89" s="441"/>
      <c r="E89" s="441"/>
      <c r="F89" s="441"/>
      <c r="G89" s="441"/>
      <c r="H89" s="441"/>
      <c r="I89" s="441"/>
      <c r="J89" s="441"/>
      <c r="K89" s="441"/>
      <c r="L89" s="441"/>
    </row>
    <row r="90" spans="1:12" ht="15.75">
      <c r="A90" s="223"/>
      <c r="B90" s="306" t="s">
        <v>211</v>
      </c>
      <c r="C90" s="223" t="s">
        <v>223</v>
      </c>
      <c r="D90" s="223"/>
      <c r="E90" s="223"/>
      <c r="F90" s="223"/>
      <c r="G90" s="223"/>
      <c r="H90" s="223"/>
      <c r="I90" s="223"/>
      <c r="J90" s="223"/>
      <c r="K90" s="223"/>
      <c r="L90" s="223"/>
    </row>
    <row r="91" spans="1:12" ht="15.75">
      <c r="A91" s="223"/>
      <c r="B91" s="306" t="s">
        <v>211</v>
      </c>
      <c r="C91" s="223" t="s">
        <v>224</v>
      </c>
      <c r="D91" s="223"/>
      <c r="E91" s="223"/>
      <c r="F91" s="223"/>
      <c r="G91" s="223"/>
      <c r="H91" s="223"/>
      <c r="I91" s="223"/>
      <c r="J91" s="223"/>
      <c r="K91" s="223"/>
      <c r="L91" s="223"/>
    </row>
    <row r="92" spans="1:12" ht="15.75">
      <c r="A92" s="223"/>
      <c r="B92" s="306" t="s">
        <v>211</v>
      </c>
      <c r="C92" s="223" t="s">
        <v>225</v>
      </c>
      <c r="D92" s="223"/>
      <c r="E92" s="223"/>
      <c r="F92" s="223"/>
      <c r="G92" s="223"/>
      <c r="H92" s="223"/>
      <c r="I92" s="223"/>
      <c r="J92" s="223"/>
      <c r="K92" s="223"/>
      <c r="L92" s="223"/>
    </row>
    <row r="93" spans="1:12" ht="15.75">
      <c r="A93" s="223"/>
      <c r="B93" s="306" t="s">
        <v>211</v>
      </c>
      <c r="C93" s="223" t="s">
        <v>226</v>
      </c>
      <c r="D93" s="223"/>
      <c r="E93" s="223"/>
      <c r="F93" s="223"/>
      <c r="G93" s="223"/>
      <c r="H93" s="223"/>
      <c r="I93" s="223"/>
      <c r="J93" s="223"/>
      <c r="K93" s="223"/>
      <c r="L93" s="223"/>
    </row>
    <row r="94" spans="1:12" ht="15.75">
      <c r="A94" s="223"/>
      <c r="B94" s="306" t="s">
        <v>211</v>
      </c>
      <c r="C94" s="223" t="s">
        <v>227</v>
      </c>
      <c r="D94" s="223"/>
      <c r="E94" s="223"/>
      <c r="F94" s="223"/>
      <c r="G94" s="223"/>
      <c r="H94" s="223"/>
      <c r="I94" s="223"/>
      <c r="J94" s="223"/>
      <c r="K94" s="223"/>
      <c r="L94" s="223"/>
    </row>
    <row r="95" spans="1:12" ht="15.75">
      <c r="B95" s="441" t="s">
        <v>228</v>
      </c>
      <c r="C95" s="441"/>
      <c r="D95" s="441"/>
      <c r="E95" s="441"/>
      <c r="F95" s="441"/>
      <c r="G95" s="441"/>
      <c r="H95" s="441"/>
      <c r="I95" s="441"/>
      <c r="J95" s="441"/>
      <c r="K95" s="441"/>
      <c r="L95" s="441"/>
    </row>
    <row r="96" spans="1:12" ht="15.75">
      <c r="A96" s="223"/>
      <c r="B96" s="306" t="s">
        <v>211</v>
      </c>
      <c r="C96" s="223" t="s">
        <v>229</v>
      </c>
      <c r="D96" s="223"/>
      <c r="E96" s="223"/>
      <c r="F96" s="223"/>
      <c r="G96" s="223"/>
      <c r="H96" s="223"/>
      <c r="I96" s="223"/>
      <c r="J96" s="223"/>
      <c r="K96" s="223"/>
      <c r="L96" s="223"/>
    </row>
    <row r="97" spans="1:13" ht="15.75">
      <c r="A97" s="223"/>
      <c r="B97" s="306" t="s">
        <v>211</v>
      </c>
      <c r="C97" s="223" t="s">
        <v>230</v>
      </c>
      <c r="D97" s="223"/>
      <c r="E97" s="223"/>
      <c r="F97" s="223"/>
      <c r="G97" s="223"/>
      <c r="H97" s="223"/>
      <c r="I97" s="223"/>
      <c r="J97" s="223"/>
      <c r="K97" s="223"/>
      <c r="L97" s="223"/>
    </row>
    <row r="98" spans="1:13" ht="15.75">
      <c r="A98" s="223"/>
      <c r="B98" s="306" t="s">
        <v>211</v>
      </c>
      <c r="C98" s="223" t="s">
        <v>231</v>
      </c>
      <c r="D98" s="223"/>
      <c r="E98" s="223"/>
      <c r="F98" s="223"/>
      <c r="G98" s="223"/>
      <c r="H98" s="223"/>
      <c r="I98" s="223"/>
      <c r="J98" s="223"/>
      <c r="K98" s="223"/>
      <c r="L98" s="223"/>
    </row>
    <row r="99" spans="1:13" ht="15.75">
      <c r="B99" s="441" t="s">
        <v>232</v>
      </c>
      <c r="C99" s="441"/>
      <c r="D99" s="441"/>
      <c r="E99" s="441"/>
      <c r="F99" s="441"/>
      <c r="G99" s="441"/>
      <c r="H99" s="441"/>
      <c r="I99" s="441"/>
      <c r="J99" s="441"/>
      <c r="K99" s="441"/>
      <c r="L99" s="441"/>
    </row>
    <row r="100" spans="1:13" ht="15.75">
      <c r="A100" s="223"/>
      <c r="B100" s="306" t="s">
        <v>211</v>
      </c>
      <c r="C100" s="223" t="s">
        <v>233</v>
      </c>
      <c r="D100" s="223"/>
      <c r="E100" s="223"/>
      <c r="F100" s="223"/>
      <c r="G100" s="223"/>
      <c r="H100" s="223"/>
      <c r="I100" s="223"/>
      <c r="J100" s="223"/>
      <c r="K100" s="223"/>
      <c r="L100" s="223"/>
    </row>
    <row r="101" spans="1:13" ht="15.75">
      <c r="A101" s="223"/>
      <c r="B101" s="306" t="s">
        <v>211</v>
      </c>
      <c r="C101" s="223" t="s">
        <v>234</v>
      </c>
      <c r="D101" s="223"/>
      <c r="E101" s="223"/>
      <c r="F101" s="223"/>
      <c r="G101" s="223"/>
      <c r="H101" s="223"/>
      <c r="I101" s="223"/>
      <c r="J101" s="223"/>
      <c r="K101" s="223"/>
      <c r="L101" s="223"/>
    </row>
    <row r="102" spans="1:13" ht="28.15" customHeight="1">
      <c r="B102" s="445" t="s">
        <v>235</v>
      </c>
      <c r="C102" s="445"/>
      <c r="D102" s="445"/>
      <c r="E102" s="445"/>
      <c r="F102" s="445"/>
      <c r="G102" s="445"/>
      <c r="H102" s="445"/>
      <c r="I102" s="445"/>
      <c r="J102" s="445"/>
      <c r="K102" s="445"/>
      <c r="L102" s="445"/>
    </row>
    <row r="103" spans="1:13" ht="31.5" customHeight="1">
      <c r="B103" s="434" t="s">
        <v>236</v>
      </c>
      <c r="C103" s="434"/>
      <c r="D103" s="434"/>
      <c r="E103" s="434"/>
      <c r="F103" s="434"/>
      <c r="G103" s="434"/>
      <c r="H103" s="434"/>
      <c r="I103" s="434"/>
      <c r="J103" s="434"/>
      <c r="K103" s="434"/>
      <c r="L103" s="434"/>
    </row>
    <row r="104" spans="1:13" ht="15.75">
      <c r="A104" s="224" t="s">
        <v>237</v>
      </c>
      <c r="B104" s="440" t="s">
        <v>238</v>
      </c>
      <c r="C104" s="440"/>
      <c r="D104" s="440"/>
      <c r="E104" s="440"/>
      <c r="F104" s="440"/>
      <c r="G104" s="440"/>
      <c r="H104" s="440"/>
      <c r="I104" s="440"/>
      <c r="J104" s="440"/>
      <c r="K104" s="440"/>
      <c r="L104" s="440"/>
    </row>
    <row r="105" spans="1:13" ht="15.75">
      <c r="A105" s="224"/>
      <c r="B105" s="446" t="s">
        <v>239</v>
      </c>
      <c r="C105" s="446"/>
      <c r="D105" s="446"/>
      <c r="E105" s="446"/>
      <c r="F105" s="446"/>
      <c r="G105" s="446"/>
      <c r="H105" s="446"/>
      <c r="I105" s="446"/>
      <c r="J105" s="446"/>
      <c r="K105" s="446"/>
      <c r="L105" s="446"/>
    </row>
    <row r="106" spans="1:13" ht="30" customHeight="1">
      <c r="A106" s="225"/>
      <c r="B106" s="439" t="s">
        <v>240</v>
      </c>
      <c r="C106" s="439"/>
      <c r="D106" s="439"/>
      <c r="E106" s="439"/>
      <c r="F106" s="439"/>
      <c r="G106" s="439"/>
      <c r="H106" s="439"/>
      <c r="I106" s="439"/>
      <c r="J106" s="439"/>
      <c r="K106" s="439"/>
      <c r="L106" s="439"/>
      <c r="M106" s="439"/>
    </row>
    <row r="107" spans="1:13" ht="31.5" customHeight="1">
      <c r="B107" s="434" t="s">
        <v>241</v>
      </c>
      <c r="C107" s="434"/>
      <c r="D107" s="434"/>
      <c r="E107" s="434"/>
      <c r="F107" s="434"/>
      <c r="G107" s="434"/>
      <c r="H107" s="434"/>
      <c r="I107" s="434"/>
      <c r="J107" s="434"/>
      <c r="K107" s="434"/>
      <c r="L107" s="434"/>
    </row>
    <row r="108" spans="1:13" ht="15.75">
      <c r="A108" s="224" t="s">
        <v>242</v>
      </c>
      <c r="B108" s="434" t="s">
        <v>243</v>
      </c>
      <c r="C108" s="434"/>
      <c r="D108" s="434"/>
      <c r="E108" s="434"/>
      <c r="F108" s="434"/>
      <c r="G108" s="434"/>
      <c r="H108" s="434"/>
      <c r="I108" s="434"/>
      <c r="J108" s="434"/>
      <c r="K108" s="434"/>
      <c r="L108" s="434"/>
    </row>
    <row r="109" spans="1:13">
      <c r="B109" s="434" t="s">
        <v>244</v>
      </c>
      <c r="C109" s="434"/>
      <c r="D109" s="434"/>
      <c r="E109" s="434"/>
      <c r="F109" s="434"/>
      <c r="G109" s="434"/>
      <c r="H109" s="434"/>
      <c r="I109" s="434"/>
      <c r="J109" s="434"/>
      <c r="K109" s="434"/>
    </row>
    <row r="110" spans="1:13">
      <c r="B110" s="434" t="s">
        <v>245</v>
      </c>
      <c r="C110" s="434"/>
      <c r="D110" s="434"/>
      <c r="E110" s="434"/>
      <c r="F110" s="434"/>
      <c r="G110" s="434"/>
      <c r="H110" s="434"/>
      <c r="I110" s="434"/>
      <c r="J110" s="434"/>
      <c r="K110" s="434"/>
      <c r="L110" s="434"/>
    </row>
    <row r="111" spans="1:13">
      <c r="B111" s="434" t="s">
        <v>246</v>
      </c>
      <c r="C111" s="434"/>
      <c r="D111" s="434"/>
      <c r="E111" s="434"/>
      <c r="F111" s="434"/>
      <c r="G111" s="434"/>
      <c r="H111" s="434"/>
      <c r="I111" s="434"/>
      <c r="J111" s="434"/>
      <c r="K111" s="434"/>
      <c r="L111" s="434"/>
    </row>
    <row r="112" spans="1:13">
      <c r="B112" s="434" t="s">
        <v>247</v>
      </c>
      <c r="C112" s="434"/>
      <c r="D112" s="434"/>
      <c r="E112" s="434"/>
      <c r="F112" s="434"/>
      <c r="G112" s="434"/>
      <c r="H112" s="434"/>
      <c r="I112" s="434"/>
      <c r="J112" s="434"/>
      <c r="K112" s="434"/>
      <c r="L112" s="434"/>
    </row>
    <row r="113" spans="1:15">
      <c r="B113" s="434" t="s">
        <v>248</v>
      </c>
      <c r="C113" s="434"/>
      <c r="D113" s="434"/>
      <c r="E113" s="434"/>
      <c r="F113" s="434"/>
      <c r="G113" s="434"/>
      <c r="H113" s="434"/>
      <c r="I113" s="434"/>
      <c r="J113" s="434"/>
      <c r="K113" s="434"/>
      <c r="L113" s="434"/>
    </row>
    <row r="114" spans="1:15" ht="31.5" customHeight="1">
      <c r="B114" s="434" t="s">
        <v>249</v>
      </c>
      <c r="C114" s="434"/>
      <c r="D114" s="434"/>
      <c r="E114" s="434"/>
      <c r="F114" s="434"/>
      <c r="G114" s="434"/>
      <c r="H114" s="434"/>
      <c r="I114" s="434"/>
      <c r="J114" s="434"/>
      <c r="K114" s="434"/>
      <c r="L114" s="434"/>
    </row>
    <row r="115" spans="1:15" ht="15.75">
      <c r="A115" s="224" t="s">
        <v>250</v>
      </c>
      <c r="B115" s="434" t="s">
        <v>251</v>
      </c>
      <c r="C115" s="434"/>
      <c r="D115" s="434"/>
      <c r="E115" s="434"/>
      <c r="F115" s="434"/>
      <c r="G115" s="434"/>
      <c r="H115" s="434"/>
      <c r="I115" s="434"/>
      <c r="J115" s="434"/>
      <c r="K115" s="434"/>
      <c r="L115" s="434"/>
    </row>
    <row r="116" spans="1:15">
      <c r="B116" s="434" t="s">
        <v>252</v>
      </c>
      <c r="C116" s="434"/>
      <c r="D116" s="434"/>
      <c r="E116" s="434"/>
      <c r="F116" s="434"/>
      <c r="G116" s="434"/>
      <c r="H116" s="434"/>
      <c r="I116" s="434"/>
      <c r="J116" s="434"/>
      <c r="K116" s="434"/>
      <c r="L116" s="434"/>
    </row>
    <row r="117" spans="1:15">
      <c r="B117" s="434" t="s">
        <v>253</v>
      </c>
      <c r="C117" s="434"/>
      <c r="D117" s="434"/>
      <c r="E117" s="434"/>
      <c r="F117" s="434"/>
      <c r="G117" s="434"/>
      <c r="H117" s="434"/>
      <c r="I117" s="434"/>
      <c r="J117" s="434"/>
      <c r="K117" s="434"/>
      <c r="L117" s="434"/>
    </row>
    <row r="118" spans="1:15">
      <c r="B118" s="434" t="s">
        <v>254</v>
      </c>
      <c r="C118" s="434"/>
      <c r="D118" s="434"/>
      <c r="E118" s="434"/>
      <c r="F118" s="434"/>
      <c r="G118" s="434"/>
      <c r="H118" s="434"/>
      <c r="I118" s="434"/>
      <c r="J118" s="434"/>
      <c r="K118" s="434"/>
      <c r="L118" s="434"/>
    </row>
    <row r="119" spans="1:15">
      <c r="B119" s="434" t="s">
        <v>255</v>
      </c>
      <c r="C119" s="434"/>
      <c r="D119" s="434"/>
      <c r="E119" s="434"/>
      <c r="F119" s="434"/>
      <c r="G119" s="434"/>
      <c r="H119" s="434"/>
      <c r="I119" s="434"/>
      <c r="J119" s="434"/>
      <c r="K119" s="434"/>
      <c r="L119" s="434"/>
    </row>
    <row r="120" spans="1:15">
      <c r="B120" s="434" t="s">
        <v>256</v>
      </c>
      <c r="C120" s="434"/>
      <c r="D120" s="434"/>
      <c r="E120" s="434"/>
      <c r="F120" s="434"/>
      <c r="G120" s="434"/>
      <c r="H120" s="434"/>
      <c r="I120" s="434"/>
      <c r="J120" s="434"/>
      <c r="K120" s="434"/>
      <c r="L120" s="434"/>
    </row>
    <row r="121" spans="1:15">
      <c r="B121" s="434" t="s">
        <v>257</v>
      </c>
      <c r="C121" s="434"/>
      <c r="D121" s="434"/>
      <c r="E121" s="434"/>
      <c r="F121" s="434"/>
      <c r="G121" s="434"/>
      <c r="H121" s="434"/>
      <c r="I121" s="434"/>
      <c r="J121" s="434"/>
      <c r="K121" s="434"/>
      <c r="L121" s="434"/>
    </row>
    <row r="122" spans="1:15">
      <c r="B122" s="434" t="s">
        <v>258</v>
      </c>
      <c r="C122" s="434"/>
      <c r="D122" s="434"/>
      <c r="E122" s="434"/>
      <c r="F122" s="434"/>
      <c r="G122" s="434"/>
      <c r="H122" s="434"/>
      <c r="I122" s="434"/>
      <c r="J122" s="434"/>
      <c r="K122" s="434"/>
      <c r="L122" s="434"/>
    </row>
    <row r="123" spans="1:15">
      <c r="B123" s="434" t="s">
        <v>259</v>
      </c>
      <c r="C123" s="434"/>
      <c r="D123" s="434"/>
      <c r="E123" s="434"/>
      <c r="F123" s="434"/>
      <c r="G123" s="434"/>
      <c r="H123" s="434"/>
      <c r="I123" s="434"/>
      <c r="J123" s="434"/>
      <c r="K123" s="434"/>
      <c r="L123" s="434"/>
    </row>
    <row r="124" spans="1:15">
      <c r="B124" s="434" t="s">
        <v>248</v>
      </c>
      <c r="C124" s="434"/>
      <c r="D124" s="434"/>
      <c r="E124" s="434"/>
      <c r="F124" s="434"/>
      <c r="G124" s="434"/>
      <c r="H124" s="434"/>
      <c r="I124" s="434"/>
      <c r="J124" s="434"/>
      <c r="K124" s="434"/>
      <c r="L124" s="434"/>
    </row>
    <row r="125" spans="1:15" ht="31.5" customHeight="1">
      <c r="B125" s="434" t="s">
        <v>249</v>
      </c>
      <c r="C125" s="434"/>
      <c r="D125" s="434"/>
      <c r="E125" s="434"/>
      <c r="F125" s="434"/>
      <c r="G125" s="434"/>
      <c r="H125" s="434"/>
      <c r="I125" s="434"/>
      <c r="J125" s="434"/>
      <c r="K125" s="434"/>
      <c r="L125" s="434"/>
    </row>
    <row r="126" spans="1:15" ht="33.6" customHeight="1">
      <c r="A126" s="230" t="s">
        <v>260</v>
      </c>
      <c r="B126" s="439" t="s">
        <v>538</v>
      </c>
      <c r="C126" s="439"/>
      <c r="D126" s="439"/>
      <c r="E126" s="439"/>
      <c r="F126" s="439"/>
      <c r="G126" s="439"/>
      <c r="H126" s="439"/>
      <c r="I126" s="439"/>
      <c r="J126" s="439"/>
      <c r="K126" s="439"/>
      <c r="L126" s="439"/>
      <c r="M126" s="439"/>
    </row>
    <row r="127" spans="1:15">
      <c r="B127" s="450" t="s">
        <v>261</v>
      </c>
      <c r="C127" s="450"/>
      <c r="D127" s="450"/>
      <c r="E127" s="450"/>
      <c r="F127" s="450"/>
      <c r="G127" s="450"/>
      <c r="H127" s="450"/>
      <c r="I127" s="450"/>
      <c r="J127" s="450"/>
      <c r="K127" s="450"/>
      <c r="L127" s="450"/>
      <c r="M127" s="450"/>
    </row>
    <row r="128" spans="1:15" ht="35.450000000000003" customHeight="1">
      <c r="B128" s="435" t="s">
        <v>539</v>
      </c>
      <c r="C128" s="435"/>
      <c r="D128" s="435"/>
      <c r="E128" s="435"/>
      <c r="F128" s="435"/>
      <c r="G128" s="435"/>
      <c r="H128" s="435"/>
      <c r="I128" s="435"/>
      <c r="J128" s="435"/>
      <c r="K128" s="435"/>
      <c r="L128" s="435"/>
      <c r="M128" s="435"/>
      <c r="O128" s="22"/>
    </row>
    <row r="129" spans="1:15" ht="35.450000000000003" customHeight="1">
      <c r="B129" s="450" t="s">
        <v>262</v>
      </c>
      <c r="C129" s="450"/>
      <c r="D129" s="450"/>
      <c r="E129" s="450"/>
      <c r="F129" s="450"/>
      <c r="G129" s="450"/>
      <c r="H129" s="450"/>
      <c r="I129" s="450"/>
      <c r="J129" s="450"/>
      <c r="K129" s="450"/>
      <c r="L129" s="450"/>
      <c r="M129" s="450"/>
      <c r="O129" s="22"/>
    </row>
    <row r="130" spans="1:15" ht="32.1" customHeight="1">
      <c r="B130" s="439" t="s">
        <v>263</v>
      </c>
      <c r="C130" s="439"/>
      <c r="D130" s="439"/>
      <c r="E130" s="439"/>
      <c r="F130" s="439"/>
      <c r="G130" s="439"/>
      <c r="H130" s="439"/>
      <c r="I130" s="439"/>
      <c r="J130" s="439"/>
      <c r="K130" s="439"/>
      <c r="L130" s="439"/>
      <c r="M130" s="439"/>
      <c r="O130" s="22"/>
    </row>
    <row r="131" spans="1:15" ht="45" customHeight="1">
      <c r="B131" s="439" t="s">
        <v>264</v>
      </c>
      <c r="C131" s="439"/>
      <c r="D131" s="439"/>
      <c r="E131" s="439"/>
      <c r="F131" s="439"/>
      <c r="G131" s="439"/>
      <c r="H131" s="439"/>
      <c r="I131" s="439"/>
      <c r="J131" s="439"/>
      <c r="K131" s="439"/>
      <c r="L131" s="439"/>
      <c r="M131" s="439"/>
    </row>
    <row r="132" spans="1:15" ht="15.6" customHeight="1">
      <c r="A132" s="230" t="s">
        <v>265</v>
      </c>
      <c r="B132" s="435" t="s">
        <v>266</v>
      </c>
      <c r="C132" s="435"/>
      <c r="D132" s="435"/>
      <c r="E132" s="435"/>
      <c r="F132" s="435"/>
      <c r="G132" s="435"/>
      <c r="H132" s="435"/>
      <c r="I132" s="435"/>
      <c r="J132" s="435"/>
      <c r="K132" s="435"/>
      <c r="L132" s="435"/>
      <c r="M132" s="435"/>
    </row>
    <row r="133" spans="1:15">
      <c r="B133" s="435"/>
      <c r="C133" s="435"/>
      <c r="D133" s="435"/>
      <c r="E133" s="435"/>
      <c r="F133" s="435"/>
      <c r="G133" s="435"/>
      <c r="H133" s="435"/>
      <c r="I133" s="435"/>
      <c r="J133" s="435"/>
      <c r="K133" s="435"/>
      <c r="L133" s="435"/>
      <c r="M133" s="435"/>
    </row>
    <row r="134" spans="1:15" ht="4.5" customHeight="1">
      <c r="B134" s="435"/>
      <c r="C134" s="435"/>
      <c r="D134" s="435"/>
      <c r="E134" s="435"/>
      <c r="F134" s="435"/>
      <c r="G134" s="435"/>
      <c r="H134" s="435"/>
      <c r="I134" s="435"/>
      <c r="J134" s="435"/>
      <c r="K134" s="435"/>
      <c r="L134" s="435"/>
      <c r="M134" s="435"/>
    </row>
  </sheetData>
  <sheetProtection algorithmName="SHA-512" hashValue="GKYSFD/WYJNAMhMtYx9pBjVSemfjghdwlQLzG+BEYt3QoStswV+8cKaYg0nhQxni4TW503Et30K1SJUvoxqNgg==" saltValue="JprAAAFiQfySjMp6PNfqyA==" spinCount="100000" sheet="1" objects="1" scenarios="1" selectLockedCells="1"/>
  <mergeCells count="98">
    <mergeCell ref="B131:M131"/>
    <mergeCell ref="B129:M129"/>
    <mergeCell ref="B37:M37"/>
    <mergeCell ref="B47:K47"/>
    <mergeCell ref="B49:M49"/>
    <mergeCell ref="B48:K48"/>
    <mergeCell ref="B57:M57"/>
    <mergeCell ref="B44:K44"/>
    <mergeCell ref="B42:K42"/>
    <mergeCell ref="B38:M38"/>
    <mergeCell ref="B39:M39"/>
    <mergeCell ref="B40:M40"/>
    <mergeCell ref="B45:M45"/>
    <mergeCell ref="B41:K41"/>
    <mergeCell ref="B126:M126"/>
    <mergeCell ref="B127:M127"/>
    <mergeCell ref="B128:M128"/>
    <mergeCell ref="B123:L123"/>
    <mergeCell ref="B115:L115"/>
    <mergeCell ref="B116:L116"/>
    <mergeCell ref="B117:L117"/>
    <mergeCell ref="B120:L120"/>
    <mergeCell ref="B121:L121"/>
    <mergeCell ref="B122:L122"/>
    <mergeCell ref="B119:L119"/>
    <mergeCell ref="B125:L125"/>
    <mergeCell ref="A15:M15"/>
    <mergeCell ref="A16:M16"/>
    <mergeCell ref="A17:M17"/>
    <mergeCell ref="A19:M19"/>
    <mergeCell ref="B46:K46"/>
    <mergeCell ref="B26:M26"/>
    <mergeCell ref="B25:M25"/>
    <mergeCell ref="B28:M28"/>
    <mergeCell ref="B29:M29"/>
    <mergeCell ref="B30:M30"/>
    <mergeCell ref="B24:M24"/>
    <mergeCell ref="B31:M31"/>
    <mergeCell ref="B23:M23"/>
    <mergeCell ref="A18:M18"/>
    <mergeCell ref="B27:J27"/>
    <mergeCell ref="B43:K43"/>
    <mergeCell ref="N34:X34"/>
    <mergeCell ref="O35:Y35"/>
    <mergeCell ref="B35:M35"/>
    <mergeCell ref="B34:M34"/>
    <mergeCell ref="B22:M22"/>
    <mergeCell ref="B33:M33"/>
    <mergeCell ref="B32:M32"/>
    <mergeCell ref="B113:L113"/>
    <mergeCell ref="B95:L95"/>
    <mergeCell ref="B99:L99"/>
    <mergeCell ref="B108:L108"/>
    <mergeCell ref="B102:L102"/>
    <mergeCell ref="B112:L112"/>
    <mergeCell ref="B109:K109"/>
    <mergeCell ref="B106:M106"/>
    <mergeCell ref="B105:L105"/>
    <mergeCell ref="B111:L111"/>
    <mergeCell ref="B107:L107"/>
    <mergeCell ref="B103:L103"/>
    <mergeCell ref="B50:M50"/>
    <mergeCell ref="B51:M51"/>
    <mergeCell ref="B52:M52"/>
    <mergeCell ref="B84:L84"/>
    <mergeCell ref="B73:M73"/>
    <mergeCell ref="B68:M68"/>
    <mergeCell ref="B66:M66"/>
    <mergeCell ref="B58:M58"/>
    <mergeCell ref="B67:M67"/>
    <mergeCell ref="B78:L78"/>
    <mergeCell ref="B75:M75"/>
    <mergeCell ref="B76:M76"/>
    <mergeCell ref="B69:M69"/>
    <mergeCell ref="B71:M71"/>
    <mergeCell ref="B72:M72"/>
    <mergeCell ref="B70:M70"/>
    <mergeCell ref="B53:M53"/>
    <mergeCell ref="B54:M54"/>
    <mergeCell ref="B55:M55"/>
    <mergeCell ref="B56:M56"/>
    <mergeCell ref="B60:M60"/>
    <mergeCell ref="B74:L74"/>
    <mergeCell ref="B132:M134"/>
    <mergeCell ref="B59:M59"/>
    <mergeCell ref="B61:M61"/>
    <mergeCell ref="B62:M62"/>
    <mergeCell ref="B65:M65"/>
    <mergeCell ref="B63:M63"/>
    <mergeCell ref="B64:M64"/>
    <mergeCell ref="B124:L124"/>
    <mergeCell ref="B118:L118"/>
    <mergeCell ref="B130:M130"/>
    <mergeCell ref="B77:L77"/>
    <mergeCell ref="B104:L104"/>
    <mergeCell ref="B114:L114"/>
    <mergeCell ref="B89:L89"/>
    <mergeCell ref="B110:L110"/>
  </mergeCells>
  <phoneticPr fontId="9" type="noConversion"/>
  <hyperlinks>
    <hyperlink ref="B71:M71" r:id="rId1" display="https://analysisfunction.civilservice.gov.uk/policy-store/gender-identity/ " xr:uid="{C4A41362-402D-478D-88B3-A39CEFE26B3B}"/>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election activeCell="F1" sqref="F1:F1048576"/>
    </sheetView>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267</v>
      </c>
      <c r="B1" t="s">
        <v>268</v>
      </c>
      <c r="C1" t="s">
        <v>269</v>
      </c>
      <c r="D1" t="s">
        <v>270</v>
      </c>
      <c r="E1" t="s">
        <v>271</v>
      </c>
      <c r="F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4" sqref="E4"/>
    </sheetView>
  </sheetViews>
  <sheetFormatPr defaultColWidth="9.140625" defaultRowHeight="12.75"/>
  <cols>
    <col min="1" max="1" width="32.42578125" style="331" customWidth="1"/>
    <col min="2" max="6" width="29.42578125" style="331" customWidth="1"/>
    <col min="7" max="20" width="9.140625" style="331"/>
    <col min="21" max="23" width="2.140625" style="331" customWidth="1"/>
    <col min="24" max="24" width="9.140625" style="331"/>
    <col min="25" max="29" width="2.140625" style="331" customWidth="1"/>
    <col min="30" max="31" width="9.140625" style="331"/>
    <col min="32" max="33" width="6.140625" style="331" customWidth="1"/>
    <col min="34" max="35" width="2.42578125" style="331" customWidth="1"/>
    <col min="36" max="36" width="6.140625" style="331" customWidth="1"/>
    <col min="37" max="41" width="9.140625" style="331"/>
    <col min="42" max="42" width="4.42578125" style="331" customWidth="1"/>
    <col min="43" max="46" width="2.140625" style="331" customWidth="1"/>
    <col min="47" max="16384" width="9.140625" style="331"/>
  </cols>
  <sheetData>
    <row r="2" spans="1:23" ht="11.25" customHeight="1"/>
    <row r="3" spans="1:23" ht="20.25">
      <c r="C3" s="332"/>
      <c r="D3" s="332"/>
      <c r="E3" s="332"/>
      <c r="F3" s="332"/>
    </row>
    <row r="4" spans="1:23" ht="20.25">
      <c r="B4" s="332"/>
      <c r="C4" s="333" t="s">
        <v>6</v>
      </c>
      <c r="D4" s="334">
        <f>VLOOKUP(Cover!A6,Cover!B319:D335,2,FALSE)</f>
        <v>2025</v>
      </c>
      <c r="E4" s="335" t="str">
        <f>Cover!A10</f>
        <v>Avon</v>
      </c>
      <c r="F4" s="352"/>
    </row>
    <row r="6" spans="1:23" ht="18.75" customHeight="1">
      <c r="A6" s="336"/>
      <c r="B6" s="337"/>
      <c r="C6" s="337"/>
      <c r="D6" s="337"/>
      <c r="E6" s="337"/>
      <c r="F6" s="337"/>
    </row>
    <row r="7" spans="1:23" ht="15.75">
      <c r="B7" s="338"/>
      <c r="C7" s="338"/>
      <c r="D7" s="338"/>
      <c r="E7" s="338"/>
      <c r="F7" s="338"/>
    </row>
    <row r="8" spans="1:23" ht="13.5" customHeight="1">
      <c r="A8" s="339"/>
      <c r="B8" s="340"/>
      <c r="C8" s="340"/>
      <c r="D8" s="340"/>
      <c r="E8" s="340"/>
      <c r="F8" s="340"/>
    </row>
    <row r="9" spans="1:23" ht="12.75" customHeight="1">
      <c r="A9" s="340"/>
      <c r="B9" s="341"/>
      <c r="C9" s="341"/>
      <c r="D9" s="341"/>
      <c r="E9" s="341"/>
      <c r="F9" s="341"/>
    </row>
    <row r="10" spans="1:23">
      <c r="A10" s="340"/>
      <c r="B10" s="341"/>
      <c r="C10" s="341"/>
      <c r="D10" s="341"/>
      <c r="E10" s="341"/>
      <c r="F10" s="341"/>
    </row>
    <row r="11" spans="1:23">
      <c r="A11" s="340"/>
      <c r="B11" t="s">
        <v>273</v>
      </c>
      <c r="C11" t="s">
        <v>274</v>
      </c>
      <c r="D11" t="s">
        <v>275</v>
      </c>
      <c r="E11" t="s">
        <v>276</v>
      </c>
      <c r="F11" t="s">
        <v>277</v>
      </c>
    </row>
    <row r="12" spans="1:23">
      <c r="A12" s="343" t="s">
        <v>278</v>
      </c>
      <c r="B12" s="353" cm="1">
        <f t="array" ref="B12">SUMPRODUCT(('HR1 - PY data'!$A$2:$A$49952=$C$4)*('HR1 - PY data'!$B$2:$B$49952=$D$4)*('HR1 - PY data'!$C$2:$C$49952=$E$4)*('HR1 - PY data'!$D$2:$D$49952=B$11)*('HR1 - PY data'!$E$2:$E$49952=$A12)*('HR1 - PY data'!$F$2:$F49952))</f>
        <v>0</v>
      </c>
      <c r="C12" s="353"/>
      <c r="D12" s="353"/>
      <c r="E12" s="353"/>
      <c r="F12" s="353"/>
    </row>
    <row r="13" spans="1:23">
      <c r="A13" t="s">
        <v>279</v>
      </c>
      <c r="B13" s="353" cm="1">
        <f t="array" ref="B13">SUMPRODUCT(('HR1 - PY data'!$A$2:$A$49952=$C$4)*('HR1 - PY data'!$B$2:$B$49952=$D$4)*('HR1 - PY data'!$C$2:$C$49952=$E$4)*('HR1 - PY data'!$D$2:$D$49952=B$11)*('HR1 - PY data'!$E$2:$E$49952=$A13)*('HR1 - PY data'!$F$2:$F49952))</f>
        <v>0</v>
      </c>
      <c r="C13" s="353"/>
      <c r="D13" s="353"/>
      <c r="E13" s="353"/>
      <c r="F13" s="353"/>
    </row>
    <row r="14" spans="1:23">
      <c r="A14" s="343" t="s">
        <v>280</v>
      </c>
      <c r="B14" s="353" cm="1">
        <f t="array" ref="B14">SUMPRODUCT(('HR1 - PY data'!$A$2:$A$49952=$C$4)*('HR1 - PY data'!$B$2:$B$49952=$D$4)*('HR1 - PY data'!$C$2:$C$49952=$E$4)*('HR1 - PY data'!$D$2:$D$49952=B$11)*('HR1 - PY data'!$E$2:$E$49952=$A14)*('HR1 - PY data'!$F$2:$F49952))</f>
        <v>0</v>
      </c>
      <c r="C14" s="353" cm="1">
        <f t="array" ref="C14">SUMPRODUCT(('HR1 - PY data'!$A$2:$A$49952=$C$4)*('HR1 - PY data'!$B$2:$B$49952=$D$4)*('HR1 - PY data'!$C$2:$C$49952=$E$4)*('HR1 - PY data'!$D$2:$D$49952=C$11)*('HR1 - PY data'!$E$2:$E$49952=$A14)*('HR1 - PY data'!$F$2:$F49952))</f>
        <v>0</v>
      </c>
      <c r="D14" s="353" cm="1">
        <f t="array" ref="D14">SUMPRODUCT(('HR1 - PY data'!$A$2:$A$49952=$C$4)*('HR1 - PY data'!$B$2:$B$49952=$D$4)*('HR1 - PY data'!$C$2:$C$49952=$E$4)*('HR1 - PY data'!$D$2:$D$49952=D$11)*('HR1 - PY data'!$E$2:$E$49952=$A14)*('HR1 - PY data'!$F$2:$F49952))</f>
        <v>0</v>
      </c>
      <c r="E14" s="353" cm="1">
        <f t="array" ref="E14">SUMPRODUCT(('HR1 - PY data'!$A$2:$A$49952=$C$4)*('HR1 - PY data'!$B$2:$B$49952=$D$4)*('HR1 - PY data'!$C$2:$C$49952=$E$4)*('HR1 - PY data'!$D$2:$D$49952=E$11)*('HR1 - PY data'!$E$2:$E$49952=$A14)*('HR1 - PY data'!$F$2:$F49952))</f>
        <v>0</v>
      </c>
      <c r="F14" s="353" cm="1">
        <f t="array" ref="F14">SUMPRODUCT(('HR1 - PY data'!$A$2:$A$49952=$C$4)*('HR1 - PY data'!$B$2:$B$49952=$D$4)*('HR1 - PY data'!$C$2:$C$49952=$E$4)*('HR1 - PY data'!$D$2:$D$49952=F$11)*('HR1 - PY data'!$E$2:$E$49952=$A14)*('HR1 - PY data'!$F$2:$F49952))</f>
        <v>0</v>
      </c>
      <c r="V14" s="344"/>
      <c r="W14" s="344"/>
    </row>
    <row r="15" spans="1:23">
      <c r="A15" s="343" t="s">
        <v>281</v>
      </c>
      <c r="B15" s="353" cm="1">
        <f t="array" ref="B15">SUMPRODUCT(('HR1 - PY data'!$A$2:$A$49952=$C$4)*('HR1 - PY data'!$B$2:$B$49952=$D$4)*('HR1 - PY data'!$C$2:$C$49952=$E$4)*('HR1 - PY data'!$D$2:$D$49952=B$11)*('HR1 - PY data'!$E$2:$E$49952=$A15)*('HR1 - PY data'!$F$2:$F49952))</f>
        <v>0</v>
      </c>
      <c r="C15" s="353" cm="1">
        <f t="array" ref="C15">SUMPRODUCT(('HR1 - PY data'!$A$2:$A$49952=$C$4)*('HR1 - PY data'!$B$2:$B$49952=$D$4)*('HR1 - PY data'!$C$2:$C$49952=$E$4)*('HR1 - PY data'!$D$2:$D$49952=C$11)*('HR1 - PY data'!$E$2:$E$49952=$A15)*('HR1 - PY data'!$F$2:$F49952))</f>
        <v>0</v>
      </c>
      <c r="D15" s="353" cm="1">
        <f t="array" ref="D15">SUMPRODUCT(('HR1 - PY data'!$A$2:$A$49952=$C$4)*('HR1 - PY data'!$B$2:$B$49952=$D$4)*('HR1 - PY data'!$C$2:$C$49952=$E$4)*('HR1 - PY data'!$D$2:$D$49952=D$11)*('HR1 - PY data'!$E$2:$E$49952=$A15)*('HR1 - PY data'!$F$2:$F49952))</f>
        <v>0</v>
      </c>
      <c r="E15" s="353" cm="1">
        <f t="array" ref="E15">SUMPRODUCT(('HR1 - PY data'!$A$2:$A$49952=$C$4)*('HR1 - PY data'!$B$2:$B$49952=$D$4)*('HR1 - PY data'!$C$2:$C$49952=$E$4)*('HR1 - PY data'!$D$2:$D$49952=E$11)*('HR1 - PY data'!$E$2:$E$49952=$A15)*('HR1 - PY data'!$F$2:$F49952))</f>
        <v>0</v>
      </c>
      <c r="F15" s="353" cm="1">
        <f t="array" ref="F15">SUMPRODUCT(('HR1 - PY data'!$A$2:$A$49952=$C$4)*('HR1 - PY data'!$B$2:$B$49952=$D$4)*('HR1 - PY data'!$C$2:$C$49952=$E$4)*('HR1 - PY data'!$D$2:$D$49952=F$11)*('HR1 - PY data'!$E$2:$E$49952=$A15)*('HR1 - PY data'!$F$2:$F49952))</f>
        <v>0</v>
      </c>
      <c r="V15" s="344"/>
      <c r="W15" s="344"/>
    </row>
    <row r="16" spans="1:23">
      <c r="A16" s="343" t="s">
        <v>282</v>
      </c>
      <c r="B16" s="353" cm="1">
        <f t="array" ref="B16">SUMPRODUCT(('HR1 - PY data'!$A$2:$A$49952=$C$4)*('HR1 - PY data'!$B$2:$B$49952=$D$4)*('HR1 - PY data'!$C$2:$C$49952=$E$4)*('HR1 - PY data'!$D$2:$D$49952=B$11)*('HR1 - PY data'!$E$2:$E$49952=$A16)*('HR1 - PY data'!$F$2:$F49952))</f>
        <v>0</v>
      </c>
      <c r="C16" s="353" cm="1">
        <f t="array" ref="C16">SUMPRODUCT(('HR1 - PY data'!$A$2:$A$49952=$C$4)*('HR1 - PY data'!$B$2:$B$49952=$D$4)*('HR1 - PY data'!$C$2:$C$49952=$E$4)*('HR1 - PY data'!$D$2:$D$49952=C$11)*('HR1 - PY data'!$E$2:$E$49952=$A16)*('HR1 - PY data'!$F$2:$F49952))</f>
        <v>0</v>
      </c>
      <c r="D16" s="353" cm="1">
        <f t="array" ref="D16">SUMPRODUCT(('HR1 - PY data'!$A$2:$A$49952=$C$4)*('HR1 - PY data'!$B$2:$B$49952=$D$4)*('HR1 - PY data'!$C$2:$C$49952=$E$4)*('HR1 - PY data'!$D$2:$D$49952=D$11)*('HR1 - PY data'!$E$2:$E$49952=$A16)*('HR1 - PY data'!$F$2:$F49952))</f>
        <v>0</v>
      </c>
      <c r="E16" s="353" cm="1">
        <f t="array" ref="E16">SUMPRODUCT(('HR1 - PY data'!$A$2:$A$49952=$C$4)*('HR1 - PY data'!$B$2:$B$49952=$D$4)*('HR1 - PY data'!$C$2:$C$49952=$E$4)*('HR1 - PY data'!$D$2:$D$49952=E$11)*('HR1 - PY data'!$E$2:$E$49952=$A16)*('HR1 - PY data'!$F$2:$F49952))</f>
        <v>0</v>
      </c>
      <c r="F16" s="353" cm="1">
        <f t="array" ref="F16">SUMPRODUCT(('HR1 - PY data'!$A$2:$A$49952=$C$4)*('HR1 - PY data'!$B$2:$B$49952=$D$4)*('HR1 - PY data'!$C$2:$C$49952=$E$4)*('HR1 - PY data'!$D$2:$D$49952=F$11)*('HR1 - PY data'!$E$2:$E$49952=$A16)*('HR1 - PY data'!$F$2:$F49952))</f>
        <v>0</v>
      </c>
      <c r="V16" s="344"/>
      <c r="W16" s="344"/>
    </row>
    <row r="17" spans="1:23">
      <c r="A17" s="343" t="s">
        <v>283</v>
      </c>
      <c r="B17" s="353" cm="1">
        <f t="array" ref="B17">SUMPRODUCT(('HR1 - PY data'!$A$2:$A$49952=$C$4)*('HR1 - PY data'!$B$2:$B$49952=$D$4)*('HR1 - PY data'!$C$2:$C$49952=$E$4)*('HR1 - PY data'!$D$2:$D$49952=B$11)*('HR1 - PY data'!$E$2:$E$49952=$A17)*('HR1 - PY data'!$F$2:$F49952))</f>
        <v>0</v>
      </c>
      <c r="C17" s="353" cm="1">
        <f t="array" ref="C17">SUMPRODUCT(('HR1 - PY data'!$A$2:$A$49952=$C$4)*('HR1 - PY data'!$B$2:$B$49952=$D$4)*('HR1 - PY data'!$C$2:$C$49952=$E$4)*('HR1 - PY data'!$D$2:$D$49952=C$11)*('HR1 - PY data'!$E$2:$E$49952=$A17)*('HR1 - PY data'!$F$2:$F49952))</f>
        <v>0</v>
      </c>
      <c r="D17" s="353" cm="1">
        <f t="array" ref="D17">SUMPRODUCT(('HR1 - PY data'!$A$2:$A$49952=$C$4)*('HR1 - PY data'!$B$2:$B$49952=$D$4)*('HR1 - PY data'!$C$2:$C$49952=$E$4)*('HR1 - PY data'!$D$2:$D$49952=D$11)*('HR1 - PY data'!$E$2:$E$49952=$A17)*('HR1 - PY data'!$F$2:$F49952))</f>
        <v>0</v>
      </c>
      <c r="E17" s="353" cm="1">
        <f t="array" ref="E17">SUMPRODUCT(('HR1 - PY data'!$A$2:$A$49952=$C$4)*('HR1 - PY data'!$B$2:$B$49952=$D$4)*('HR1 - PY data'!$C$2:$C$49952=$E$4)*('HR1 - PY data'!$D$2:$D$49952=E$11)*('HR1 - PY data'!$E$2:$E$49952=$A17)*('HR1 - PY data'!$F$2:$F49952))</f>
        <v>0</v>
      </c>
      <c r="F17" s="353" cm="1">
        <f t="array" ref="F17">SUMPRODUCT(('HR1 - PY data'!$A$2:$A$49952=$C$4)*('HR1 - PY data'!$B$2:$B$49952=$D$4)*('HR1 - PY data'!$C$2:$C$49952=$E$4)*('HR1 - PY data'!$D$2:$D$49952=F$11)*('HR1 - PY data'!$E$2:$E$49952=$A17)*('HR1 - PY data'!$F$2:$F49952))</f>
        <v>0</v>
      </c>
      <c r="V17" s="344"/>
      <c r="W17" s="344"/>
    </row>
    <row r="18" spans="1:23">
      <c r="A18" s="343" t="s">
        <v>284</v>
      </c>
      <c r="B18" s="353" cm="1">
        <f t="array" ref="B18">SUMPRODUCT(('HR1 - PY data'!$A$2:$A$49952=$C$4)*('HR1 - PY data'!$B$2:$B$49952=$D$4)*('HR1 - PY data'!$C$2:$C$49952=$E$4)*('HR1 - PY data'!$D$2:$D$49952=B$11)*('HR1 - PY data'!$E$2:$E$49952=$A18)*('HR1 - PY data'!$F$2:$F49952))</f>
        <v>0</v>
      </c>
      <c r="C18" s="353" cm="1">
        <f t="array" ref="C18">SUMPRODUCT(('HR1 - PY data'!$A$2:$A$49952=$C$4)*('HR1 - PY data'!$B$2:$B$49952=$D$4)*('HR1 - PY data'!$C$2:$C$49952=$E$4)*('HR1 - PY data'!$D$2:$D$49952=C$11)*('HR1 - PY data'!$E$2:$E$49952=$A18)*('HR1 - PY data'!$F$2:$F49952))</f>
        <v>0</v>
      </c>
      <c r="D18" s="353" cm="1">
        <f t="array" ref="D18">SUMPRODUCT(('HR1 - PY data'!$A$2:$A$49952=$C$4)*('HR1 - PY data'!$B$2:$B$49952=$D$4)*('HR1 - PY data'!$C$2:$C$49952=$E$4)*('HR1 - PY data'!$D$2:$D$49952=D$11)*('HR1 - PY data'!$E$2:$E$49952=$A18)*('HR1 - PY data'!$F$2:$F49952))</f>
        <v>0</v>
      </c>
      <c r="E18" s="353" cm="1">
        <f t="array" ref="E18">SUMPRODUCT(('HR1 - PY data'!$A$2:$A$49952=$C$4)*('HR1 - PY data'!$B$2:$B$49952=$D$4)*('HR1 - PY data'!$C$2:$C$49952=$E$4)*('HR1 - PY data'!$D$2:$D$49952=E$11)*('HR1 - PY data'!$E$2:$E$49952=$A18)*('HR1 - PY data'!$F$2:$F49952))</f>
        <v>0</v>
      </c>
      <c r="F18" s="353" cm="1">
        <f t="array" ref="F18">SUMPRODUCT(('HR1 - PY data'!$A$2:$A$49952=$C$4)*('HR1 - PY data'!$B$2:$B$49952=$D$4)*('HR1 - PY data'!$C$2:$C$49952=$E$4)*('HR1 - PY data'!$D$2:$D$49952=F$11)*('HR1 - PY data'!$E$2:$E$49952=$A18)*('HR1 - PY data'!$F$2:$F49952))</f>
        <v>0</v>
      </c>
      <c r="V18" s="344"/>
      <c r="W18" s="344"/>
    </row>
    <row r="19" spans="1:23">
      <c r="A19" s="345" t="s">
        <v>285</v>
      </c>
      <c r="B19" s="353">
        <f>SUM(B12:B18)</f>
        <v>0</v>
      </c>
      <c r="C19" s="353">
        <f t="shared" ref="C19:F19" si="0">SUM(C12:C18)</f>
        <v>0</v>
      </c>
      <c r="D19" s="353">
        <f t="shared" si="0"/>
        <v>0</v>
      </c>
      <c r="E19" s="353">
        <f t="shared" si="0"/>
        <v>0</v>
      </c>
      <c r="F19" s="353">
        <f t="shared" si="0"/>
        <v>0</v>
      </c>
    </row>
    <row r="20" spans="1:23">
      <c r="A20" s="345"/>
      <c r="B20" s="346"/>
      <c r="C20" s="346"/>
      <c r="D20" s="346"/>
      <c r="E20" s="346"/>
      <c r="F20" s="346"/>
    </row>
    <row r="21" spans="1:23">
      <c r="A21" s="345"/>
      <c r="B21" s="347"/>
      <c r="C21" s="347"/>
      <c r="D21" s="347"/>
      <c r="E21" s="347"/>
      <c r="F21" s="347"/>
    </row>
    <row r="22" spans="1:23">
      <c r="A22" s="345"/>
      <c r="B22" s="348"/>
      <c r="C22" s="348"/>
      <c r="D22" s="348"/>
      <c r="E22" s="348"/>
      <c r="F22" s="348"/>
    </row>
    <row r="24" spans="1:23" ht="14.25">
      <c r="A24" s="340"/>
      <c r="B24" s="340"/>
      <c r="C24" s="345"/>
      <c r="F24" s="349"/>
    </row>
    <row r="25" spans="1:23">
      <c r="B25" s="342" t="s">
        <v>286</v>
      </c>
    </row>
    <row r="26" spans="1:23">
      <c r="A26" s="343" t="s">
        <v>285</v>
      </c>
      <c r="B26" s="354" cm="1">
        <f t="array" ref="B26">SUMPRODUCT(('HR1 - PY data'!$A$2:$A$49952=$C$4)*('HR1 - PY data'!$B$2:$B$49952=$D$4)*('HR1 - PY data'!$C$2:$C$49952=$E$4)*('HR1 - PY data'!$D$2:$D$49952=B$25)*('HR1 - PY data'!$E$2:$E$49952=$A26)*('HR1 - PY data'!$F$2:$F49952))</f>
        <v>0</v>
      </c>
      <c r="C26" s="350"/>
      <c r="D26" s="350"/>
      <c r="E26" s="350"/>
      <c r="F26" s="350"/>
      <c r="W26" s="344"/>
    </row>
    <row r="27" spans="1:23">
      <c r="A27" s="343"/>
      <c r="B27" s="351"/>
      <c r="C27" s="351"/>
      <c r="D27" s="351"/>
      <c r="E27" s="351"/>
      <c r="F27" s="351"/>
      <c r="W27" s="344"/>
    </row>
    <row r="33" spans="1:1">
      <c r="A33" s="339"/>
    </row>
    <row r="34" spans="1:1">
      <c r="A34" s="339"/>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topLeftCell="A7" zoomScale="80" zoomScaleNormal="80" workbookViewId="0">
      <selection activeCell="B26" sqref="B26"/>
    </sheetView>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62"/>
      <c r="C3" s="462"/>
      <c r="D3" s="462"/>
      <c r="E3" s="462"/>
      <c r="F3" s="462"/>
    </row>
    <row r="4" spans="1:35">
      <c r="B4" s="462"/>
      <c r="C4" s="462"/>
      <c r="D4" s="462"/>
      <c r="E4" s="462"/>
      <c r="F4" s="462"/>
    </row>
    <row r="5" spans="1:35" ht="39.75" customHeight="1" thickBot="1"/>
    <row r="6" spans="1:35" ht="18.75" thickBot="1">
      <c r="A6" s="463" t="s">
        <v>287</v>
      </c>
      <c r="B6" s="464"/>
      <c r="C6" s="464"/>
      <c r="D6" s="464"/>
      <c r="E6" s="464"/>
      <c r="F6" s="465"/>
    </row>
    <row r="7" spans="1:35" ht="16.5" thickBot="1">
      <c r="A7" s="19"/>
      <c r="B7" s="20"/>
      <c r="C7" s="20"/>
      <c r="D7" s="20"/>
      <c r="E7" s="20"/>
      <c r="F7" s="20"/>
    </row>
    <row r="8" spans="1:35" ht="16.350000000000001" customHeight="1" thickBot="1">
      <c r="A8" s="460" t="s">
        <v>540</v>
      </c>
      <c r="B8" s="466"/>
      <c r="C8" s="466"/>
      <c r="D8" s="466"/>
      <c r="E8" s="466"/>
      <c r="F8" s="461"/>
      <c r="H8" s="33" t="s">
        <v>288</v>
      </c>
    </row>
    <row r="9" spans="1:35" ht="12.75" customHeight="1">
      <c r="A9" s="467"/>
      <c r="B9" s="470" t="s">
        <v>289</v>
      </c>
      <c r="C9" s="473" t="s">
        <v>290</v>
      </c>
      <c r="D9" s="474"/>
      <c r="E9" s="475"/>
      <c r="F9" s="470" t="s">
        <v>291</v>
      </c>
      <c r="H9" s="451" t="s">
        <v>292</v>
      </c>
    </row>
    <row r="10" spans="1:35" ht="51" customHeight="1" thickBot="1">
      <c r="A10" s="468"/>
      <c r="B10" s="471"/>
      <c r="C10" s="476"/>
      <c r="D10" s="477"/>
      <c r="E10" s="478"/>
      <c r="F10" s="471"/>
      <c r="H10" s="452"/>
    </row>
    <row r="11" spans="1:35" ht="74.25" customHeight="1" thickBot="1">
      <c r="A11" s="469"/>
      <c r="B11" s="472"/>
      <c r="C11" s="165" t="s">
        <v>293</v>
      </c>
      <c r="D11" s="402" t="s">
        <v>294</v>
      </c>
      <c r="E11" s="403" t="s">
        <v>295</v>
      </c>
      <c r="F11" s="472"/>
      <c r="H11" s="231"/>
    </row>
    <row r="12" spans="1:35" ht="25.5" customHeight="1" thickBot="1">
      <c r="A12" s="21" t="s">
        <v>278</v>
      </c>
      <c r="B12" s="78"/>
      <c r="C12" s="453"/>
      <c r="D12" s="454"/>
      <c r="E12" s="454"/>
      <c r="F12" s="455"/>
      <c r="G12" s="77"/>
      <c r="AI12" s="22"/>
    </row>
    <row r="13" spans="1:35" ht="25.5" customHeight="1" thickBot="1">
      <c r="A13" s="23" t="s">
        <v>279</v>
      </c>
      <c r="B13" s="78"/>
      <c r="C13" s="456"/>
      <c r="D13" s="457"/>
      <c r="E13" s="457"/>
      <c r="F13" s="458"/>
      <c r="G13" s="77"/>
      <c r="H13" s="76"/>
      <c r="AI13" s="22"/>
    </row>
    <row r="14" spans="1:35" ht="25.5" customHeight="1" thickBot="1">
      <c r="A14" s="23" t="s">
        <v>280</v>
      </c>
      <c r="B14" s="79"/>
      <c r="C14" s="87"/>
      <c r="D14" s="79"/>
      <c r="E14" s="79"/>
      <c r="F14" s="79"/>
      <c r="G14" s="77"/>
      <c r="H14" s="322"/>
      <c r="Y14" s="24"/>
      <c r="Z14" s="24"/>
      <c r="AI14" s="22"/>
    </row>
    <row r="15" spans="1:35" ht="25.5" customHeight="1" thickBot="1">
      <c r="A15" s="23" t="s">
        <v>281</v>
      </c>
      <c r="B15" s="79"/>
      <c r="C15" s="87"/>
      <c r="D15" s="79"/>
      <c r="E15" s="79"/>
      <c r="F15" s="79"/>
      <c r="G15" s="77"/>
      <c r="H15" s="322"/>
      <c r="Y15" s="24"/>
      <c r="Z15" s="24"/>
      <c r="AI15" s="22"/>
    </row>
    <row r="16" spans="1:35" ht="25.5" customHeight="1" thickBot="1">
      <c r="A16" s="23" t="s">
        <v>282</v>
      </c>
      <c r="B16" s="79"/>
      <c r="C16" s="87"/>
      <c r="D16" s="79"/>
      <c r="E16" s="79"/>
      <c r="F16" s="79"/>
      <c r="G16" s="77"/>
      <c r="H16" s="322"/>
      <c r="Y16" s="24"/>
      <c r="Z16" s="24"/>
      <c r="AI16" s="22"/>
    </row>
    <row r="17" spans="1:35" ht="25.5" customHeight="1" thickBot="1">
      <c r="A17" s="23" t="s">
        <v>283</v>
      </c>
      <c r="B17" s="79"/>
      <c r="C17" s="87"/>
      <c r="D17" s="79"/>
      <c r="E17" s="79"/>
      <c r="F17" s="79"/>
      <c r="G17" s="77"/>
      <c r="H17" s="25"/>
      <c r="Y17" s="24"/>
      <c r="Z17" s="24"/>
      <c r="AI17" s="22"/>
    </row>
    <row r="18" spans="1:35" ht="25.5" customHeight="1" thickBot="1">
      <c r="A18" s="26" t="s">
        <v>284</v>
      </c>
      <c r="B18" s="164"/>
      <c r="C18" s="87"/>
      <c r="D18" s="79"/>
      <c r="E18" s="79"/>
      <c r="F18" s="87"/>
      <c r="G18" s="77"/>
      <c r="H18" s="25"/>
      <c r="Y18" s="24"/>
      <c r="Z18" s="24"/>
      <c r="AI18" s="22"/>
    </row>
    <row r="19" spans="1:35" ht="25.5" customHeight="1" thickBot="1">
      <c r="A19" s="6" t="s">
        <v>285</v>
      </c>
      <c r="B19" s="393">
        <f>SUM(B12:B18)</f>
        <v>0</v>
      </c>
      <c r="C19" s="394">
        <f>SUM(C12:C18)</f>
        <v>0</v>
      </c>
      <c r="D19" s="394">
        <f>SUM(D14:D18)</f>
        <v>0</v>
      </c>
      <c r="E19" s="393">
        <f>SUM(E14:E18)</f>
        <v>0</v>
      </c>
      <c r="F19" s="393">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59"/>
      <c r="C23" s="459"/>
      <c r="D23" s="459"/>
      <c r="E23" s="459"/>
      <c r="F23" s="459"/>
    </row>
    <row r="24" spans="1:35" ht="31.5" customHeight="1" thickBot="1">
      <c r="A24" s="460" t="s">
        <v>541</v>
      </c>
      <c r="B24" s="461"/>
      <c r="C24" s="4"/>
      <c r="F24" s="212"/>
      <c r="G24" s="212"/>
      <c r="H24" s="212"/>
      <c r="I24" s="212"/>
    </row>
    <row r="25" spans="1:35" ht="33" customHeight="1" thickBot="1">
      <c r="A25" s="29"/>
      <c r="B25" s="166" t="s">
        <v>296</v>
      </c>
    </row>
    <row r="26" spans="1:35" ht="31.5" customHeight="1" thickBot="1">
      <c r="A26" s="30" t="s">
        <v>285</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algorithmName="SHA-512" hashValue="yUTgOKNAp7aYRrNQGrOefSRNpEfSY12K216gJT/Bbl+KqKZaj7tE5YNSmoOishPV1owZcRZJw9NOrsS3hF+8PQ==" saltValue="cdG6mnxCJKQDgmAu9RhNdw==" spinCount="100000" sheet="1" objects="1" scenarios="1"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B26 B12:B18 F14:F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7C8DFF4D-2B11-4E87-BAF9-DA2E953A1801}">
      <formula1>AND(D14&gt;=0,D14&lt;10000,C14&gt;=D14)</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3B8464E8-EE06-4526-84DD-7795B460FFF8}">
      <formula1>AND(C14&gt;=0,C14&lt;=10000,C14&gt;=D14+E14)</formula1>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BCFB-A30B-4432-B4FB-5E919A8537F6}">
  <sheetPr codeName="Sheet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268</v>
      </c>
      <c r="C1" t="s">
        <v>269</v>
      </c>
      <c r="D1" t="s">
        <v>270</v>
      </c>
      <c r="E1" t="s">
        <v>271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P51" sqref="P51"/>
    </sheetView>
  </sheetViews>
  <sheetFormatPr defaultRowHeight="12.75"/>
  <cols>
    <col min="1" max="1" width="15.140625" bestFit="1" customWidth="1"/>
  </cols>
  <sheetData>
    <row r="4" spans="1:21">
      <c r="C4" s="333" t="s">
        <v>8</v>
      </c>
      <c r="D4" s="334">
        <f>VLOOKUP(Cover!A6,Cover!B319:D335,2,FALSE)</f>
        <v>2025</v>
      </c>
      <c r="E4" s="355" t="str">
        <f>Cover!A10</f>
        <v>Avon</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278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7" si="0">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7" si="1">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cm="1">
        <f t="array" ref="U11">SUMPRODUCT(('HR2to5 - PY data'!$A$2:$A$48992=$C$4)*('HR2to5 - PY data'!$B$2:$B$48992=$D$4)*('HR2to5 - PY data'!$C$2:$C$48992=$E$4)*('HR2to5 - PY data'!$F$2:$F$48992=U$10)*('HR2to5 - PY data'!$E$2:$E$48992=$A11)*('HR2to5 - PY data'!$G$2:$G$48992))</f>
        <v>0</v>
      </c>
    </row>
    <row r="12" spans="1:21">
      <c r="A12" s="199" t="s">
        <v>279</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ref="F12:F17" si="2">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0"/>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1"/>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ref="U12:U17" si="3">SUM(Q12:T12)</f>
        <v>0</v>
      </c>
    </row>
    <row r="13" spans="1:21">
      <c r="A13" t="s">
        <v>280</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2"/>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0"/>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1"/>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281</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2"/>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0"/>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1"/>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282</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2"/>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0"/>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1"/>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c r="A16" t="s">
        <v>283</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56">
        <f t="shared" si="2"/>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56">
        <f t="shared" si="0"/>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56">
        <f t="shared" si="1"/>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56">
        <f t="shared" si="3"/>
        <v>0</v>
      </c>
    </row>
    <row r="17" spans="1:24">
      <c r="A17" t="s">
        <v>284</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56">
        <f t="shared" si="2"/>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56">
        <f t="shared" si="0"/>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56">
        <f t="shared" si="1"/>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56">
        <f t="shared" si="3"/>
        <v>0</v>
      </c>
    </row>
    <row r="18" spans="1:24" s="356" customFormat="1">
      <c r="A18" s="356" t="s">
        <v>285</v>
      </c>
      <c r="B18" s="356">
        <f>SUM(B11:B17)</f>
        <v>0</v>
      </c>
      <c r="C18" s="356">
        <f t="shared" ref="C18:U18" si="4">SUM(C11:C17)</f>
        <v>0</v>
      </c>
      <c r="D18" s="356">
        <f t="shared" si="4"/>
        <v>0</v>
      </c>
      <c r="E18" s="356">
        <f t="shared" si="4"/>
        <v>0</v>
      </c>
      <c r="F18" s="356">
        <f t="shared" si="4"/>
        <v>0</v>
      </c>
      <c r="G18" s="356">
        <f t="shared" si="4"/>
        <v>0</v>
      </c>
      <c r="H18" s="356">
        <f t="shared" si="4"/>
        <v>0</v>
      </c>
      <c r="I18" s="356">
        <f t="shared" si="4"/>
        <v>0</v>
      </c>
      <c r="J18" s="356">
        <f t="shared" si="4"/>
        <v>0</v>
      </c>
      <c r="K18" s="356">
        <f t="shared" si="4"/>
        <v>0</v>
      </c>
      <c r="L18" s="356">
        <f t="shared" si="4"/>
        <v>0</v>
      </c>
      <c r="M18" s="356">
        <f t="shared" si="4"/>
        <v>0</v>
      </c>
      <c r="N18" s="356">
        <f t="shared" si="4"/>
        <v>0</v>
      </c>
      <c r="O18" s="356">
        <f t="shared" si="4"/>
        <v>0</v>
      </c>
      <c r="P18" s="356">
        <f t="shared" si="4"/>
        <v>0</v>
      </c>
      <c r="Q18" s="356">
        <f t="shared" si="4"/>
        <v>0</v>
      </c>
      <c r="R18" s="356">
        <f t="shared" si="4"/>
        <v>0</v>
      </c>
      <c r="S18" s="356">
        <f t="shared" si="4"/>
        <v>0</v>
      </c>
      <c r="T18" s="356">
        <f t="shared" si="4"/>
        <v>0</v>
      </c>
      <c r="U18" s="356">
        <f t="shared" si="4"/>
        <v>0</v>
      </c>
    </row>
    <row r="19" spans="1:24">
      <c r="X19" s="199"/>
    </row>
    <row r="22" spans="1:24">
      <c r="B22" t="s">
        <v>314</v>
      </c>
      <c r="C22" t="s">
        <v>315</v>
      </c>
      <c r="D22" t="s">
        <v>316</v>
      </c>
      <c r="E22" t="s">
        <v>317</v>
      </c>
      <c r="F22" t="s">
        <v>285</v>
      </c>
      <c r="G22" t="s">
        <v>318</v>
      </c>
      <c r="H22" t="s">
        <v>319</v>
      </c>
      <c r="I22" t="s">
        <v>320</v>
      </c>
      <c r="J22" t="s">
        <v>321</v>
      </c>
      <c r="K22" t="s">
        <v>285</v>
      </c>
      <c r="L22" t="s">
        <v>322</v>
      </c>
      <c r="M22" t="s">
        <v>323</v>
      </c>
      <c r="N22" t="s">
        <v>324</v>
      </c>
      <c r="O22" t="s">
        <v>325</v>
      </c>
      <c r="P22" t="s">
        <v>285</v>
      </c>
      <c r="Q22" t="s">
        <v>326</v>
      </c>
      <c r="R22" t="s">
        <v>327</v>
      </c>
      <c r="S22" t="s">
        <v>328</v>
      </c>
      <c r="T22" t="s">
        <v>329</v>
      </c>
      <c r="U22" t="s">
        <v>285</v>
      </c>
    </row>
    <row r="23" spans="1:24">
      <c r="A23" t="s">
        <v>278</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56">
        <f t="shared" ref="F23" si="5">SUM(F16:F22)</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56">
        <f t="shared" ref="K23" si="6">SUM(K16:K22)</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56">
        <f t="shared" ref="P23" si="7">SUM(P16:P22)</f>
        <v>0</v>
      </c>
      <c r="Q23" cm="1">
        <f t="array" ref="Q23">SUMPRODUCT(('HR2to5 - PY data'!$A$2:$A$48992=$C$4)*('HR2to5 - PY data'!$B$2:$B$48992=$D$4)*('HR2to5 - PY data'!$C$2:$C$48992=$E$4)*('HR2to5 - PY data'!$F$2:$F$48992=Q$22)*('HR2to5 - PY data'!$E$2:$E$48992=$A23)*('HR2to5 - PY data'!$G$2:$G$48992))</f>
        <v>0</v>
      </c>
      <c r="R23" cm="1">
        <f t="array" ref="R23">SUMPRODUCT(('HR2to5 - PY data'!$A$2:$A$48992=$C$4)*('HR2to5 - PY data'!$B$2:$B$48992=$D$4)*('HR2to5 - PY data'!$C$2:$C$48992=$E$4)*('HR2to5 - PY data'!$F$2:$F$48992=R$22)*('HR2to5 - PY data'!$E$2:$E$48992=$A23)*('HR2to5 - PY data'!$G$2:$G$48992))</f>
        <v>0</v>
      </c>
      <c r="S23" cm="1">
        <f t="array" ref="S23">SUMPRODUCT(('HR2to5 - PY data'!$A$2:$A$48992=$C$4)*('HR2to5 - PY data'!$B$2:$B$48992=$D$4)*('HR2to5 - PY data'!$C$2:$C$48992=$E$4)*('HR2to5 - PY data'!$F$2:$F$48992=S$22)*('HR2to5 - PY data'!$E$2:$E$48992=$A23)*('HR2to5 - PY data'!$G$2:$G$48992))</f>
        <v>0</v>
      </c>
      <c r="T23" cm="1">
        <f t="array" ref="T23">SUMPRODUCT(('HR2to5 - PY data'!$A$2:$A$48992=$C$4)*('HR2to5 - PY data'!$B$2:$B$48992=$D$4)*('HR2to5 - PY data'!$C$2:$C$48992=$E$4)*('HR2to5 - PY data'!$F$2:$F$48992=T$22)*('HR2to5 - PY data'!$E$2:$E$48992=$A23)*('HR2to5 - PY data'!$G$2:$G$48992))</f>
        <v>0</v>
      </c>
      <c r="U23" s="356">
        <f t="shared" ref="U23" si="8">F11+K11+P11+U11+F23+K23+P23</f>
        <v>0</v>
      </c>
    </row>
    <row r="24" spans="1:24">
      <c r="A24" s="199" t="s">
        <v>279</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56">
        <f t="shared" ref="F24" si="9">SUM(F17:F23)</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56">
        <f t="shared" ref="K24" si="10">SUM(K17:K23)</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56">
        <f t="shared" ref="P24" si="11">SUM(P17:P23)</f>
        <v>0</v>
      </c>
      <c r="Q24" cm="1">
        <f t="array" ref="Q24">SUMPRODUCT(('HR2to5 - PY data'!$A$2:$A$48992=$C$4)*('HR2to5 - PY data'!$B$2:$B$48992=$D$4)*('HR2to5 - PY data'!$C$2:$C$48992=$E$4)*('HR2to5 - PY data'!$F$2:$F$48992=Q$22)*('HR2to5 - PY data'!$E$2:$E$48992=$A24)*('HR2to5 - PY data'!$G$2:$G$48992))</f>
        <v>0</v>
      </c>
      <c r="R24" cm="1">
        <f t="array" ref="R24">SUMPRODUCT(('HR2to5 - PY data'!$A$2:$A$48992=$C$4)*('HR2to5 - PY data'!$B$2:$B$48992=$D$4)*('HR2to5 - PY data'!$C$2:$C$48992=$E$4)*('HR2to5 - PY data'!$F$2:$F$48992=R$22)*('HR2to5 - PY data'!$E$2:$E$48992=$A24)*('HR2to5 - PY data'!$G$2:$G$48992))</f>
        <v>0</v>
      </c>
      <c r="S24" cm="1">
        <f t="array" ref="S24">SUMPRODUCT(('HR2to5 - PY data'!$A$2:$A$48992=$C$4)*('HR2to5 - PY data'!$B$2:$B$48992=$D$4)*('HR2to5 - PY data'!$C$2:$C$48992=$E$4)*('HR2to5 - PY data'!$F$2:$F$48992=S$22)*('HR2to5 - PY data'!$E$2:$E$48992=$A24)*('HR2to5 - PY data'!$G$2:$G$48992))</f>
        <v>0</v>
      </c>
      <c r="T24" cm="1">
        <f t="array" ref="T24">SUMPRODUCT(('HR2to5 - PY data'!$A$2:$A$48992=$C$4)*('HR2to5 - PY data'!$B$2:$B$48992=$D$4)*('HR2to5 - PY data'!$C$2:$C$48992=$E$4)*('HR2to5 - PY data'!$F$2:$F$48992=T$22)*('HR2to5 - PY data'!$E$2:$E$48992=$A24)*('HR2to5 - PY data'!$G$2:$G$48992))</f>
        <v>0</v>
      </c>
      <c r="U24" s="356">
        <f t="shared" ref="U24:U30" si="12">F12+K12+P12+U12+F24+K24+P24</f>
        <v>0</v>
      </c>
    </row>
    <row r="25" spans="1:24">
      <c r="A25" t="s">
        <v>280</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56">
        <f t="shared" ref="F25" si="13">SUM(F18:F24)</f>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56">
        <f t="shared" ref="K25" si="14">SUM(K18:K24)</f>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56">
        <f t="shared" ref="P25" si="15">SUM(P18:P24)</f>
        <v>0</v>
      </c>
      <c r="Q25" cm="1">
        <f t="array" ref="Q25">SUMPRODUCT(('HR2to5 - PY data'!$A$2:$A$48992=$C$4)*('HR2to5 - PY data'!$B$2:$B$48992=$D$4)*('HR2to5 - PY data'!$C$2:$C$48992=$E$4)*('HR2to5 - PY data'!$F$2:$F$48992=Q$22)*('HR2to5 - PY data'!$E$2:$E$48992=$A25)*('HR2to5 - PY data'!$G$2:$G$48992))</f>
        <v>0</v>
      </c>
      <c r="R25" cm="1">
        <f t="array" ref="R25">SUMPRODUCT(('HR2to5 - PY data'!$A$2:$A$48992=$C$4)*('HR2to5 - PY data'!$B$2:$B$48992=$D$4)*('HR2to5 - PY data'!$C$2:$C$48992=$E$4)*('HR2to5 - PY data'!$F$2:$F$48992=R$22)*('HR2to5 - PY data'!$E$2:$E$48992=$A25)*('HR2to5 - PY data'!$G$2:$G$48992))</f>
        <v>0</v>
      </c>
      <c r="S25" cm="1">
        <f t="array" ref="S25">SUMPRODUCT(('HR2to5 - PY data'!$A$2:$A$48992=$C$4)*('HR2to5 - PY data'!$B$2:$B$48992=$D$4)*('HR2to5 - PY data'!$C$2:$C$48992=$E$4)*('HR2to5 - PY data'!$F$2:$F$48992=S$22)*('HR2to5 - PY data'!$E$2:$E$48992=$A25)*('HR2to5 - PY data'!$G$2:$G$48992))</f>
        <v>0</v>
      </c>
      <c r="T25" cm="1">
        <f t="array" ref="T25">SUMPRODUCT(('HR2to5 - PY data'!$A$2:$A$48992=$C$4)*('HR2to5 - PY data'!$B$2:$B$48992=$D$4)*('HR2to5 - PY data'!$C$2:$C$48992=$E$4)*('HR2to5 - PY data'!$F$2:$F$48992=T$22)*('HR2to5 - PY data'!$E$2:$E$48992=$A25)*('HR2to5 - PY data'!$G$2:$G$48992))</f>
        <v>0</v>
      </c>
      <c r="U25" s="356">
        <f t="shared" si="12"/>
        <v>0</v>
      </c>
    </row>
    <row r="26" spans="1:24">
      <c r="A26" t="s">
        <v>281</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56">
        <f t="shared" ref="F26" si="16">SUM(F19:F25)</f>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56">
        <f t="shared" ref="K26" si="17">SUM(K19:K25)</f>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56">
        <f t="shared" ref="P26" si="18">SUM(P19:P25)</f>
        <v>0</v>
      </c>
      <c r="Q26" cm="1">
        <f t="array" ref="Q26">SUMPRODUCT(('HR2to5 - PY data'!$A$2:$A$48992=$C$4)*('HR2to5 - PY data'!$B$2:$B$48992=$D$4)*('HR2to5 - PY data'!$C$2:$C$48992=$E$4)*('HR2to5 - PY data'!$F$2:$F$48992=Q$22)*('HR2to5 - PY data'!$E$2:$E$48992=$A26)*('HR2to5 - PY data'!$G$2:$G$48992))</f>
        <v>0</v>
      </c>
      <c r="R26" cm="1">
        <f t="array" ref="R26">SUMPRODUCT(('HR2to5 - PY data'!$A$2:$A$48992=$C$4)*('HR2to5 - PY data'!$B$2:$B$48992=$D$4)*('HR2to5 - PY data'!$C$2:$C$48992=$E$4)*('HR2to5 - PY data'!$F$2:$F$48992=R$22)*('HR2to5 - PY data'!$E$2:$E$48992=$A26)*('HR2to5 - PY data'!$G$2:$G$48992))</f>
        <v>0</v>
      </c>
      <c r="S26" cm="1">
        <f t="array" ref="S26">SUMPRODUCT(('HR2to5 - PY data'!$A$2:$A$48992=$C$4)*('HR2to5 - PY data'!$B$2:$B$48992=$D$4)*('HR2to5 - PY data'!$C$2:$C$48992=$E$4)*('HR2to5 - PY data'!$F$2:$F$48992=S$22)*('HR2to5 - PY data'!$E$2:$E$48992=$A26)*('HR2to5 - PY data'!$G$2:$G$48992))</f>
        <v>0</v>
      </c>
      <c r="T26" cm="1">
        <f t="array" ref="T26">SUMPRODUCT(('HR2to5 - PY data'!$A$2:$A$48992=$C$4)*('HR2to5 - PY data'!$B$2:$B$48992=$D$4)*('HR2to5 - PY data'!$C$2:$C$48992=$E$4)*('HR2to5 - PY data'!$F$2:$F$48992=T$22)*('HR2to5 - PY data'!$E$2:$E$48992=$A26)*('HR2to5 - PY data'!$G$2:$G$48992))</f>
        <v>0</v>
      </c>
      <c r="U26" s="356">
        <f t="shared" si="12"/>
        <v>0</v>
      </c>
    </row>
    <row r="27" spans="1:24">
      <c r="A27" t="s">
        <v>282</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56">
        <f t="shared" ref="F27" si="19">SUM(F20:F26)</f>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56">
        <f t="shared" ref="K27" si="20">SUM(K20:K26)</f>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56">
        <f t="shared" ref="P27" si="21">SUM(P20:P26)</f>
        <v>0</v>
      </c>
      <c r="Q27" cm="1">
        <f t="array" ref="Q27">SUMPRODUCT(('HR2to5 - PY data'!$A$2:$A$48992=$C$4)*('HR2to5 - PY data'!$B$2:$B$48992=$D$4)*('HR2to5 - PY data'!$C$2:$C$48992=$E$4)*('HR2to5 - PY data'!$F$2:$F$48992=Q$22)*('HR2to5 - PY data'!$E$2:$E$48992=$A27)*('HR2to5 - PY data'!$G$2:$G$48992))</f>
        <v>0</v>
      </c>
      <c r="R27" cm="1">
        <f t="array" ref="R27">SUMPRODUCT(('HR2to5 - PY data'!$A$2:$A$48992=$C$4)*('HR2to5 - PY data'!$B$2:$B$48992=$D$4)*('HR2to5 - PY data'!$C$2:$C$48992=$E$4)*('HR2to5 - PY data'!$F$2:$F$48992=R$22)*('HR2to5 - PY data'!$E$2:$E$48992=$A27)*('HR2to5 - PY data'!$G$2:$G$48992))</f>
        <v>0</v>
      </c>
      <c r="S27" cm="1">
        <f t="array" ref="S27">SUMPRODUCT(('HR2to5 - PY data'!$A$2:$A$48992=$C$4)*('HR2to5 - PY data'!$B$2:$B$48992=$D$4)*('HR2to5 - PY data'!$C$2:$C$48992=$E$4)*('HR2to5 - PY data'!$F$2:$F$48992=S$22)*('HR2to5 - PY data'!$E$2:$E$48992=$A27)*('HR2to5 - PY data'!$G$2:$G$48992))</f>
        <v>0</v>
      </c>
      <c r="T27" cm="1">
        <f t="array" ref="T27">SUMPRODUCT(('HR2to5 - PY data'!$A$2:$A$48992=$C$4)*('HR2to5 - PY data'!$B$2:$B$48992=$D$4)*('HR2to5 - PY data'!$C$2:$C$48992=$E$4)*('HR2to5 - PY data'!$F$2:$F$48992=T$22)*('HR2to5 - PY data'!$E$2:$E$48992=$A27)*('HR2to5 - PY data'!$G$2:$G$48992))</f>
        <v>0</v>
      </c>
      <c r="U27" s="356">
        <f t="shared" si="12"/>
        <v>0</v>
      </c>
    </row>
    <row r="28" spans="1:24">
      <c r="A28" t="s">
        <v>283</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56">
        <f t="shared" ref="F28" si="22">SUM(F21:F27)</f>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56">
        <f t="shared" ref="K28" si="23">SUM(K21:K27)</f>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56">
        <f t="shared" ref="P28" si="24">SUM(P21:P27)</f>
        <v>0</v>
      </c>
      <c r="Q28" cm="1">
        <f t="array" ref="Q28">SUMPRODUCT(('HR2to5 - PY data'!$A$2:$A$48992=$C$4)*('HR2to5 - PY data'!$B$2:$B$48992=$D$4)*('HR2to5 - PY data'!$C$2:$C$48992=$E$4)*('HR2to5 - PY data'!$F$2:$F$48992=Q$22)*('HR2to5 - PY data'!$E$2:$E$48992=$A28)*('HR2to5 - PY data'!$G$2:$G$48992))</f>
        <v>0</v>
      </c>
      <c r="R28" cm="1">
        <f t="array" ref="R28">SUMPRODUCT(('HR2to5 - PY data'!$A$2:$A$48992=$C$4)*('HR2to5 - PY data'!$B$2:$B$48992=$D$4)*('HR2to5 - PY data'!$C$2:$C$48992=$E$4)*('HR2to5 - PY data'!$F$2:$F$48992=R$22)*('HR2to5 - PY data'!$E$2:$E$48992=$A28)*('HR2to5 - PY data'!$G$2:$G$48992))</f>
        <v>0</v>
      </c>
      <c r="S28" cm="1">
        <f t="array" ref="S28">SUMPRODUCT(('HR2to5 - PY data'!$A$2:$A$48992=$C$4)*('HR2to5 - PY data'!$B$2:$B$48992=$D$4)*('HR2to5 - PY data'!$C$2:$C$48992=$E$4)*('HR2to5 - PY data'!$F$2:$F$48992=S$22)*('HR2to5 - PY data'!$E$2:$E$48992=$A28)*('HR2to5 - PY data'!$G$2:$G$48992))</f>
        <v>0</v>
      </c>
      <c r="T28" cm="1">
        <f t="array" ref="T28">SUMPRODUCT(('HR2to5 - PY data'!$A$2:$A$48992=$C$4)*('HR2to5 - PY data'!$B$2:$B$48992=$D$4)*('HR2to5 - PY data'!$C$2:$C$48992=$E$4)*('HR2to5 - PY data'!$F$2:$F$48992=T$22)*('HR2to5 - PY data'!$E$2:$E$48992=$A28)*('HR2to5 - PY data'!$G$2:$G$48992))</f>
        <v>0</v>
      </c>
      <c r="U28" s="356">
        <f t="shared" si="12"/>
        <v>0</v>
      </c>
    </row>
    <row r="29" spans="1:24">
      <c r="A29" t="s">
        <v>284</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56">
        <f t="shared" ref="F29" si="25">SUM(F22:F28)</f>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56">
        <f t="shared" ref="K29" si="26">SUM(K22:K28)</f>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56">
        <f t="shared" ref="P29" si="27">SUM(P22:P28)</f>
        <v>0</v>
      </c>
      <c r="Q29" cm="1">
        <f t="array" ref="Q29">SUMPRODUCT(('HR2to5 - PY data'!$A$2:$A$48992=$C$4)*('HR2to5 - PY data'!$B$2:$B$48992=$D$4)*('HR2to5 - PY data'!$C$2:$C$48992=$E$4)*('HR2to5 - PY data'!$F$2:$F$48992=Q$22)*('HR2to5 - PY data'!$E$2:$E$48992=$A29)*('HR2to5 - PY data'!$G$2:$G$48992))</f>
        <v>0</v>
      </c>
      <c r="R29" cm="1">
        <f t="array" ref="R29">SUMPRODUCT(('HR2to5 - PY data'!$A$2:$A$48992=$C$4)*('HR2to5 - PY data'!$B$2:$B$48992=$D$4)*('HR2to5 - PY data'!$C$2:$C$48992=$E$4)*('HR2to5 - PY data'!$F$2:$F$48992=R$22)*('HR2to5 - PY data'!$E$2:$E$48992=$A29)*('HR2to5 - PY data'!$G$2:$G$48992))</f>
        <v>0</v>
      </c>
      <c r="S29" cm="1">
        <f t="array" ref="S29">SUMPRODUCT(('HR2to5 - PY data'!$A$2:$A$48992=$C$4)*('HR2to5 - PY data'!$B$2:$B$48992=$D$4)*('HR2to5 - PY data'!$C$2:$C$48992=$E$4)*('HR2to5 - PY data'!$F$2:$F$48992=S$22)*('HR2to5 - PY data'!$E$2:$E$48992=$A29)*('HR2to5 - PY data'!$G$2:$G$48992))</f>
        <v>0</v>
      </c>
      <c r="T29" cm="1">
        <f t="array" ref="T29">SUMPRODUCT(('HR2to5 - PY data'!$A$2:$A$48992=$C$4)*('HR2to5 - PY data'!$B$2:$B$48992=$D$4)*('HR2to5 - PY data'!$C$2:$C$48992=$E$4)*('HR2to5 - PY data'!$F$2:$F$48992=T$22)*('HR2to5 - PY data'!$E$2:$E$48992=$A29)*('HR2to5 - PY data'!$G$2:$G$48992))</f>
        <v>0</v>
      </c>
      <c r="U29" s="356">
        <f t="shared" si="12"/>
        <v>0</v>
      </c>
    </row>
    <row r="30" spans="1:24">
      <c r="A30" t="s">
        <v>285</v>
      </c>
      <c r="B30" s="356">
        <f>SUM(B23:B29)</f>
        <v>0</v>
      </c>
      <c r="C30" s="356">
        <f t="shared" ref="C30:P30" si="28">SUM(C23:C29)</f>
        <v>0</v>
      </c>
      <c r="D30" s="356">
        <f t="shared" si="28"/>
        <v>0</v>
      </c>
      <c r="E30" s="356">
        <f t="shared" si="28"/>
        <v>0</v>
      </c>
      <c r="F30" s="356">
        <f t="shared" si="28"/>
        <v>0</v>
      </c>
      <c r="G30" s="356">
        <f t="shared" si="28"/>
        <v>0</v>
      </c>
      <c r="H30" s="356">
        <f t="shared" si="28"/>
        <v>0</v>
      </c>
      <c r="I30" s="356">
        <f t="shared" si="28"/>
        <v>0</v>
      </c>
      <c r="J30" s="356">
        <f t="shared" si="28"/>
        <v>0</v>
      </c>
      <c r="K30" s="356">
        <f t="shared" si="28"/>
        <v>0</v>
      </c>
      <c r="L30" s="356">
        <f t="shared" si="28"/>
        <v>0</v>
      </c>
      <c r="M30" s="356">
        <f t="shared" si="28"/>
        <v>0</v>
      </c>
      <c r="N30" s="356">
        <f t="shared" si="28"/>
        <v>0</v>
      </c>
      <c r="O30" s="356">
        <f t="shared" si="28"/>
        <v>0</v>
      </c>
      <c r="P30" s="356">
        <f t="shared" si="28"/>
        <v>0</v>
      </c>
      <c r="Q30" s="356">
        <f t="shared" ref="Q30" si="29">B18+G18+L18+Q18+B30+G30+L30</f>
        <v>0</v>
      </c>
      <c r="R30" s="356">
        <f t="shared" ref="R30" si="30">C18+H18+M18+R18+C30+H30+M30</f>
        <v>0</v>
      </c>
      <c r="S30" s="356">
        <f t="shared" ref="S30" si="31">D18+I18+N18+S18+D30+I30+N30</f>
        <v>0</v>
      </c>
      <c r="T30" s="356">
        <f t="shared" ref="T30" si="32">E18+J18+O18+T18+E30+J30+O30</f>
        <v>0</v>
      </c>
      <c r="U30" s="356">
        <f t="shared" si="12"/>
        <v>0</v>
      </c>
    </row>
    <row r="34" spans="1:15">
      <c r="B34" t="s">
        <v>330</v>
      </c>
      <c r="C34" t="s">
        <v>331</v>
      </c>
      <c r="D34" t="s">
        <v>332</v>
      </c>
      <c r="E34" t="s">
        <v>333</v>
      </c>
      <c r="F34" t="s">
        <v>334</v>
      </c>
      <c r="G34" t="s">
        <v>335</v>
      </c>
      <c r="H34" t="s">
        <v>336</v>
      </c>
      <c r="I34" t="s">
        <v>337</v>
      </c>
      <c r="J34" t="s">
        <v>338</v>
      </c>
      <c r="K34" t="s">
        <v>339</v>
      </c>
      <c r="L34" t="s">
        <v>221</v>
      </c>
      <c r="M34" s="199"/>
    </row>
    <row r="35" spans="1:15">
      <c r="A35" t="s">
        <v>278</v>
      </c>
      <c r="B35">
        <f>C35+G35</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c r="M35" cm="1">
        <f t="array" ref="M35">SUMPRODUCT(('HR2to5 - PY data'!$A$2:$A$48992=$C$4)*('HR2to5 - PY data'!$B$2:$B$48992=$D$4)*('HR2to5 - PY data'!$C$2:$C$48992=$E$4)*('HR2to5 - PY data'!$F$2:$F$48992=M$34)*('HR2to5 - PY data'!$E$2:$E$48992=$A35)*('HR2to5 - PY data'!$G$2:$G$48992))</f>
        <v>0</v>
      </c>
    </row>
    <row r="36" spans="1:15">
      <c r="A36" s="199" t="s">
        <v>279</v>
      </c>
      <c r="B36">
        <f t="shared" ref="B36:B41" si="33">C36+G36</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c r="M36" cm="1">
        <f t="array" ref="M36">SUMPRODUCT(('HR2to5 - PY data'!$A$2:$A$48992=$C$4)*('HR2to5 - PY data'!$B$2:$B$48992=$D$4)*('HR2to5 - PY data'!$C$2:$C$48992=$E$4)*('HR2to5 - PY data'!$F$2:$F$48992=M$34)*('HR2to5 - PY data'!$E$2:$E$48992=$A36)*('HR2to5 - PY data'!$G$2:$G$48992))</f>
        <v>0</v>
      </c>
    </row>
    <row r="37" spans="1:15">
      <c r="A37" t="s">
        <v>280</v>
      </c>
      <c r="B37">
        <f t="shared" si="33"/>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c r="M37" cm="1">
        <f t="array" ref="M37">SUMPRODUCT(('HR2to5 - PY data'!$A$2:$A$48992=$C$4)*('HR2to5 - PY data'!$B$2:$B$48992=$D$4)*('HR2to5 - PY data'!$C$2:$C$48992=$E$4)*('HR2to5 - PY data'!$F$2:$F$48992=M$34)*('HR2to5 - PY data'!$E$2:$E$48992=$A37)*('HR2to5 - PY data'!$G$2:$G$48992))</f>
        <v>0</v>
      </c>
    </row>
    <row r="38" spans="1:15">
      <c r="A38" t="s">
        <v>281</v>
      </c>
      <c r="B38">
        <f t="shared" si="33"/>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c r="M38" cm="1">
        <f t="array" ref="M38">SUMPRODUCT(('HR2to5 - PY data'!$A$2:$A$48992=$C$4)*('HR2to5 - PY data'!$B$2:$B$48992=$D$4)*('HR2to5 - PY data'!$C$2:$C$48992=$E$4)*('HR2to5 - PY data'!$F$2:$F$48992=M$34)*('HR2to5 - PY data'!$E$2:$E$48992=$A38)*('HR2to5 - PY data'!$G$2:$G$48992))</f>
        <v>0</v>
      </c>
    </row>
    <row r="39" spans="1:15">
      <c r="A39" t="s">
        <v>282</v>
      </c>
      <c r="B39">
        <f t="shared" si="33"/>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c r="M39" cm="1">
        <f t="array" ref="M39">SUMPRODUCT(('HR2to5 - PY data'!$A$2:$A$48992=$C$4)*('HR2to5 - PY data'!$B$2:$B$48992=$D$4)*('HR2to5 - PY data'!$C$2:$C$48992=$E$4)*('HR2to5 - PY data'!$F$2:$F$48992=M$34)*('HR2to5 - PY data'!$E$2:$E$48992=$A39)*('HR2to5 - PY data'!$G$2:$G$48992))</f>
        <v>0</v>
      </c>
    </row>
    <row r="40" spans="1:15">
      <c r="A40" t="s">
        <v>283</v>
      </c>
      <c r="B40">
        <f t="shared" si="33"/>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c r="M40" cm="1">
        <f t="array" ref="M40">SUMPRODUCT(('HR2to5 - PY data'!$A$2:$A$48992=$C$4)*('HR2to5 - PY data'!$B$2:$B$48992=$D$4)*('HR2to5 - PY data'!$C$2:$C$48992=$E$4)*('HR2to5 - PY data'!$F$2:$F$48992=M$34)*('HR2to5 - PY data'!$E$2:$E$48992=$A40)*('HR2to5 - PY data'!$G$2:$G$48992))</f>
        <v>0</v>
      </c>
    </row>
    <row r="41" spans="1:15">
      <c r="A41" t="s">
        <v>284</v>
      </c>
      <c r="B41">
        <f t="shared" si="33"/>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c r="M41" cm="1">
        <f t="array" ref="M41">SUMPRODUCT(('HR2to5 - PY data'!$A$2:$A$48992=$C$4)*('HR2to5 - PY data'!$B$2:$B$48992=$D$4)*('HR2to5 - PY data'!$C$2:$C$48992=$E$4)*('HR2to5 - PY data'!$F$2:$F$48992=M$34)*('HR2to5 - PY data'!$E$2:$E$48992=$A41)*('HR2to5 - PY data'!$G$2:$G$48992))</f>
        <v>0</v>
      </c>
    </row>
    <row r="42" spans="1:15" s="356" customFormat="1">
      <c r="A42" s="356" t="s">
        <v>285</v>
      </c>
      <c r="B42" s="356">
        <f>SUM(B35:B41)</f>
        <v>0</v>
      </c>
      <c r="C42" s="356">
        <f t="shared" ref="C42:M42" si="34">SUM(C35:C41)</f>
        <v>0</v>
      </c>
      <c r="D42" s="356">
        <f t="shared" si="34"/>
        <v>0</v>
      </c>
      <c r="E42" s="356">
        <f t="shared" si="34"/>
        <v>0</v>
      </c>
      <c r="F42" s="356">
        <f t="shared" si="34"/>
        <v>0</v>
      </c>
      <c r="G42" s="356">
        <f t="shared" si="34"/>
        <v>0</v>
      </c>
      <c r="H42" s="356">
        <f t="shared" si="34"/>
        <v>0</v>
      </c>
      <c r="I42" s="356">
        <f t="shared" si="34"/>
        <v>0</v>
      </c>
      <c r="J42" s="356">
        <f t="shared" si="34"/>
        <v>0</v>
      </c>
      <c r="K42" s="356">
        <f t="shared" si="34"/>
        <v>0</v>
      </c>
      <c r="L42" s="356">
        <f t="shared" si="34"/>
        <v>0</v>
      </c>
      <c r="M42" s="356">
        <f t="shared" si="34"/>
        <v>0</v>
      </c>
    </row>
    <row r="46" spans="1:15">
      <c r="B46" t="s">
        <v>340</v>
      </c>
      <c r="C46" t="s">
        <v>341</v>
      </c>
      <c r="D46" t="s">
        <v>342</v>
      </c>
      <c r="E46" t="s">
        <v>343</v>
      </c>
      <c r="F46" t="s">
        <v>226</v>
      </c>
      <c r="G46" t="s">
        <v>344</v>
      </c>
      <c r="H46" t="s">
        <v>345</v>
      </c>
      <c r="I46" t="s">
        <v>346</v>
      </c>
      <c r="J46" t="s">
        <v>347</v>
      </c>
      <c r="K46" t="s">
        <v>348</v>
      </c>
      <c r="L46" t="s">
        <v>349</v>
      </c>
      <c r="M46" t="s">
        <v>350</v>
      </c>
      <c r="N46" t="s">
        <v>234</v>
      </c>
      <c r="O46" t="s">
        <v>351</v>
      </c>
    </row>
    <row r="47" spans="1:15">
      <c r="A47" t="s">
        <v>278</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279</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280</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281</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282</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283</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284</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56" t="s">
        <v>285</v>
      </c>
      <c r="B54" s="356">
        <f>SUM(B47:B53)</f>
        <v>0</v>
      </c>
      <c r="C54" s="356">
        <f t="shared" ref="C54:O54" si="35">SUM(C47:C53)</f>
        <v>0</v>
      </c>
      <c r="D54" s="356">
        <f t="shared" si="35"/>
        <v>0</v>
      </c>
      <c r="E54" s="356">
        <f t="shared" si="35"/>
        <v>0</v>
      </c>
      <c r="F54" s="356">
        <f t="shared" si="35"/>
        <v>0</v>
      </c>
      <c r="G54" s="356">
        <f t="shared" si="35"/>
        <v>0</v>
      </c>
      <c r="H54" s="356">
        <f t="shared" si="35"/>
        <v>0</v>
      </c>
      <c r="I54" s="356">
        <f t="shared" si="35"/>
        <v>0</v>
      </c>
      <c r="J54" s="356">
        <f t="shared" si="35"/>
        <v>0</v>
      </c>
      <c r="K54" s="356">
        <f t="shared" si="35"/>
        <v>0</v>
      </c>
      <c r="L54" s="356">
        <f t="shared" si="35"/>
        <v>0</v>
      </c>
      <c r="M54" s="356">
        <f t="shared" si="35"/>
        <v>0</v>
      </c>
      <c r="N54" s="356">
        <f t="shared" si="35"/>
        <v>0</v>
      </c>
      <c r="O54" s="356">
        <f t="shared" si="35"/>
        <v>0</v>
      </c>
    </row>
    <row r="58" spans="1:18">
      <c r="B58" t="s">
        <v>352</v>
      </c>
      <c r="C58" t="s">
        <v>353</v>
      </c>
      <c r="D58" t="s">
        <v>354</v>
      </c>
      <c r="E58" t="s">
        <v>355</v>
      </c>
      <c r="F58" t="s">
        <v>356</v>
      </c>
      <c r="G58" s="199" t="s">
        <v>357</v>
      </c>
      <c r="H58" t="s">
        <v>358</v>
      </c>
      <c r="I58" t="s">
        <v>359</v>
      </c>
      <c r="J58" t="s">
        <v>360</v>
      </c>
      <c r="K58" t="s">
        <v>361</v>
      </c>
      <c r="L58" t="s">
        <v>362</v>
      </c>
      <c r="M58" t="s">
        <v>363</v>
      </c>
      <c r="N58" t="s">
        <v>364</v>
      </c>
      <c r="O58" t="s">
        <v>365</v>
      </c>
      <c r="P58" t="s">
        <v>366</v>
      </c>
      <c r="Q58" s="199" t="s">
        <v>367</v>
      </c>
      <c r="R58" t="s">
        <v>368</v>
      </c>
    </row>
    <row r="59" spans="1:18">
      <c r="A59" t="s">
        <v>278</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279</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280</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281</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282</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283</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284</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285</v>
      </c>
      <c r="B66" s="356">
        <f>SUM(B59:B65)</f>
        <v>0</v>
      </c>
      <c r="C66" s="356">
        <f t="shared" ref="C66:R66" si="36">SUM(C59:C65)</f>
        <v>0</v>
      </c>
      <c r="D66" s="356">
        <f t="shared" si="36"/>
        <v>0</v>
      </c>
      <c r="E66" s="356">
        <f t="shared" si="36"/>
        <v>0</v>
      </c>
      <c r="F66" s="356">
        <f t="shared" si="36"/>
        <v>0</v>
      </c>
      <c r="G66" s="356">
        <f t="shared" si="36"/>
        <v>0</v>
      </c>
      <c r="H66" s="356">
        <f t="shared" si="36"/>
        <v>0</v>
      </c>
      <c r="I66" s="356">
        <f t="shared" si="36"/>
        <v>0</v>
      </c>
      <c r="J66" s="356">
        <f t="shared" si="36"/>
        <v>0</v>
      </c>
      <c r="K66" s="356">
        <f t="shared" si="36"/>
        <v>0</v>
      </c>
      <c r="L66" s="356">
        <f t="shared" si="36"/>
        <v>0</v>
      </c>
      <c r="M66" s="356">
        <f t="shared" si="36"/>
        <v>0</v>
      </c>
      <c r="N66" s="356">
        <f t="shared" si="36"/>
        <v>0</v>
      </c>
      <c r="O66" s="356">
        <f t="shared" si="36"/>
        <v>0</v>
      </c>
      <c r="P66" s="356">
        <f t="shared" si="36"/>
        <v>0</v>
      </c>
      <c r="Q66" s="356">
        <f t="shared" si="36"/>
        <v>0</v>
      </c>
      <c r="R66" s="356">
        <f t="shared" si="3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topLeftCell="A24" zoomScale="70" zoomScaleNormal="70" zoomScaleSheetLayoutView="85" workbookViewId="0">
      <selection activeCell="B59" sqref="B5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369</v>
      </c>
    </row>
    <row r="3" spans="1:71" ht="12.75" customHeight="1">
      <c r="C3" s="480"/>
      <c r="D3" s="480"/>
      <c r="E3" s="480"/>
      <c r="F3" s="480"/>
      <c r="G3" s="480"/>
      <c r="H3" s="480"/>
      <c r="I3" s="480"/>
      <c r="J3" s="480"/>
      <c r="K3" s="480"/>
      <c r="L3" s="480"/>
      <c r="M3" s="480"/>
      <c r="N3" s="480"/>
      <c r="O3" s="480"/>
      <c r="P3" s="480"/>
      <c r="Q3" s="35"/>
      <c r="R3" s="35"/>
      <c r="S3" s="35"/>
      <c r="T3" s="35"/>
    </row>
    <row r="4" spans="1:71" ht="13.5" customHeight="1">
      <c r="C4" s="480"/>
      <c r="D4" s="480"/>
      <c r="E4" s="480"/>
      <c r="F4" s="480"/>
      <c r="G4" s="480"/>
      <c r="H4" s="480"/>
      <c r="I4" s="480"/>
      <c r="J4" s="480"/>
      <c r="K4" s="480"/>
      <c r="L4" s="480"/>
      <c r="M4" s="480"/>
      <c r="N4" s="480"/>
      <c r="O4" s="480"/>
      <c r="P4" s="480"/>
      <c r="Q4" s="35"/>
      <c r="R4" s="35"/>
      <c r="S4" s="35"/>
      <c r="T4" s="35"/>
    </row>
    <row r="5" spans="1:71" ht="49.5" customHeight="1"/>
    <row r="6" spans="1:71" s="3" customFormat="1" ht="18.75" customHeight="1">
      <c r="A6" s="482" t="s">
        <v>370</v>
      </c>
      <c r="B6" s="483"/>
      <c r="C6" s="483"/>
      <c r="D6" s="483"/>
      <c r="E6" s="483"/>
      <c r="F6" s="483"/>
      <c r="G6" s="483"/>
      <c r="H6" s="483"/>
      <c r="I6" s="483"/>
      <c r="J6" s="483"/>
      <c r="K6" s="483"/>
      <c r="L6" s="483"/>
      <c r="M6" s="483"/>
      <c r="N6" s="483"/>
      <c r="O6" s="483"/>
      <c r="P6" s="483"/>
      <c r="Q6" s="483"/>
      <c r="R6" s="483"/>
      <c r="S6" s="483"/>
      <c r="T6" s="483"/>
      <c r="U6" s="483"/>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87" t="s">
        <v>542</v>
      </c>
      <c r="B8" s="488"/>
      <c r="C8" s="488"/>
      <c r="D8" s="488"/>
      <c r="E8" s="488"/>
      <c r="F8" s="488"/>
      <c r="G8" s="488"/>
      <c r="H8" s="488"/>
      <c r="I8" s="488"/>
      <c r="J8" s="488"/>
      <c r="K8" s="488"/>
      <c r="L8" s="488"/>
      <c r="M8" s="488"/>
      <c r="N8" s="488"/>
      <c r="O8" s="488"/>
      <c r="P8" s="488"/>
      <c r="Q8" s="488"/>
      <c r="R8" s="488"/>
      <c r="S8" s="488"/>
      <c r="T8" s="488"/>
      <c r="U8" s="489"/>
    </row>
    <row r="9" spans="1:71" s="92" customFormat="1" ht="30.6" customHeight="1" thickBot="1">
      <c r="A9" s="93"/>
      <c r="B9" s="481" t="s">
        <v>371</v>
      </c>
      <c r="C9" s="481"/>
      <c r="D9" s="481"/>
      <c r="E9" s="481"/>
      <c r="F9" s="481"/>
      <c r="G9" s="481" t="s">
        <v>372</v>
      </c>
      <c r="H9" s="481"/>
      <c r="I9" s="481"/>
      <c r="J9" s="481"/>
      <c r="K9" s="481"/>
      <c r="L9" s="484" t="s">
        <v>373</v>
      </c>
      <c r="M9" s="485"/>
      <c r="N9" s="485"/>
      <c r="O9" s="485"/>
      <c r="P9" s="486"/>
      <c r="Q9" s="484" t="s">
        <v>374</v>
      </c>
      <c r="R9" s="485"/>
      <c r="S9" s="485"/>
      <c r="T9" s="485"/>
      <c r="U9" s="486"/>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326</v>
      </c>
      <c r="C10" s="130" t="s">
        <v>327</v>
      </c>
      <c r="D10" s="130" t="s">
        <v>328</v>
      </c>
      <c r="E10" s="133" t="s">
        <v>329</v>
      </c>
      <c r="F10" s="131" t="s">
        <v>285</v>
      </c>
      <c r="G10" s="132" t="s">
        <v>326</v>
      </c>
      <c r="H10" s="130" t="s">
        <v>327</v>
      </c>
      <c r="I10" s="130" t="s">
        <v>328</v>
      </c>
      <c r="J10" s="133" t="s">
        <v>329</v>
      </c>
      <c r="K10" s="131" t="s">
        <v>285</v>
      </c>
      <c r="L10" s="132" t="s">
        <v>326</v>
      </c>
      <c r="M10" s="130" t="s">
        <v>327</v>
      </c>
      <c r="N10" s="130" t="s">
        <v>328</v>
      </c>
      <c r="O10" s="133" t="s">
        <v>329</v>
      </c>
      <c r="P10" s="131" t="s">
        <v>285</v>
      </c>
      <c r="Q10" s="132" t="s">
        <v>326</v>
      </c>
      <c r="R10" s="130" t="s">
        <v>327</v>
      </c>
      <c r="S10" s="130" t="s">
        <v>328</v>
      </c>
      <c r="T10" s="133" t="s">
        <v>329</v>
      </c>
      <c r="U10" s="131" t="s">
        <v>285</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278</v>
      </c>
      <c r="B11" s="15"/>
      <c r="C11" s="88"/>
      <c r="D11" s="88"/>
      <c r="E11" s="88"/>
      <c r="F11" s="313">
        <f t="shared" ref="F11:F18" si="0">SUM(B11:E11)</f>
        <v>0</v>
      </c>
      <c r="G11" s="236"/>
      <c r="H11" s="15"/>
      <c r="I11" s="15"/>
      <c r="J11" s="88"/>
      <c r="K11" s="314">
        <f t="shared" ref="K11:K17" si="1">SUM(G11:J11)</f>
        <v>0</v>
      </c>
      <c r="L11" s="236"/>
      <c r="M11" s="15"/>
      <c r="N11" s="15"/>
      <c r="O11" s="88"/>
      <c r="P11" s="314">
        <f t="shared" ref="P11:P17" si="2">SUM(L11:O11)</f>
        <v>0</v>
      </c>
      <c r="Q11" s="236"/>
      <c r="R11" s="15"/>
      <c r="S11" s="15"/>
      <c r="T11" s="88"/>
      <c r="U11" s="314">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375</v>
      </c>
      <c r="B12" s="15"/>
      <c r="C12" s="88"/>
      <c r="D12" s="88"/>
      <c r="E12" s="88"/>
      <c r="F12" s="278">
        <f t="shared" si="0"/>
        <v>0</v>
      </c>
      <c r="G12" s="236"/>
      <c r="H12" s="15"/>
      <c r="I12" s="15"/>
      <c r="J12" s="88"/>
      <c r="K12" s="314">
        <f t="shared" si="1"/>
        <v>0</v>
      </c>
      <c r="L12" s="236"/>
      <c r="M12" s="15"/>
      <c r="N12" s="15"/>
      <c r="O12" s="88"/>
      <c r="P12" s="314">
        <f t="shared" si="2"/>
        <v>0</v>
      </c>
      <c r="Q12" s="236"/>
      <c r="R12" s="15"/>
      <c r="S12" s="15"/>
      <c r="T12" s="88"/>
      <c r="U12" s="314">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280</v>
      </c>
      <c r="B13" s="15"/>
      <c r="C13" s="88"/>
      <c r="D13" s="88"/>
      <c r="E13" s="88"/>
      <c r="F13" s="307">
        <f t="shared" si="0"/>
        <v>0</v>
      </c>
      <c r="G13" s="236"/>
      <c r="H13" s="15"/>
      <c r="I13" s="15"/>
      <c r="J13" s="88"/>
      <c r="K13" s="314">
        <f t="shared" si="1"/>
        <v>0</v>
      </c>
      <c r="L13" s="236"/>
      <c r="M13" s="15"/>
      <c r="N13" s="15"/>
      <c r="O13" s="88"/>
      <c r="P13" s="314">
        <f t="shared" si="2"/>
        <v>0</v>
      </c>
      <c r="Q13" s="236"/>
      <c r="R13" s="15"/>
      <c r="S13" s="15"/>
      <c r="T13" s="88"/>
      <c r="U13" s="314">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281</v>
      </c>
      <c r="B14" s="15"/>
      <c r="C14" s="88"/>
      <c r="D14" s="88"/>
      <c r="E14" s="88"/>
      <c r="F14" s="278">
        <f t="shared" si="0"/>
        <v>0</v>
      </c>
      <c r="G14" s="236"/>
      <c r="H14" s="15"/>
      <c r="I14" s="15"/>
      <c r="J14" s="88"/>
      <c r="K14" s="314">
        <f t="shared" si="1"/>
        <v>0</v>
      </c>
      <c r="L14" s="236"/>
      <c r="M14" s="15"/>
      <c r="N14" s="15"/>
      <c r="O14" s="88"/>
      <c r="P14" s="314">
        <f t="shared" si="2"/>
        <v>0</v>
      </c>
      <c r="Q14" s="236"/>
      <c r="R14" s="15"/>
      <c r="S14" s="15"/>
      <c r="T14" s="88"/>
      <c r="U14" s="314">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282</v>
      </c>
      <c r="B15" s="15"/>
      <c r="C15" s="88"/>
      <c r="D15" s="88"/>
      <c r="E15" s="88"/>
      <c r="F15" s="307">
        <f t="shared" si="0"/>
        <v>0</v>
      </c>
      <c r="G15" s="236"/>
      <c r="H15" s="15"/>
      <c r="I15" s="15"/>
      <c r="J15" s="88"/>
      <c r="K15" s="314">
        <f t="shared" si="1"/>
        <v>0</v>
      </c>
      <c r="L15" s="236"/>
      <c r="M15" s="15"/>
      <c r="N15" s="15"/>
      <c r="O15" s="88"/>
      <c r="P15" s="314">
        <f t="shared" si="2"/>
        <v>0</v>
      </c>
      <c r="Q15" s="236"/>
      <c r="R15" s="15"/>
      <c r="S15" s="15"/>
      <c r="T15" s="88"/>
      <c r="U15" s="314">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283</v>
      </c>
      <c r="B16" s="15"/>
      <c r="C16" s="88"/>
      <c r="D16" s="88"/>
      <c r="E16" s="88"/>
      <c r="F16" s="307">
        <f t="shared" si="0"/>
        <v>0</v>
      </c>
      <c r="G16" s="236"/>
      <c r="H16" s="15"/>
      <c r="I16" s="15"/>
      <c r="J16" s="88"/>
      <c r="K16" s="314">
        <f t="shared" si="1"/>
        <v>0</v>
      </c>
      <c r="L16" s="236"/>
      <c r="M16" s="15"/>
      <c r="N16" s="15"/>
      <c r="O16" s="88"/>
      <c r="P16" s="314">
        <f t="shared" si="2"/>
        <v>0</v>
      </c>
      <c r="Q16" s="236"/>
      <c r="R16" s="15"/>
      <c r="S16" s="15"/>
      <c r="T16" s="88"/>
      <c r="U16" s="314">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284</v>
      </c>
      <c r="B17" s="86"/>
      <c r="C17" s="252"/>
      <c r="D17" s="252"/>
      <c r="E17" s="252"/>
      <c r="F17" s="307">
        <f t="shared" si="0"/>
        <v>0</v>
      </c>
      <c r="G17" s="253"/>
      <c r="H17" s="86"/>
      <c r="I17" s="86"/>
      <c r="J17" s="252"/>
      <c r="K17" s="314">
        <f t="shared" si="1"/>
        <v>0</v>
      </c>
      <c r="L17" s="253"/>
      <c r="M17" s="86"/>
      <c r="N17" s="86"/>
      <c r="O17" s="252"/>
      <c r="P17" s="315">
        <f t="shared" si="2"/>
        <v>0</v>
      </c>
      <c r="Q17" s="253"/>
      <c r="R17" s="86"/>
      <c r="S17" s="86"/>
      <c r="T17" s="252"/>
      <c r="U17" s="315">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285</v>
      </c>
      <c r="B18" s="103">
        <f>SUM(B11:B17)</f>
        <v>0</v>
      </c>
      <c r="C18" s="103">
        <f t="shared" ref="C18:E18" si="4">SUM(C11:C17)</f>
        <v>0</v>
      </c>
      <c r="D18" s="103">
        <f t="shared" si="4"/>
        <v>0</v>
      </c>
      <c r="E18" s="103">
        <f t="shared" si="4"/>
        <v>0</v>
      </c>
      <c r="F18" s="7">
        <f t="shared" si="0"/>
        <v>0</v>
      </c>
      <c r="G18" s="103">
        <f>SUM(G11:G17)</f>
        <v>0</v>
      </c>
      <c r="H18" s="103">
        <f t="shared" ref="H18" si="5">SUM(H11:H17)</f>
        <v>0</v>
      </c>
      <c r="I18" s="103">
        <f t="shared" ref="I18" si="6">SUM(I11:I17)</f>
        <v>0</v>
      </c>
      <c r="J18" s="103">
        <f t="shared" ref="J18" si="7">SUM(J11:J17)</f>
        <v>0</v>
      </c>
      <c r="K18" s="103">
        <f>SUM(G18:J18)</f>
        <v>0</v>
      </c>
      <c r="L18" s="103">
        <f>SUM(L11:L17)</f>
        <v>0</v>
      </c>
      <c r="M18" s="103">
        <f t="shared" ref="M18" si="8">SUM(M11:M17)</f>
        <v>0</v>
      </c>
      <c r="N18" s="103">
        <f t="shared" ref="N18" si="9">SUM(N11:N17)</f>
        <v>0</v>
      </c>
      <c r="O18" s="103">
        <f t="shared" ref="O18" si="10">SUM(O11:O17)</f>
        <v>0</v>
      </c>
      <c r="P18" s="124">
        <f>SUM(L18:O18)</f>
        <v>0</v>
      </c>
      <c r="Q18" s="103">
        <f>SUM(Q11:Q17)</f>
        <v>0</v>
      </c>
      <c r="R18" s="103">
        <f t="shared" ref="R18" si="11">SUM(R11:R17)</f>
        <v>0</v>
      </c>
      <c r="S18" s="103">
        <f t="shared" ref="S18" si="12">SUM(S11:S17)</f>
        <v>0</v>
      </c>
      <c r="T18" s="103">
        <f t="shared" ref="T18" si="13">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500" t="s">
        <v>376</v>
      </c>
      <c r="C21" s="500"/>
      <c r="D21" s="500"/>
      <c r="E21" s="500"/>
      <c r="F21" s="500"/>
      <c r="G21" s="500" t="s">
        <v>377</v>
      </c>
      <c r="H21" s="500"/>
      <c r="I21" s="500"/>
      <c r="J21" s="500"/>
      <c r="K21" s="500"/>
      <c r="L21" s="484" t="s">
        <v>378</v>
      </c>
      <c r="M21" s="485"/>
      <c r="N21" s="485"/>
      <c r="O21" s="485"/>
      <c r="P21" s="486"/>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326</v>
      </c>
      <c r="C22" s="130" t="s">
        <v>327</v>
      </c>
      <c r="D22" s="130" t="s">
        <v>328</v>
      </c>
      <c r="E22" s="133" t="s">
        <v>329</v>
      </c>
      <c r="F22" s="131" t="s">
        <v>285</v>
      </c>
      <c r="G22" s="132" t="s">
        <v>326</v>
      </c>
      <c r="H22" s="130" t="s">
        <v>327</v>
      </c>
      <c r="I22" s="130" t="s">
        <v>328</v>
      </c>
      <c r="J22" s="133" t="s">
        <v>329</v>
      </c>
      <c r="K22" s="131" t="s">
        <v>285</v>
      </c>
      <c r="L22" s="132" t="s">
        <v>326</v>
      </c>
      <c r="M22" s="130" t="s">
        <v>327</v>
      </c>
      <c r="N22" s="130" t="s">
        <v>328</v>
      </c>
      <c r="O22" s="133" t="s">
        <v>329</v>
      </c>
      <c r="P22" s="131" t="s">
        <v>285</v>
      </c>
      <c r="Q22" s="92"/>
      <c r="R22" s="191" t="s">
        <v>379</v>
      </c>
      <c r="U22" s="92"/>
      <c r="V22" s="92"/>
      <c r="W22" s="92"/>
      <c r="X22" s="92"/>
      <c r="Y22" s="1"/>
      <c r="AG22" s="92"/>
      <c r="AH22" s="92"/>
      <c r="AI22" s="92"/>
      <c r="AR22" s="92"/>
      <c r="AS22" s="92"/>
      <c r="AT22" s="92"/>
      <c r="AU22" s="92"/>
      <c r="AV22" s="92"/>
      <c r="AW22" s="92"/>
      <c r="AX22" s="92"/>
    </row>
    <row r="23" spans="1:71" s="22" customFormat="1" ht="12.75" customHeight="1">
      <c r="A23" s="94" t="s">
        <v>278</v>
      </c>
      <c r="B23" s="15"/>
      <c r="C23" s="15"/>
      <c r="D23" s="15"/>
      <c r="E23" s="88"/>
      <c r="F23" s="278">
        <f t="shared" ref="F23:F28" si="14">SUM(B23:E23)</f>
        <v>0</v>
      </c>
      <c r="G23" s="236"/>
      <c r="H23" s="15"/>
      <c r="I23" s="15"/>
      <c r="J23" s="88"/>
      <c r="K23" s="278">
        <f t="shared" ref="K23:K29" si="15">SUM(G23:J23)</f>
        <v>0</v>
      </c>
      <c r="L23" s="236"/>
      <c r="M23" s="15"/>
      <c r="N23" s="15"/>
      <c r="O23" s="88"/>
      <c r="P23" s="278">
        <f t="shared" ref="P23:P29" si="16">SUM(L23:O23)</f>
        <v>0</v>
      </c>
      <c r="Q23" s="97"/>
      <c r="R23" s="479" t="s">
        <v>380</v>
      </c>
      <c r="S23" s="479"/>
      <c r="T23" s="479"/>
      <c r="U23" s="97">
        <f>SUM($F$18+$K$18+$P$18+$U$18+$F$30+$K$30+$P$30)</f>
        <v>0</v>
      </c>
      <c r="Y23" s="3"/>
    </row>
    <row r="24" spans="1:71" s="22" customFormat="1" ht="12.75" customHeight="1">
      <c r="A24" s="95" t="s">
        <v>375</v>
      </c>
      <c r="B24" s="15"/>
      <c r="C24" s="15"/>
      <c r="D24" s="15"/>
      <c r="E24" s="88"/>
      <c r="F24" s="278">
        <f t="shared" si="14"/>
        <v>0</v>
      </c>
      <c r="G24" s="236"/>
      <c r="H24" s="15"/>
      <c r="I24" s="15"/>
      <c r="J24" s="88"/>
      <c r="K24" s="278">
        <f t="shared" si="15"/>
        <v>0</v>
      </c>
      <c r="L24" s="236"/>
      <c r="M24" s="15"/>
      <c r="N24" s="15"/>
      <c r="O24" s="88"/>
      <c r="P24" s="278">
        <f t="shared" si="16"/>
        <v>0</v>
      </c>
      <c r="Q24" s="97"/>
      <c r="R24" s="479" t="s">
        <v>381</v>
      </c>
      <c r="S24" s="479"/>
      <c r="T24" s="479"/>
      <c r="U24" s="97">
        <f>SUM(B42+H42+B54+H54+L54+O54)</f>
        <v>0</v>
      </c>
      <c r="Y24" s="91"/>
    </row>
    <row r="25" spans="1:71" s="22" customFormat="1" ht="12.75" customHeight="1">
      <c r="A25" s="95" t="s">
        <v>280</v>
      </c>
      <c r="B25" s="15"/>
      <c r="C25" s="15"/>
      <c r="D25" s="15"/>
      <c r="E25" s="88"/>
      <c r="F25" s="278">
        <f t="shared" si="14"/>
        <v>0</v>
      </c>
      <c r="G25" s="236"/>
      <c r="H25" s="15"/>
      <c r="I25" s="15"/>
      <c r="J25" s="88"/>
      <c r="K25" s="278">
        <f t="shared" si="15"/>
        <v>0</v>
      </c>
      <c r="L25" s="236"/>
      <c r="M25" s="15"/>
      <c r="N25" s="15"/>
      <c r="O25" s="88"/>
      <c r="P25" s="278">
        <f t="shared" si="16"/>
        <v>0</v>
      </c>
      <c r="Q25" s="97"/>
      <c r="R25" s="479" t="s">
        <v>382</v>
      </c>
      <c r="S25" s="479"/>
      <c r="T25" s="479"/>
      <c r="U25" s="97">
        <f>SUM($N$66:$R$66)</f>
        <v>0</v>
      </c>
      <c r="Y25" s="1"/>
    </row>
    <row r="26" spans="1:71" s="22" customFormat="1" ht="12.75" customHeight="1">
      <c r="A26" s="95" t="s">
        <v>281</v>
      </c>
      <c r="B26" s="15"/>
      <c r="C26" s="15"/>
      <c r="D26" s="15"/>
      <c r="E26" s="88"/>
      <c r="F26" s="278">
        <f t="shared" si="14"/>
        <v>0</v>
      </c>
      <c r="G26" s="236"/>
      <c r="H26" s="15"/>
      <c r="I26" s="15"/>
      <c r="J26" s="88"/>
      <c r="K26" s="278">
        <f t="shared" si="15"/>
        <v>0</v>
      </c>
      <c r="L26" s="236"/>
      <c r="M26" s="15"/>
      <c r="N26" s="15"/>
      <c r="O26" s="88"/>
      <c r="P26" s="278">
        <f t="shared" si="16"/>
        <v>0</v>
      </c>
      <c r="Q26" s="97"/>
      <c r="R26" s="479" t="s">
        <v>383</v>
      </c>
      <c r="S26" s="479"/>
      <c r="T26" s="479"/>
      <c r="U26" s="97">
        <f>SUM($B$66:$D$66)</f>
        <v>0</v>
      </c>
      <c r="Y26" s="1"/>
    </row>
    <row r="27" spans="1:71" s="22" customFormat="1" ht="12.75" customHeight="1">
      <c r="A27" s="95" t="s">
        <v>282</v>
      </c>
      <c r="B27" s="15"/>
      <c r="C27" s="15"/>
      <c r="D27" s="15"/>
      <c r="E27" s="88"/>
      <c r="F27" s="278">
        <f t="shared" si="14"/>
        <v>0</v>
      </c>
      <c r="G27" s="236"/>
      <c r="H27" s="15"/>
      <c r="I27" s="15"/>
      <c r="J27" s="88"/>
      <c r="K27" s="278">
        <f t="shared" si="15"/>
        <v>0</v>
      </c>
      <c r="L27" s="236"/>
      <c r="M27" s="15"/>
      <c r="N27" s="15"/>
      <c r="O27" s="88"/>
      <c r="P27" s="278">
        <f t="shared" si="16"/>
        <v>0</v>
      </c>
      <c r="Q27" s="97"/>
      <c r="R27" s="479" t="s">
        <v>384</v>
      </c>
      <c r="S27" s="479"/>
      <c r="T27" s="479"/>
      <c r="U27" s="97">
        <f>SUM($E$66:$M$66)</f>
        <v>0</v>
      </c>
      <c r="Y27" s="1"/>
    </row>
    <row r="28" spans="1:71" s="22" customFormat="1" ht="12.75" customHeight="1">
      <c r="A28" s="95" t="s">
        <v>283</v>
      </c>
      <c r="B28" s="15"/>
      <c r="C28" s="15"/>
      <c r="D28" s="15"/>
      <c r="E28" s="88"/>
      <c r="F28" s="278">
        <f t="shared" si="14"/>
        <v>0</v>
      </c>
      <c r="G28" s="236"/>
      <c r="H28" s="15"/>
      <c r="I28" s="15"/>
      <c r="J28" s="88"/>
      <c r="K28" s="278">
        <f t="shared" si="15"/>
        <v>0</v>
      </c>
      <c r="L28" s="236"/>
      <c r="M28" s="15"/>
      <c r="N28" s="15"/>
      <c r="O28" s="88"/>
      <c r="P28" s="278">
        <f t="shared" si="16"/>
        <v>0</v>
      </c>
      <c r="Q28" s="97"/>
      <c r="U28" s="97"/>
      <c r="Y28" s="1"/>
    </row>
    <row r="29" spans="1:71" s="22" customFormat="1" ht="12.75" customHeight="1" thickBot="1">
      <c r="A29" s="96" t="s">
        <v>284</v>
      </c>
      <c r="B29" s="83"/>
      <c r="C29" s="83"/>
      <c r="D29" s="83"/>
      <c r="E29" s="252"/>
      <c r="F29" s="278">
        <f>SUM(B29:E29)</f>
        <v>0</v>
      </c>
      <c r="G29" s="237"/>
      <c r="H29" s="83"/>
      <c r="I29" s="83"/>
      <c r="J29" s="252"/>
      <c r="K29" s="313">
        <f t="shared" si="15"/>
        <v>0</v>
      </c>
      <c r="L29" s="237"/>
      <c r="M29" s="83"/>
      <c r="N29" s="83"/>
      <c r="O29" s="252"/>
      <c r="P29" s="313">
        <f t="shared" si="16"/>
        <v>0</v>
      </c>
      <c r="Q29" s="97"/>
      <c r="R29" s="22" t="s">
        <v>385</v>
      </c>
      <c r="U29" s="192" t="str">
        <f>IF(AND(U23=U24, U23=U25, U23=U26, U23=U27), "Yes", "No")</f>
        <v>Yes</v>
      </c>
      <c r="Y29" s="1"/>
    </row>
    <row r="30" spans="1:71" s="22" customFormat="1" ht="12.75" customHeight="1" thickBot="1">
      <c r="A30" s="6" t="s">
        <v>285</v>
      </c>
      <c r="B30" s="103">
        <f>SUM(B23:B29)</f>
        <v>0</v>
      </c>
      <c r="C30" s="103">
        <f t="shared" ref="C30" si="17">SUM(C23:C29)</f>
        <v>0</v>
      </c>
      <c r="D30" s="103">
        <f t="shared" ref="D30" si="18">SUM(D23:D29)</f>
        <v>0</v>
      </c>
      <c r="E30" s="103">
        <f t="shared" ref="E30" si="19">SUM(E23:E29)</f>
        <v>0</v>
      </c>
      <c r="F30" s="123">
        <f>SUM(B30:E30)</f>
        <v>0</v>
      </c>
      <c r="G30" s="103">
        <f>SUM(G23:G29)</f>
        <v>0</v>
      </c>
      <c r="H30" s="103">
        <f t="shared" ref="H30" si="20">SUM(H23:H29)</f>
        <v>0</v>
      </c>
      <c r="I30" s="103">
        <f t="shared" ref="I30" si="21">SUM(I23:I29)</f>
        <v>0</v>
      </c>
      <c r="J30" s="103">
        <f t="shared" ref="J30" si="22">SUM(J23:J29)</f>
        <v>0</v>
      </c>
      <c r="K30" s="124">
        <f>SUM(G30:J30)</f>
        <v>0</v>
      </c>
      <c r="L30" s="103">
        <f>SUM(L23:L29)</f>
        <v>0</v>
      </c>
      <c r="M30" s="103">
        <f t="shared" ref="M30" si="23">SUM(M23:M29)</f>
        <v>0</v>
      </c>
      <c r="N30" s="103">
        <f t="shared" ref="N30" si="24">SUM(N23:N29)</f>
        <v>0</v>
      </c>
      <c r="O30" s="103">
        <f t="shared" ref="O30" si="25">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504" t="s">
        <v>386</v>
      </c>
      <c r="S31" s="504"/>
      <c r="T31" s="504"/>
      <c r="U31" s="504"/>
      <c r="Y31" s="1"/>
    </row>
    <row r="32" spans="1:71" s="22" customFormat="1" ht="12.75" customHeight="1" thickBot="1">
      <c r="A32" s="4"/>
      <c r="B32" s="39"/>
      <c r="C32" s="39"/>
      <c r="D32" s="39"/>
      <c r="E32" s="39"/>
      <c r="F32" s="39"/>
      <c r="G32" s="39"/>
      <c r="H32" s="39"/>
      <c r="I32" s="39"/>
      <c r="J32" s="39"/>
      <c r="K32" s="39"/>
      <c r="L32" s="39"/>
      <c r="M32" s="39"/>
      <c r="N32" s="39"/>
      <c r="O32" s="39"/>
      <c r="P32" s="39"/>
      <c r="Q32" s="249"/>
      <c r="R32" s="504"/>
      <c r="S32" s="504"/>
      <c r="T32" s="504"/>
      <c r="U32" s="504"/>
      <c r="Y32" s="1"/>
    </row>
    <row r="33" spans="1:25" s="22" customFormat="1" ht="18.399999999999999" customHeight="1" thickBot="1">
      <c r="A33" s="501" t="s">
        <v>543</v>
      </c>
      <c r="B33" s="502"/>
      <c r="C33" s="502"/>
      <c r="D33" s="502"/>
      <c r="E33" s="502"/>
      <c r="F33" s="502"/>
      <c r="G33" s="502"/>
      <c r="H33" s="502"/>
      <c r="I33" s="502"/>
      <c r="J33" s="502"/>
      <c r="K33" s="502"/>
      <c r="L33" s="503"/>
      <c r="N33" s="39"/>
      <c r="O33" s="249"/>
      <c r="P33" s="249"/>
      <c r="Q33" s="249"/>
      <c r="R33" s="504"/>
      <c r="S33" s="504"/>
      <c r="T33" s="504"/>
      <c r="U33" s="504"/>
      <c r="Y33" s="1"/>
    </row>
    <row r="34" spans="1:25" s="22" customFormat="1" ht="67.900000000000006" customHeight="1" thickBot="1">
      <c r="A34" s="93"/>
      <c r="B34" s="275" t="s">
        <v>330</v>
      </c>
      <c r="C34" s="130" t="s">
        <v>387</v>
      </c>
      <c r="D34" s="367" t="s">
        <v>388</v>
      </c>
      <c r="E34" s="367" t="s">
        <v>389</v>
      </c>
      <c r="F34" s="367" t="s">
        <v>390</v>
      </c>
      <c r="G34" s="371" t="s">
        <v>391</v>
      </c>
      <c r="H34" s="372" t="s">
        <v>392</v>
      </c>
      <c r="I34" s="367" t="s">
        <v>393</v>
      </c>
      <c r="J34" s="367" t="s">
        <v>394</v>
      </c>
      <c r="K34" s="367" t="s">
        <v>395</v>
      </c>
      <c r="L34" s="367" t="s">
        <v>396</v>
      </c>
      <c r="N34" s="375" t="s">
        <v>397</v>
      </c>
      <c r="R34" s="490"/>
      <c r="S34" s="491"/>
      <c r="T34" s="491"/>
      <c r="U34" s="492"/>
      <c r="Y34" s="1"/>
    </row>
    <row r="35" spans="1:25" s="22" customFormat="1" ht="15.4" customHeight="1">
      <c r="A35" s="272" t="s">
        <v>278</v>
      </c>
      <c r="B35" s="277">
        <f>SUM(C35:G35)</f>
        <v>0</v>
      </c>
      <c r="C35" s="15"/>
      <c r="D35" s="368"/>
      <c r="E35" s="368"/>
      <c r="F35" s="376"/>
      <c r="G35" s="15"/>
      <c r="H35" s="15"/>
      <c r="I35" s="368"/>
      <c r="J35" s="368"/>
      <c r="K35" s="368"/>
      <c r="L35" s="368"/>
      <c r="N35" s="97" t="s">
        <v>398</v>
      </c>
      <c r="R35" s="493"/>
      <c r="S35" s="494"/>
      <c r="T35" s="494"/>
      <c r="U35" s="495"/>
      <c r="Y35" s="1"/>
    </row>
    <row r="36" spans="1:25" s="22" customFormat="1" ht="12.4" customHeight="1">
      <c r="A36" s="272" t="s">
        <v>375</v>
      </c>
      <c r="B36" s="278">
        <f t="shared" ref="B36:B41" si="26">SUM(C36:G36)</f>
        <v>0</v>
      </c>
      <c r="C36" s="15"/>
      <c r="D36" s="368"/>
      <c r="E36" s="368"/>
      <c r="F36" s="368"/>
      <c r="G36" s="15"/>
      <c r="H36" s="15"/>
      <c r="I36" s="368"/>
      <c r="J36" s="368"/>
      <c r="K36" s="368"/>
      <c r="L36" s="368"/>
      <c r="N36" s="97" t="s">
        <v>399</v>
      </c>
      <c r="R36" s="493"/>
      <c r="S36" s="494"/>
      <c r="T36" s="494"/>
      <c r="U36" s="495"/>
      <c r="Y36" s="92"/>
    </row>
    <row r="37" spans="1:25" s="22" customFormat="1" ht="12.75" customHeight="1">
      <c r="A37" s="272" t="s">
        <v>280</v>
      </c>
      <c r="B37" s="278">
        <f t="shared" si="26"/>
        <v>0</v>
      </c>
      <c r="C37" s="15"/>
      <c r="D37" s="368"/>
      <c r="E37" s="368"/>
      <c r="F37" s="368"/>
      <c r="G37" s="15"/>
      <c r="H37" s="15"/>
      <c r="I37" s="368"/>
      <c r="J37" s="368"/>
      <c r="K37" s="368"/>
      <c r="L37" s="368"/>
      <c r="N37" s="97" t="s">
        <v>400</v>
      </c>
      <c r="R37" s="496"/>
      <c r="S37" s="497"/>
      <c r="T37" s="497"/>
      <c r="U37" s="498"/>
      <c r="Y37" s="92"/>
    </row>
    <row r="38" spans="1:25" s="22" customFormat="1" ht="12.75" customHeight="1">
      <c r="A38" s="272" t="s">
        <v>281</v>
      </c>
      <c r="B38" s="278">
        <f t="shared" si="26"/>
        <v>0</v>
      </c>
      <c r="C38" s="15"/>
      <c r="D38" s="368"/>
      <c r="E38" s="368"/>
      <c r="F38" s="368"/>
      <c r="G38" s="15"/>
      <c r="H38" s="15"/>
      <c r="I38" s="368"/>
      <c r="J38" s="368"/>
      <c r="K38" s="368"/>
      <c r="L38" s="368"/>
      <c r="N38" s="374"/>
    </row>
    <row r="39" spans="1:25" s="22" customFormat="1" ht="12.75" customHeight="1">
      <c r="A39" s="272" t="s">
        <v>282</v>
      </c>
      <c r="B39" s="278">
        <f>SUM(C39:G39)</f>
        <v>0</v>
      </c>
      <c r="C39" s="15"/>
      <c r="D39" s="368"/>
      <c r="E39" s="368"/>
      <c r="F39" s="368"/>
      <c r="G39" s="15"/>
      <c r="H39" s="15"/>
      <c r="I39" s="368"/>
      <c r="J39" s="368"/>
      <c r="K39" s="368"/>
      <c r="L39" s="368"/>
      <c r="N39" s="97" t="s">
        <v>401</v>
      </c>
      <c r="R39" s="33" t="s">
        <v>288</v>
      </c>
    </row>
    <row r="40" spans="1:25" s="22" customFormat="1" ht="12.75" customHeight="1">
      <c r="A40" s="272" t="s">
        <v>283</v>
      </c>
      <c r="B40" s="278">
        <f t="shared" si="26"/>
        <v>0</v>
      </c>
      <c r="C40" s="15"/>
      <c r="D40" s="368"/>
      <c r="E40" s="368"/>
      <c r="F40" s="368"/>
      <c r="G40" s="15"/>
      <c r="H40" s="15"/>
      <c r="I40" s="368"/>
      <c r="J40" s="368"/>
      <c r="K40" s="368"/>
      <c r="L40" s="368"/>
      <c r="N40" s="39"/>
      <c r="O40" s="97"/>
      <c r="R40" s="451" t="s">
        <v>402</v>
      </c>
      <c r="S40" s="451"/>
      <c r="T40" s="451"/>
      <c r="U40" s="451"/>
      <c r="V40" s="451"/>
    </row>
    <row r="41" spans="1:25" s="22" customFormat="1" ht="12.75" customHeight="1" thickBot="1">
      <c r="A41" s="272" t="s">
        <v>284</v>
      </c>
      <c r="B41" s="279">
        <f t="shared" si="26"/>
        <v>0</v>
      </c>
      <c r="C41" s="15"/>
      <c r="D41" s="368"/>
      <c r="E41" s="368"/>
      <c r="F41" s="368"/>
      <c r="G41" s="15"/>
      <c r="H41" s="15"/>
      <c r="I41" s="368"/>
      <c r="J41" s="368"/>
      <c r="K41" s="368"/>
      <c r="L41" s="368"/>
      <c r="N41" s="39"/>
      <c r="O41" s="97"/>
      <c r="R41" s="451"/>
      <c r="S41" s="451"/>
      <c r="T41" s="451"/>
      <c r="U41" s="451"/>
      <c r="V41" s="451"/>
    </row>
    <row r="42" spans="1:25" s="22" customFormat="1" ht="12.75" customHeight="1" thickBot="1">
      <c r="A42" s="214" t="s">
        <v>285</v>
      </c>
      <c r="B42" s="103">
        <f>SUM(B35:B41)</f>
        <v>0</v>
      </c>
      <c r="C42" s="103">
        <f t="shared" ref="C42:L42" si="27">SUM(C35:C41)</f>
        <v>0</v>
      </c>
      <c r="D42" s="369">
        <f t="shared" si="27"/>
        <v>0</v>
      </c>
      <c r="E42" s="369">
        <f t="shared" si="27"/>
        <v>0</v>
      </c>
      <c r="F42" s="369">
        <f t="shared" si="27"/>
        <v>0</v>
      </c>
      <c r="G42" s="103">
        <f t="shared" si="27"/>
        <v>0</v>
      </c>
      <c r="H42" s="103">
        <f>SUM(H35:H41)</f>
        <v>0</v>
      </c>
      <c r="I42" s="103">
        <f t="shared" si="27"/>
        <v>0</v>
      </c>
      <c r="J42" s="103">
        <f t="shared" si="27"/>
        <v>0</v>
      </c>
      <c r="K42" s="103">
        <f t="shared" si="27"/>
        <v>0</v>
      </c>
      <c r="L42" s="103">
        <f t="shared" si="27"/>
        <v>0</v>
      </c>
      <c r="N42" s="39"/>
      <c r="R42" s="451"/>
      <c r="S42" s="451"/>
      <c r="T42" s="451"/>
      <c r="U42" s="451"/>
      <c r="V42" s="451"/>
    </row>
    <row r="43" spans="1:25" s="22" customFormat="1" ht="12.75" customHeight="1">
      <c r="A43" s="42"/>
      <c r="B43" s="42"/>
      <c r="C43" s="42"/>
      <c r="D43" s="42"/>
      <c r="E43" s="42"/>
      <c r="F43" s="42"/>
      <c r="G43" s="42"/>
      <c r="H43" s="42"/>
      <c r="I43" s="42"/>
      <c r="J43" s="42"/>
      <c r="K43" s="42"/>
      <c r="N43" s="39"/>
      <c r="R43" s="499"/>
      <c r="S43" s="499"/>
      <c r="T43" s="499"/>
      <c r="U43" s="499"/>
      <c r="V43" s="499"/>
    </row>
    <row r="44" spans="1:25" ht="21.4" customHeight="1" thickBot="1">
      <c r="B44" s="1"/>
      <c r="C44" s="1"/>
      <c r="D44" s="1"/>
      <c r="E44" s="1"/>
      <c r="F44" s="1"/>
      <c r="G44" s="1"/>
      <c r="H44" s="1"/>
      <c r="I44" s="1"/>
      <c r="J44" s="1"/>
      <c r="K44" s="1"/>
      <c r="L44" s="1"/>
      <c r="M44" s="1"/>
      <c r="N44" s="1"/>
      <c r="O44" s="1"/>
      <c r="P44" s="1"/>
      <c r="R44" s="499"/>
      <c r="S44" s="499"/>
      <c r="T44" s="499"/>
      <c r="U44" s="499"/>
      <c r="V44" s="499"/>
      <c r="Y44" s="22"/>
    </row>
    <row r="45" spans="1:25" ht="21.4" customHeight="1" thickBot="1">
      <c r="A45" s="501" t="s">
        <v>543</v>
      </c>
      <c r="B45" s="502"/>
      <c r="C45" s="502"/>
      <c r="D45" s="502"/>
      <c r="E45" s="502"/>
      <c r="F45" s="502"/>
      <c r="G45" s="502"/>
      <c r="H45" s="502"/>
      <c r="I45" s="502"/>
      <c r="J45" s="502"/>
      <c r="K45" s="502"/>
      <c r="L45" s="502"/>
      <c r="M45" s="502"/>
      <c r="N45" s="502"/>
      <c r="O45" s="503"/>
      <c r="P45" s="1"/>
      <c r="R45" s="499"/>
      <c r="S45" s="499"/>
      <c r="T45" s="499"/>
      <c r="U45" s="499"/>
      <c r="V45" s="499"/>
      <c r="Y45" s="22"/>
    </row>
    <row r="46" spans="1:25" ht="52.9" customHeight="1" thickBot="1">
      <c r="A46" s="93"/>
      <c r="B46" s="276" t="s">
        <v>403</v>
      </c>
      <c r="C46" s="370" t="s">
        <v>404</v>
      </c>
      <c r="D46" s="370" t="s">
        <v>405</v>
      </c>
      <c r="E46" s="370" t="s">
        <v>406</v>
      </c>
      <c r="F46" s="130" t="s">
        <v>407</v>
      </c>
      <c r="G46" s="130" t="s">
        <v>408</v>
      </c>
      <c r="H46" s="373" t="s">
        <v>409</v>
      </c>
      <c r="I46" s="367" t="s">
        <v>410</v>
      </c>
      <c r="J46" s="367" t="s">
        <v>411</v>
      </c>
      <c r="K46" s="367" t="s">
        <v>412</v>
      </c>
      <c r="L46" s="276" t="s">
        <v>413</v>
      </c>
      <c r="M46" s="367" t="s">
        <v>414</v>
      </c>
      <c r="N46" s="130" t="s">
        <v>415</v>
      </c>
      <c r="O46" s="276" t="s">
        <v>416</v>
      </c>
      <c r="P46" s="1"/>
      <c r="S46" s="365" t="s">
        <v>417</v>
      </c>
      <c r="T46" s="365" t="s">
        <v>418</v>
      </c>
      <c r="U46" s="197" t="s">
        <v>419</v>
      </c>
      <c r="V46" s="197" t="s">
        <v>420</v>
      </c>
      <c r="Y46" s="22"/>
    </row>
    <row r="47" spans="1:25" s="22" customFormat="1" ht="12.75" customHeight="1">
      <c r="A47" s="272" t="s">
        <v>278</v>
      </c>
      <c r="B47" s="277">
        <f t="shared" ref="B47:B53" si="28">SUM(C47:G47)</f>
        <v>0</v>
      </c>
      <c r="C47" s="368"/>
      <c r="D47" s="368"/>
      <c r="E47" s="368"/>
      <c r="F47" s="15"/>
      <c r="G47" s="15"/>
      <c r="H47" s="15"/>
      <c r="I47" s="368"/>
      <c r="J47" s="368"/>
      <c r="K47" s="368"/>
      <c r="L47" s="277">
        <f>SUM(M47:N47)</f>
        <v>0</v>
      </c>
      <c r="M47" s="368"/>
      <c r="N47" s="15"/>
      <c r="O47" s="15"/>
      <c r="R47" s="22" t="s">
        <v>285</v>
      </c>
      <c r="S47" s="97">
        <f>'HR2 PY'!U30</f>
        <v>0</v>
      </c>
      <c r="T47" s="97">
        <f>SUM($F$18+$K$18+$P$18+$U$18+$F$30+$K$30+$P$30)</f>
        <v>0</v>
      </c>
      <c r="U47" s="208">
        <f>T47-S47</f>
        <v>0</v>
      </c>
      <c r="V47" s="196" t="e">
        <f>(U47/S47)</f>
        <v>#DIV/0!</v>
      </c>
    </row>
    <row r="48" spans="1:25" s="22" customFormat="1" ht="12.75" customHeight="1">
      <c r="A48" s="272" t="s">
        <v>375</v>
      </c>
      <c r="B48" s="278">
        <f t="shared" si="28"/>
        <v>0</v>
      </c>
      <c r="C48" s="368"/>
      <c r="D48" s="368"/>
      <c r="E48" s="368"/>
      <c r="F48" s="15"/>
      <c r="G48" s="15"/>
      <c r="H48" s="15"/>
      <c r="I48" s="368"/>
      <c r="J48" s="368"/>
      <c r="K48" s="368"/>
      <c r="L48" s="278">
        <f t="shared" ref="L48:L53" si="29">SUM(M48:N48)</f>
        <v>0</v>
      </c>
      <c r="M48" s="368"/>
      <c r="N48" s="15"/>
      <c r="O48" s="15"/>
      <c r="R48" s="22" t="s">
        <v>326</v>
      </c>
      <c r="S48" s="97">
        <f>'HR2 PY'!Q30</f>
        <v>0</v>
      </c>
      <c r="T48" s="97">
        <f>B18+G18+L18+Q18+B30+G30+L30</f>
        <v>0</v>
      </c>
      <c r="U48" s="208">
        <f t="shared" ref="U48:U49" si="30">T48-S48</f>
        <v>0</v>
      </c>
      <c r="V48" s="196" t="e">
        <f t="shared" ref="V48:V49" si="31">(U48/S48)</f>
        <v>#DIV/0!</v>
      </c>
    </row>
    <row r="49" spans="1:24" s="22" customFormat="1" ht="12.75" customHeight="1">
      <c r="A49" s="272" t="s">
        <v>280</v>
      </c>
      <c r="B49" s="278">
        <f t="shared" si="28"/>
        <v>0</v>
      </c>
      <c r="C49" s="368"/>
      <c r="D49" s="368"/>
      <c r="E49" s="368"/>
      <c r="F49" s="15"/>
      <c r="G49" s="15"/>
      <c r="H49" s="15"/>
      <c r="I49" s="368"/>
      <c r="J49" s="368"/>
      <c r="K49" s="368"/>
      <c r="L49" s="278">
        <f t="shared" si="29"/>
        <v>0</v>
      </c>
      <c r="M49" s="368"/>
      <c r="N49" s="15"/>
      <c r="O49" s="15"/>
      <c r="R49" s="91" t="s">
        <v>327</v>
      </c>
      <c r="S49" s="97">
        <f>'HR2 PY'!R30</f>
        <v>0</v>
      </c>
      <c r="T49" s="97">
        <f>C18+H18+M18+R18+C30+H30+M30</f>
        <v>0</v>
      </c>
      <c r="U49" s="208">
        <f t="shared" si="30"/>
        <v>0</v>
      </c>
      <c r="V49" s="196" t="e">
        <f t="shared" si="31"/>
        <v>#DIV/0!</v>
      </c>
    </row>
    <row r="50" spans="1:24" s="22" customFormat="1" ht="12.75" customHeight="1">
      <c r="A50" s="272" t="s">
        <v>281</v>
      </c>
      <c r="B50" s="278">
        <f t="shared" si="28"/>
        <v>0</v>
      </c>
      <c r="C50" s="368"/>
      <c r="D50" s="368"/>
      <c r="E50" s="368"/>
      <c r="F50" s="15"/>
      <c r="G50" s="15"/>
      <c r="H50" s="15"/>
      <c r="I50" s="368"/>
      <c r="J50" s="368"/>
      <c r="K50" s="368"/>
      <c r="L50" s="278">
        <f t="shared" si="29"/>
        <v>0</v>
      </c>
      <c r="M50" s="368"/>
      <c r="N50" s="15"/>
      <c r="O50" s="15"/>
      <c r="R50" s="91"/>
      <c r="S50" s="192"/>
      <c r="T50" s="192"/>
      <c r="U50" s="208"/>
      <c r="V50" s="196"/>
    </row>
    <row r="51" spans="1:24" s="22" customFormat="1" ht="12.75" customHeight="1">
      <c r="A51" s="272" t="s">
        <v>282</v>
      </c>
      <c r="B51" s="278">
        <f t="shared" si="28"/>
        <v>0</v>
      </c>
      <c r="C51" s="368"/>
      <c r="D51" s="368"/>
      <c r="E51" s="368"/>
      <c r="F51" s="15"/>
      <c r="G51" s="15"/>
      <c r="H51" s="15"/>
      <c r="I51" s="368"/>
      <c r="J51" s="368"/>
      <c r="K51" s="368"/>
      <c r="L51" s="278">
        <f t="shared" si="29"/>
        <v>0</v>
      </c>
      <c r="M51" s="368"/>
      <c r="N51" s="15"/>
      <c r="O51" s="15"/>
      <c r="R51" s="91"/>
      <c r="S51" s="198"/>
      <c r="T51" s="97"/>
      <c r="U51" s="208"/>
      <c r="V51" s="196"/>
    </row>
    <row r="52" spans="1:24" s="22" customFormat="1">
      <c r="A52" s="272" t="s">
        <v>283</v>
      </c>
      <c r="B52" s="278">
        <f t="shared" si="28"/>
        <v>0</v>
      </c>
      <c r="C52" s="368"/>
      <c r="D52" s="368"/>
      <c r="E52" s="368"/>
      <c r="F52" s="15"/>
      <c r="G52" s="15"/>
      <c r="H52" s="15"/>
      <c r="I52" s="368"/>
      <c r="J52" s="368"/>
      <c r="K52" s="368"/>
      <c r="L52" s="278">
        <f t="shared" si="29"/>
        <v>0</v>
      </c>
      <c r="M52" s="368"/>
      <c r="N52" s="15"/>
      <c r="O52" s="15"/>
      <c r="R52" s="199"/>
      <c r="S52" s="199"/>
      <c r="T52" s="364"/>
      <c r="U52" s="208"/>
      <c r="V52" s="196"/>
    </row>
    <row r="53" spans="1:24" s="22" customFormat="1" ht="13.5" thickBot="1">
      <c r="A53" s="273" t="s">
        <v>284</v>
      </c>
      <c r="B53" s="279">
        <f t="shared" si="28"/>
        <v>0</v>
      </c>
      <c r="C53" s="368"/>
      <c r="D53" s="368"/>
      <c r="E53" s="368"/>
      <c r="F53" s="15"/>
      <c r="G53" s="15"/>
      <c r="H53" s="15"/>
      <c r="I53" s="368"/>
      <c r="J53" s="368"/>
      <c r="K53" s="368"/>
      <c r="L53" s="279">
        <f t="shared" si="29"/>
        <v>0</v>
      </c>
      <c r="M53" s="368"/>
      <c r="N53" s="15"/>
      <c r="O53" s="15"/>
      <c r="R53" s="199"/>
      <c r="S53" s="199"/>
      <c r="T53" s="364"/>
      <c r="U53" s="208"/>
      <c r="V53" s="196"/>
    </row>
    <row r="54" spans="1:24" s="22" customFormat="1" ht="13.5" thickBot="1">
      <c r="A54" s="274" t="s">
        <v>285</v>
      </c>
      <c r="B54" s="103">
        <f t="shared" ref="B54:O54" si="32">SUM(B47:B53)</f>
        <v>0</v>
      </c>
      <c r="C54" s="369">
        <f t="shared" si="32"/>
        <v>0</v>
      </c>
      <c r="D54" s="369">
        <f t="shared" si="32"/>
        <v>0</v>
      </c>
      <c r="E54" s="369">
        <f t="shared" si="32"/>
        <v>0</v>
      </c>
      <c r="F54" s="103">
        <f t="shared" si="32"/>
        <v>0</v>
      </c>
      <c r="G54" s="103">
        <f t="shared" si="32"/>
        <v>0</v>
      </c>
      <c r="H54" s="103">
        <f>SUM(H47:H53)</f>
        <v>0</v>
      </c>
      <c r="I54" s="369">
        <f t="shared" si="32"/>
        <v>0</v>
      </c>
      <c r="J54" s="369">
        <f t="shared" si="32"/>
        <v>0</v>
      </c>
      <c r="K54" s="369">
        <f t="shared" si="32"/>
        <v>0</v>
      </c>
      <c r="L54" s="103">
        <f t="shared" si="32"/>
        <v>0</v>
      </c>
      <c r="M54" s="369">
        <f t="shared" si="32"/>
        <v>0</v>
      </c>
      <c r="N54" s="103">
        <f t="shared" si="32"/>
        <v>0</v>
      </c>
      <c r="O54" s="103">
        <f t="shared" si="32"/>
        <v>0</v>
      </c>
      <c r="R54" s="199"/>
      <c r="S54" s="199"/>
      <c r="T54" s="364"/>
      <c r="U54" s="208"/>
      <c r="V54" s="196"/>
    </row>
    <row r="55" spans="1:24" s="22" customFormat="1">
      <c r="A55" s="4"/>
      <c r="B55" s="39"/>
      <c r="C55" s="39"/>
      <c r="D55" s="39"/>
      <c r="E55" s="39"/>
      <c r="F55" s="39"/>
      <c r="G55" s="39"/>
      <c r="H55" s="39"/>
      <c r="I55" s="39"/>
      <c r="J55" s="39"/>
      <c r="K55" s="39"/>
      <c r="L55" s="39"/>
      <c r="M55" s="39"/>
      <c r="N55" s="39"/>
      <c r="R55" s="254"/>
      <c r="S55" s="254"/>
      <c r="T55" s="254"/>
      <c r="U55" s="254"/>
      <c r="V55" s="254"/>
      <c r="W55" s="254"/>
      <c r="X55" s="254"/>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87" t="s">
        <v>545</v>
      </c>
      <c r="B57" s="488"/>
      <c r="C57" s="488"/>
      <c r="D57" s="488"/>
      <c r="E57" s="501" t="s">
        <v>544</v>
      </c>
      <c r="F57" s="502"/>
      <c r="G57" s="502"/>
      <c r="H57" s="502"/>
      <c r="I57" s="502"/>
      <c r="J57" s="502"/>
      <c r="K57" s="502"/>
      <c r="L57" s="502"/>
      <c r="M57" s="503"/>
      <c r="N57" s="501" t="s">
        <v>421</v>
      </c>
      <c r="O57" s="502"/>
      <c r="P57" s="502"/>
      <c r="Q57" s="502"/>
      <c r="R57" s="503"/>
    </row>
    <row r="58" spans="1:24" s="92" customFormat="1" ht="26.25" thickBot="1">
      <c r="A58" s="93"/>
      <c r="B58" s="316" t="s">
        <v>352</v>
      </c>
      <c r="C58" s="317" t="s">
        <v>353</v>
      </c>
      <c r="D58" s="318" t="s">
        <v>354</v>
      </c>
      <c r="E58" s="316" t="s">
        <v>355</v>
      </c>
      <c r="F58" s="317" t="s">
        <v>356</v>
      </c>
      <c r="G58" s="317" t="s">
        <v>357</v>
      </c>
      <c r="H58" s="317" t="s">
        <v>358</v>
      </c>
      <c r="I58" s="317" t="s">
        <v>359</v>
      </c>
      <c r="J58" s="317" t="s">
        <v>360</v>
      </c>
      <c r="K58" s="317" t="s">
        <v>328</v>
      </c>
      <c r="L58" s="317" t="s">
        <v>422</v>
      </c>
      <c r="M58" s="318" t="s">
        <v>363</v>
      </c>
      <c r="N58" s="316" t="s">
        <v>364</v>
      </c>
      <c r="O58" s="317" t="s">
        <v>423</v>
      </c>
      <c r="P58" s="317" t="s">
        <v>366</v>
      </c>
      <c r="Q58" s="317" t="s">
        <v>328</v>
      </c>
      <c r="R58" s="318" t="s">
        <v>424</v>
      </c>
    </row>
    <row r="59" spans="1:24" s="22" customFormat="1" ht="15.6" customHeight="1">
      <c r="A59" s="99" t="s">
        <v>278</v>
      </c>
      <c r="B59" s="81"/>
      <c r="C59" s="15"/>
      <c r="D59" s="88"/>
      <c r="E59" s="81"/>
      <c r="F59" s="15"/>
      <c r="G59" s="15"/>
      <c r="H59" s="15"/>
      <c r="I59" s="15"/>
      <c r="J59" s="15"/>
      <c r="K59" s="15"/>
      <c r="L59" s="15"/>
      <c r="M59" s="82"/>
      <c r="N59" s="236"/>
      <c r="O59" s="236"/>
      <c r="P59" s="15"/>
      <c r="Q59" s="82"/>
      <c r="R59" s="82"/>
    </row>
    <row r="60" spans="1:24" s="22" customFormat="1" ht="15.6" customHeight="1">
      <c r="A60" s="100" t="s">
        <v>375</v>
      </c>
      <c r="B60" s="81"/>
      <c r="C60" s="15"/>
      <c r="D60" s="88"/>
      <c r="E60" s="81"/>
      <c r="F60" s="15"/>
      <c r="G60" s="15"/>
      <c r="H60" s="15"/>
      <c r="I60" s="15"/>
      <c r="J60" s="15"/>
      <c r="K60" s="15"/>
      <c r="L60" s="15"/>
      <c r="M60" s="82"/>
      <c r="N60" s="236"/>
      <c r="O60" s="236"/>
      <c r="P60" s="15"/>
      <c r="Q60" s="82"/>
      <c r="R60" s="82"/>
    </row>
    <row r="61" spans="1:24" s="22" customFormat="1" ht="15.6" customHeight="1">
      <c r="A61" s="100" t="s">
        <v>280</v>
      </c>
      <c r="B61" s="81"/>
      <c r="C61" s="15"/>
      <c r="D61" s="88"/>
      <c r="E61" s="81"/>
      <c r="F61" s="15"/>
      <c r="G61" s="15"/>
      <c r="H61" s="15"/>
      <c r="I61" s="15"/>
      <c r="J61" s="15"/>
      <c r="K61" s="15"/>
      <c r="L61" s="15"/>
      <c r="M61" s="82"/>
      <c r="N61" s="236"/>
      <c r="O61" s="236"/>
      <c r="P61" s="15"/>
      <c r="Q61" s="82"/>
      <c r="R61" s="82"/>
    </row>
    <row r="62" spans="1:24" s="22" customFormat="1" ht="15.6" customHeight="1">
      <c r="A62" s="100" t="s">
        <v>281</v>
      </c>
      <c r="B62" s="81"/>
      <c r="C62" s="15"/>
      <c r="D62" s="88"/>
      <c r="E62" s="81"/>
      <c r="F62" s="15"/>
      <c r="G62" s="15"/>
      <c r="H62" s="15"/>
      <c r="I62" s="15"/>
      <c r="J62" s="15"/>
      <c r="K62" s="15"/>
      <c r="L62" s="15"/>
      <c r="M62" s="82"/>
      <c r="N62" s="236"/>
      <c r="O62" s="236"/>
      <c r="P62" s="15"/>
      <c r="Q62" s="82"/>
      <c r="R62" s="82"/>
    </row>
    <row r="63" spans="1:24" s="22" customFormat="1" ht="15.6" customHeight="1">
      <c r="A63" s="100" t="s">
        <v>282</v>
      </c>
      <c r="B63" s="81"/>
      <c r="C63" s="15"/>
      <c r="D63" s="88"/>
      <c r="E63" s="81"/>
      <c r="F63" s="15"/>
      <c r="G63" s="15"/>
      <c r="H63" s="15"/>
      <c r="I63" s="15"/>
      <c r="J63" s="15"/>
      <c r="K63" s="15"/>
      <c r="L63" s="15"/>
      <c r="M63" s="82"/>
      <c r="N63" s="236"/>
      <c r="O63" s="236"/>
      <c r="P63" s="15"/>
      <c r="Q63" s="82"/>
      <c r="R63" s="82"/>
    </row>
    <row r="64" spans="1:24" s="22" customFormat="1" ht="15.6" customHeight="1">
      <c r="A64" s="100" t="s">
        <v>283</v>
      </c>
      <c r="B64" s="81"/>
      <c r="C64" s="15"/>
      <c r="D64" s="88"/>
      <c r="E64" s="81"/>
      <c r="F64" s="15"/>
      <c r="G64" s="15"/>
      <c r="H64" s="15"/>
      <c r="I64" s="15"/>
      <c r="J64" s="15"/>
      <c r="K64" s="15"/>
      <c r="L64" s="15"/>
      <c r="M64" s="82"/>
      <c r="N64" s="236"/>
      <c r="O64" s="236"/>
      <c r="P64" s="15"/>
      <c r="Q64" s="82"/>
      <c r="R64" s="82"/>
    </row>
    <row r="65" spans="1:20" s="22" customFormat="1" ht="15.6" customHeight="1" thickBot="1">
      <c r="A65" s="101" t="s">
        <v>284</v>
      </c>
      <c r="B65" s="85"/>
      <c r="C65" s="83"/>
      <c r="D65" s="89"/>
      <c r="E65" s="85"/>
      <c r="F65" s="83"/>
      <c r="G65" s="83"/>
      <c r="H65" s="83"/>
      <c r="I65" s="83"/>
      <c r="J65" s="83"/>
      <c r="K65" s="83"/>
      <c r="L65" s="83"/>
      <c r="M65" s="84"/>
      <c r="N65" s="237"/>
      <c r="O65" s="237"/>
      <c r="P65" s="83"/>
      <c r="Q65" s="84"/>
      <c r="R65" s="84"/>
    </row>
    <row r="66" spans="1:20" s="22" customFormat="1" ht="13.5" thickBot="1">
      <c r="A66" s="214" t="s">
        <v>285</v>
      </c>
      <c r="B66" s="103">
        <f t="shared" ref="B66:R66" si="33">SUM(B59:B65)</f>
        <v>0</v>
      </c>
      <c r="C66" s="103">
        <f t="shared" si="33"/>
        <v>0</v>
      </c>
      <c r="D66" s="103">
        <f t="shared" si="33"/>
        <v>0</v>
      </c>
      <c r="E66" s="103">
        <f t="shared" si="33"/>
        <v>0</v>
      </c>
      <c r="F66" s="103">
        <f t="shared" si="33"/>
        <v>0</v>
      </c>
      <c r="G66" s="103">
        <f t="shared" si="33"/>
        <v>0</v>
      </c>
      <c r="H66" s="103">
        <f t="shared" si="33"/>
        <v>0</v>
      </c>
      <c r="I66" s="103">
        <f t="shared" si="33"/>
        <v>0</v>
      </c>
      <c r="J66" s="103">
        <f t="shared" si="33"/>
        <v>0</v>
      </c>
      <c r="K66" s="103">
        <f t="shared" si="33"/>
        <v>0</v>
      </c>
      <c r="L66" s="103">
        <f t="shared" si="33"/>
        <v>0</v>
      </c>
      <c r="M66" s="103">
        <f t="shared" si="33"/>
        <v>0</v>
      </c>
      <c r="N66" s="103">
        <f t="shared" si="33"/>
        <v>0</v>
      </c>
      <c r="O66" s="103">
        <f t="shared" si="33"/>
        <v>0</v>
      </c>
      <c r="P66" s="103">
        <f t="shared" si="33"/>
        <v>0</v>
      </c>
      <c r="Q66" s="103">
        <f t="shared" si="33"/>
        <v>0</v>
      </c>
      <c r="R66" s="103">
        <f t="shared" si="33"/>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algorithmName="SHA-512" hashValue="Hp1k9VdJXh/zRnk8DDadWQsYKgymUps1UaqNNZxy69YKamzuxVAol7nu/+4CkTzQ6+19mX7Oy+LCOorSOTEljQ==" saltValue="yzKZtI4MIxB+gAlxFTC+cg==" spinCount="100000" sheet="1" objects="1" scenarios="1" selectLockedCells="1"/>
  <mergeCells count="24">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 ref="R23:T23"/>
    <mergeCell ref="C3:P4"/>
    <mergeCell ref="B9:F9"/>
    <mergeCell ref="G9:K9"/>
    <mergeCell ref="A6:U6"/>
    <mergeCell ref="L9:P9"/>
    <mergeCell ref="Q9:U9"/>
    <mergeCell ref="A8:U8"/>
  </mergeCells>
  <phoneticPr fontId="9" type="noConversion"/>
  <conditionalFormatting sqref="U29">
    <cfRule type="containsText" dxfId="61" priority="1" operator="containsText" text="Yes">
      <formula>NOT(ISERROR(SEARCH("Yes",U29)))</formula>
    </cfRule>
    <cfRule type="containsText" dxfId="60"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47:K53 M47:O53 C35:L41"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S47:V49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M41" sqref="M41"/>
    </sheetView>
  </sheetViews>
  <sheetFormatPr defaultRowHeight="12.75"/>
  <cols>
    <col min="1" max="1" width="15.140625" bestFit="1" customWidth="1"/>
  </cols>
  <sheetData>
    <row r="4" spans="1:21">
      <c r="C4" s="333" t="s">
        <v>10</v>
      </c>
      <c r="D4" s="334">
        <f>VLOOKUP(Cover!A6,Cover!B319:D335,2,FALSE)</f>
        <v>2025</v>
      </c>
      <c r="E4" s="355" t="str">
        <f>Cover!A10</f>
        <v>Avon</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row>
    <row r="12" spans="1:21">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row>
    <row r="13" spans="1:21">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s="356" customFormat="1">
      <c r="A16" s="356" t="s">
        <v>285</v>
      </c>
      <c r="B16" s="356">
        <f t="shared" ref="B16:U16" si="4">SUM(B11:B15)</f>
        <v>0</v>
      </c>
      <c r="C16" s="356">
        <f t="shared" si="4"/>
        <v>0</v>
      </c>
      <c r="D16" s="356">
        <f t="shared" si="4"/>
        <v>0</v>
      </c>
      <c r="E16" s="356">
        <f t="shared" si="4"/>
        <v>0</v>
      </c>
      <c r="F16" s="356">
        <f t="shared" si="4"/>
        <v>0</v>
      </c>
      <c r="G16" s="356">
        <f t="shared" si="4"/>
        <v>0</v>
      </c>
      <c r="H16" s="356">
        <f t="shared" si="4"/>
        <v>0</v>
      </c>
      <c r="I16" s="356">
        <f t="shared" si="4"/>
        <v>0</v>
      </c>
      <c r="J16" s="356">
        <f t="shared" si="4"/>
        <v>0</v>
      </c>
      <c r="K16" s="356">
        <f t="shared" si="4"/>
        <v>0</v>
      </c>
      <c r="L16" s="356">
        <f t="shared" si="4"/>
        <v>0</v>
      </c>
      <c r="M16" s="356">
        <f t="shared" si="4"/>
        <v>0</v>
      </c>
      <c r="N16" s="356">
        <f t="shared" si="4"/>
        <v>0</v>
      </c>
      <c r="O16" s="356">
        <f t="shared" si="4"/>
        <v>0</v>
      </c>
      <c r="P16" s="356">
        <f t="shared" si="4"/>
        <v>0</v>
      </c>
      <c r="Q16" s="356">
        <f t="shared" si="4"/>
        <v>0</v>
      </c>
      <c r="R16" s="356">
        <f t="shared" si="4"/>
        <v>0</v>
      </c>
      <c r="S16" s="356">
        <f t="shared" si="4"/>
        <v>0</v>
      </c>
      <c r="T16" s="356">
        <f t="shared" si="4"/>
        <v>0</v>
      </c>
      <c r="U16" s="356">
        <f t="shared" si="4"/>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5">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6">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7">SUM(L21:O21)</f>
        <v>0</v>
      </c>
      <c r="Q21">
        <f t="shared" ref="Q21" si="8">B11+G11+L11+Q11+B21+G21+L21</f>
        <v>0</v>
      </c>
      <c r="R21">
        <f t="shared" ref="R21" si="9">C11+H11+M11+R11+C21+H21+M21</f>
        <v>0</v>
      </c>
      <c r="S21">
        <f t="shared" ref="S21" si="10">D11+I11+N11+S11+D21+I21+N21</f>
        <v>0</v>
      </c>
      <c r="T21">
        <f t="shared" ref="T21" si="11">E11+J11+O11+T11+E21+J21+O21</f>
        <v>0</v>
      </c>
      <c r="U21" s="356">
        <f t="shared" ref="Q21:U26" si="12">F11+K11+P11+U11+F21+K21+P21</f>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5"/>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6"/>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7"/>
        <v>0</v>
      </c>
      <c r="Q22">
        <f t="shared" si="12"/>
        <v>0</v>
      </c>
      <c r="R22">
        <f t="shared" si="12"/>
        <v>0</v>
      </c>
      <c r="S22">
        <f t="shared" si="12"/>
        <v>0</v>
      </c>
      <c r="T22">
        <f t="shared" si="12"/>
        <v>0</v>
      </c>
      <c r="U22" s="356">
        <f t="shared" si="12"/>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5"/>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6"/>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7"/>
        <v>0</v>
      </c>
      <c r="Q23">
        <f t="shared" si="12"/>
        <v>0</v>
      </c>
      <c r="R23">
        <f t="shared" si="12"/>
        <v>0</v>
      </c>
      <c r="S23">
        <f t="shared" si="12"/>
        <v>0</v>
      </c>
      <c r="T23">
        <f t="shared" si="12"/>
        <v>0</v>
      </c>
      <c r="U23" s="356">
        <f t="shared" si="12"/>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5"/>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6"/>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7"/>
        <v>0</v>
      </c>
      <c r="Q24">
        <f t="shared" si="12"/>
        <v>0</v>
      </c>
      <c r="R24">
        <f t="shared" si="12"/>
        <v>0</v>
      </c>
      <c r="S24">
        <f t="shared" si="12"/>
        <v>0</v>
      </c>
      <c r="T24">
        <f t="shared" si="12"/>
        <v>0</v>
      </c>
      <c r="U24" s="356">
        <f t="shared" si="12"/>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5"/>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6"/>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7"/>
        <v>0</v>
      </c>
      <c r="Q25">
        <f t="shared" si="12"/>
        <v>0</v>
      </c>
      <c r="R25">
        <f t="shared" si="12"/>
        <v>0</v>
      </c>
      <c r="S25">
        <f t="shared" si="12"/>
        <v>0</v>
      </c>
      <c r="T25">
        <f t="shared" si="12"/>
        <v>0</v>
      </c>
      <c r="U25" s="356">
        <f t="shared" si="12"/>
        <v>0</v>
      </c>
    </row>
    <row r="26" spans="1:24">
      <c r="A26" t="s">
        <v>285</v>
      </c>
      <c r="B26" s="356">
        <f t="shared" ref="B26:P26" si="13">SUM(B21:B25)</f>
        <v>0</v>
      </c>
      <c r="C26" s="356">
        <f t="shared" si="13"/>
        <v>0</v>
      </c>
      <c r="D26" s="356">
        <f t="shared" si="13"/>
        <v>0</v>
      </c>
      <c r="E26" s="356">
        <f t="shared" si="13"/>
        <v>0</v>
      </c>
      <c r="F26" s="356">
        <f t="shared" si="13"/>
        <v>0</v>
      </c>
      <c r="G26" s="356">
        <f t="shared" si="13"/>
        <v>0</v>
      </c>
      <c r="H26" s="356">
        <f t="shared" si="13"/>
        <v>0</v>
      </c>
      <c r="I26" s="356">
        <f t="shared" si="13"/>
        <v>0</v>
      </c>
      <c r="J26" s="356">
        <f t="shared" si="13"/>
        <v>0</v>
      </c>
      <c r="K26" s="356">
        <f t="shared" si="13"/>
        <v>0</v>
      </c>
      <c r="L26" s="356">
        <f t="shared" si="13"/>
        <v>0</v>
      </c>
      <c r="M26" s="356">
        <f t="shared" si="13"/>
        <v>0</v>
      </c>
      <c r="N26" s="356">
        <f t="shared" si="13"/>
        <v>0</v>
      </c>
      <c r="O26" s="356">
        <f t="shared" si="13"/>
        <v>0</v>
      </c>
      <c r="P26" s="356">
        <f t="shared" si="13"/>
        <v>0</v>
      </c>
      <c r="Q26" s="356">
        <f t="shared" si="12"/>
        <v>0</v>
      </c>
      <c r="R26" s="356">
        <f t="shared" si="12"/>
        <v>0</v>
      </c>
      <c r="S26" s="356">
        <f t="shared" si="12"/>
        <v>0</v>
      </c>
      <c r="T26" s="356">
        <f t="shared" si="12"/>
        <v>0</v>
      </c>
      <c r="U26" s="356">
        <f t="shared" si="12"/>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4">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4"/>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4"/>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4"/>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4"/>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5">SUM(B31:B35)</f>
        <v>0</v>
      </c>
      <c r="C36" s="356">
        <f t="shared" si="15"/>
        <v>0</v>
      </c>
      <c r="D36" s="356">
        <f t="shared" si="15"/>
        <v>0</v>
      </c>
      <c r="E36" s="356">
        <f t="shared" si="15"/>
        <v>0</v>
      </c>
      <c r="F36" s="356">
        <f t="shared" si="15"/>
        <v>0</v>
      </c>
      <c r="G36" s="356">
        <f t="shared" si="15"/>
        <v>0</v>
      </c>
      <c r="H36" s="356">
        <f t="shared" si="15"/>
        <v>0</v>
      </c>
      <c r="I36" s="356">
        <f t="shared" si="15"/>
        <v>0</v>
      </c>
      <c r="J36" s="356">
        <f t="shared" si="15"/>
        <v>0</v>
      </c>
      <c r="K36" s="356">
        <f t="shared" si="15"/>
        <v>0</v>
      </c>
      <c r="L36" s="356">
        <f t="shared" si="15"/>
        <v>0</v>
      </c>
      <c r="M36" s="356">
        <f t="shared" si="15"/>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6">SUM(B41:B45)</f>
        <v>0</v>
      </c>
      <c r="C46" s="356">
        <f t="shared" si="16"/>
        <v>0</v>
      </c>
      <c r="D46" s="356">
        <f t="shared" si="16"/>
        <v>0</v>
      </c>
      <c r="E46" s="356">
        <f t="shared" si="16"/>
        <v>0</v>
      </c>
      <c r="F46" s="356">
        <f t="shared" si="16"/>
        <v>0</v>
      </c>
      <c r="G46" s="356">
        <f t="shared" si="16"/>
        <v>0</v>
      </c>
      <c r="H46" s="356">
        <f t="shared" si="16"/>
        <v>0</v>
      </c>
      <c r="I46" s="356">
        <f t="shared" si="16"/>
        <v>0</v>
      </c>
      <c r="J46" s="356">
        <f t="shared" si="16"/>
        <v>0</v>
      </c>
      <c r="K46" s="356">
        <f t="shared" si="16"/>
        <v>0</v>
      </c>
      <c r="L46" s="356">
        <f t="shared" si="16"/>
        <v>0</v>
      </c>
      <c r="M46" s="356">
        <f t="shared" si="16"/>
        <v>0</v>
      </c>
      <c r="N46" s="356">
        <f t="shared" si="16"/>
        <v>0</v>
      </c>
      <c r="O46" s="356">
        <f t="shared" si="16"/>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7">SUM(B51:B55)</f>
        <v>0</v>
      </c>
      <c r="C56" s="356">
        <f t="shared" si="17"/>
        <v>0</v>
      </c>
      <c r="D56" s="356">
        <f t="shared" si="17"/>
        <v>0</v>
      </c>
      <c r="E56" s="356">
        <f t="shared" si="17"/>
        <v>0</v>
      </c>
      <c r="F56" s="356">
        <f t="shared" si="17"/>
        <v>0</v>
      </c>
      <c r="G56" s="356">
        <f t="shared" si="17"/>
        <v>0</v>
      </c>
      <c r="H56" s="356">
        <f t="shared" si="17"/>
        <v>0</v>
      </c>
      <c r="I56" s="356">
        <f t="shared" si="17"/>
        <v>0</v>
      </c>
      <c r="J56" s="356">
        <f t="shared" si="17"/>
        <v>0</v>
      </c>
      <c r="K56" s="356">
        <f t="shared" si="17"/>
        <v>0</v>
      </c>
      <c r="L56" s="356">
        <f t="shared" si="17"/>
        <v>0</v>
      </c>
      <c r="M56" s="356">
        <f t="shared" si="17"/>
        <v>0</v>
      </c>
      <c r="N56" s="356">
        <f t="shared" si="17"/>
        <v>0</v>
      </c>
      <c r="O56" s="356">
        <f t="shared" si="17"/>
        <v>0</v>
      </c>
      <c r="P56" s="356">
        <f t="shared" si="17"/>
        <v>0</v>
      </c>
      <c r="Q56" s="356">
        <f t="shared" si="17"/>
        <v>0</v>
      </c>
      <c r="R56" s="356">
        <f t="shared" si="1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topLeftCell="A24" zoomScale="82" zoomScaleNormal="82" zoomScaleSheetLayoutView="85" workbookViewId="0">
      <selection activeCell="B51" sqref="B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369</v>
      </c>
    </row>
    <row r="3" spans="1:71" ht="12.75" customHeight="1">
      <c r="C3" s="505"/>
      <c r="D3" s="505"/>
      <c r="E3" s="505"/>
      <c r="F3" s="505"/>
      <c r="G3" s="505"/>
      <c r="H3" s="505"/>
      <c r="I3" s="505"/>
      <c r="J3" s="505"/>
      <c r="K3" s="505"/>
      <c r="L3" s="505"/>
      <c r="M3" s="505"/>
      <c r="N3" s="505"/>
      <c r="O3" s="107"/>
      <c r="P3" s="107"/>
      <c r="Q3" s="107"/>
      <c r="R3" s="107"/>
    </row>
    <row r="4" spans="1:71" ht="13.5" customHeight="1">
      <c r="C4" s="505"/>
      <c r="D4" s="505"/>
      <c r="E4" s="505"/>
      <c r="F4" s="505"/>
      <c r="G4" s="505"/>
      <c r="H4" s="505"/>
      <c r="I4" s="505"/>
      <c r="J4" s="505"/>
      <c r="K4" s="505"/>
      <c r="L4" s="505"/>
      <c r="M4" s="505"/>
      <c r="N4" s="505"/>
      <c r="O4" s="107"/>
      <c r="P4" s="107"/>
      <c r="Q4" s="107"/>
      <c r="R4" s="107"/>
    </row>
    <row r="5" spans="1:71" ht="49.5" customHeight="1"/>
    <row r="6" spans="1:71" s="109" customFormat="1" ht="18.75" customHeight="1">
      <c r="A6" s="482" t="s">
        <v>425</v>
      </c>
      <c r="B6" s="483"/>
      <c r="C6" s="483"/>
      <c r="D6" s="483"/>
      <c r="E6" s="483"/>
      <c r="F6" s="483"/>
      <c r="G6" s="483"/>
      <c r="H6" s="483"/>
      <c r="I6" s="483"/>
      <c r="J6" s="483"/>
      <c r="K6" s="483"/>
      <c r="L6" s="483"/>
      <c r="M6" s="483"/>
      <c r="N6" s="483"/>
      <c r="O6" s="483"/>
      <c r="P6" s="483"/>
      <c r="Q6" s="483"/>
      <c r="R6" s="483"/>
      <c r="S6" s="483"/>
      <c r="T6" s="483"/>
      <c r="U6" s="483"/>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509" t="s">
        <v>546</v>
      </c>
      <c r="B8" s="510"/>
      <c r="C8" s="510"/>
      <c r="D8" s="510"/>
      <c r="E8" s="510"/>
      <c r="F8" s="510"/>
      <c r="G8" s="510"/>
      <c r="H8" s="510"/>
      <c r="I8" s="510"/>
      <c r="J8" s="510"/>
      <c r="K8" s="510"/>
      <c r="L8" s="510"/>
      <c r="M8" s="510"/>
      <c r="N8" s="510"/>
      <c r="O8" s="510"/>
      <c r="P8" s="510"/>
      <c r="Q8" s="510"/>
      <c r="R8" s="510"/>
      <c r="S8" s="510"/>
      <c r="T8" s="510"/>
      <c r="U8" s="511"/>
    </row>
    <row r="9" spans="1:71" s="116" customFormat="1" ht="30.6" customHeight="1" thickBot="1">
      <c r="A9" s="115"/>
      <c r="B9" s="506" t="s">
        <v>371</v>
      </c>
      <c r="C9" s="507"/>
      <c r="D9" s="507"/>
      <c r="E9" s="507"/>
      <c r="F9" s="508"/>
      <c r="G9" s="506" t="s">
        <v>372</v>
      </c>
      <c r="H9" s="507"/>
      <c r="I9" s="507"/>
      <c r="J9" s="507"/>
      <c r="K9" s="508"/>
      <c r="L9" s="506" t="s">
        <v>373</v>
      </c>
      <c r="M9" s="507"/>
      <c r="N9" s="507"/>
      <c r="O9" s="507"/>
      <c r="P9" s="508"/>
      <c r="Q9" s="506" t="s">
        <v>374</v>
      </c>
      <c r="R9" s="507"/>
      <c r="S9" s="507"/>
      <c r="T9" s="507"/>
      <c r="U9" s="508"/>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256"/>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285</v>
      </c>
      <c r="B16" s="103">
        <f>SUM(B10:B15)</f>
        <v>0</v>
      </c>
      <c r="C16" s="103">
        <f t="shared" ref="C16:U16" si="4">SUM(C10:C15)</f>
        <v>0</v>
      </c>
      <c r="D16" s="103">
        <f t="shared" si="4"/>
        <v>0</v>
      </c>
      <c r="E16" s="103">
        <f t="shared" si="4"/>
        <v>0</v>
      </c>
      <c r="F16" s="103">
        <f t="shared" si="4"/>
        <v>0</v>
      </c>
      <c r="G16" s="103">
        <f t="shared" si="4"/>
        <v>0</v>
      </c>
      <c r="H16" s="103">
        <f t="shared" si="4"/>
        <v>0</v>
      </c>
      <c r="I16" s="103">
        <f t="shared" si="4"/>
        <v>0</v>
      </c>
      <c r="J16" s="103">
        <f t="shared" si="4"/>
        <v>0</v>
      </c>
      <c r="K16" s="103">
        <f t="shared" si="4"/>
        <v>0</v>
      </c>
      <c r="L16" s="103">
        <f t="shared" si="4"/>
        <v>0</v>
      </c>
      <c r="M16" s="103">
        <f t="shared" si="4"/>
        <v>0</v>
      </c>
      <c r="N16" s="103">
        <f t="shared" si="4"/>
        <v>0</v>
      </c>
      <c r="O16" s="103">
        <f t="shared" si="4"/>
        <v>0</v>
      </c>
      <c r="P16" s="103">
        <f t="shared" si="4"/>
        <v>0</v>
      </c>
      <c r="Q16" s="103">
        <f t="shared" si="4"/>
        <v>0</v>
      </c>
      <c r="R16" s="103">
        <f t="shared" si="4"/>
        <v>0</v>
      </c>
      <c r="S16" s="103">
        <f t="shared" si="4"/>
        <v>0</v>
      </c>
      <c r="T16" s="103">
        <f t="shared" si="4"/>
        <v>0</v>
      </c>
      <c r="U16" s="103">
        <f t="shared" si="4"/>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500" t="s">
        <v>376</v>
      </c>
      <c r="C19" s="500"/>
      <c r="D19" s="500"/>
      <c r="E19" s="500"/>
      <c r="F19" s="500"/>
      <c r="G19" s="500" t="s">
        <v>377</v>
      </c>
      <c r="H19" s="500"/>
      <c r="I19" s="500"/>
      <c r="J19" s="500"/>
      <c r="K19" s="500"/>
      <c r="L19" s="484" t="s">
        <v>378</v>
      </c>
      <c r="M19" s="485"/>
      <c r="N19" s="485"/>
      <c r="O19" s="485"/>
      <c r="P19" s="486"/>
      <c r="Q19" s="22"/>
      <c r="R19" s="191" t="s">
        <v>379</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R20" s="512" t="s">
        <v>426</v>
      </c>
      <c r="S20" s="512"/>
      <c r="T20" s="512"/>
      <c r="U20" s="364">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5">SUM(B21:E21)</f>
        <v>0</v>
      </c>
      <c r="G21" s="236"/>
      <c r="H21" s="15"/>
      <c r="I21" s="15"/>
      <c r="J21" s="88"/>
      <c r="K21" s="232">
        <f t="shared" ref="K21:K25" si="6">SUM(G21:J21)</f>
        <v>0</v>
      </c>
      <c r="L21" s="15"/>
      <c r="M21" s="15"/>
      <c r="N21" s="15"/>
      <c r="O21" s="15"/>
      <c r="P21" s="234">
        <f t="shared" ref="P21:P25" si="7">SUM(L21:O21)</f>
        <v>0</v>
      </c>
      <c r="Q21" s="97"/>
      <c r="R21" s="479" t="s">
        <v>427</v>
      </c>
      <c r="S21" s="479"/>
      <c r="T21" s="479"/>
      <c r="U21" s="97">
        <f>SUM(B36+H36+B46+H46+L46+O46)</f>
        <v>0</v>
      </c>
      <c r="V21" s="22"/>
      <c r="W21" s="22"/>
      <c r="X21" s="22"/>
    </row>
    <row r="22" spans="1:66" s="117" customFormat="1" ht="12.75" customHeight="1">
      <c r="A22" s="95" t="s">
        <v>281</v>
      </c>
      <c r="B22" s="15"/>
      <c r="C22" s="15"/>
      <c r="D22" s="15"/>
      <c r="E22" s="88"/>
      <c r="F22" s="234">
        <f t="shared" si="5"/>
        <v>0</v>
      </c>
      <c r="G22" s="236"/>
      <c r="H22" s="15"/>
      <c r="I22" s="15"/>
      <c r="J22" s="88"/>
      <c r="K22" s="232">
        <f t="shared" si="6"/>
        <v>0</v>
      </c>
      <c r="L22" s="15"/>
      <c r="M22" s="15"/>
      <c r="N22" s="15"/>
      <c r="O22" s="15"/>
      <c r="P22" s="234">
        <f t="shared" si="7"/>
        <v>0</v>
      </c>
      <c r="Q22" s="97"/>
      <c r="R22" s="479" t="s">
        <v>428</v>
      </c>
      <c r="S22" s="479"/>
      <c r="T22" s="479"/>
      <c r="U22" s="97">
        <f>SUM($N$56:$R$56)</f>
        <v>0</v>
      </c>
      <c r="V22" s="22"/>
      <c r="W22" s="22"/>
      <c r="X22" s="22"/>
    </row>
    <row r="23" spans="1:66" s="117" customFormat="1" ht="12.75" customHeight="1">
      <c r="A23" s="95" t="s">
        <v>282</v>
      </c>
      <c r="B23" s="15"/>
      <c r="C23" s="15"/>
      <c r="D23" s="15"/>
      <c r="E23" s="88"/>
      <c r="F23" s="234">
        <f t="shared" si="5"/>
        <v>0</v>
      </c>
      <c r="G23" s="236"/>
      <c r="H23" s="15"/>
      <c r="I23" s="15"/>
      <c r="J23" s="88"/>
      <c r="K23" s="232">
        <f t="shared" si="6"/>
        <v>0</v>
      </c>
      <c r="L23" s="15"/>
      <c r="M23" s="15"/>
      <c r="N23" s="15"/>
      <c r="O23" s="15"/>
      <c r="P23" s="234">
        <f t="shared" si="7"/>
        <v>0</v>
      </c>
      <c r="Q23" s="97"/>
      <c r="R23" s="479" t="s">
        <v>429</v>
      </c>
      <c r="S23" s="479"/>
      <c r="T23" s="479"/>
      <c r="U23" s="97">
        <f>SUM($B$56:$D$56)</f>
        <v>0</v>
      </c>
      <c r="V23" s="22"/>
      <c r="W23" s="22"/>
      <c r="X23" s="22"/>
    </row>
    <row r="24" spans="1:66" s="117" customFormat="1" ht="12.75" customHeight="1">
      <c r="A24" s="95" t="s">
        <v>283</v>
      </c>
      <c r="B24" s="15"/>
      <c r="C24" s="15"/>
      <c r="D24" s="15"/>
      <c r="E24" s="88"/>
      <c r="F24" s="234">
        <f t="shared" si="5"/>
        <v>0</v>
      </c>
      <c r="G24" s="236"/>
      <c r="H24" s="15"/>
      <c r="I24" s="15"/>
      <c r="J24" s="88"/>
      <c r="K24" s="232">
        <f t="shared" si="6"/>
        <v>0</v>
      </c>
      <c r="L24" s="15"/>
      <c r="M24" s="15"/>
      <c r="N24" s="15"/>
      <c r="O24" s="15"/>
      <c r="P24" s="234">
        <f t="shared" si="7"/>
        <v>0</v>
      </c>
      <c r="Q24" s="97"/>
      <c r="R24" s="479" t="s">
        <v>430</v>
      </c>
      <c r="S24" s="479"/>
      <c r="T24" s="479"/>
      <c r="U24" s="97">
        <f>SUM($E$56:$M$56)</f>
        <v>0</v>
      </c>
      <c r="V24" s="22"/>
      <c r="W24" s="22"/>
      <c r="X24" s="22"/>
    </row>
    <row r="25" spans="1:66" s="117" customFormat="1" ht="12.75" customHeight="1" thickBot="1">
      <c r="A25" s="96" t="s">
        <v>284</v>
      </c>
      <c r="B25" s="83"/>
      <c r="C25" s="83"/>
      <c r="D25" s="83"/>
      <c r="E25" s="252"/>
      <c r="F25" s="234">
        <f>SUM(B25:E25)</f>
        <v>0</v>
      </c>
      <c r="G25" s="237"/>
      <c r="H25" s="83"/>
      <c r="I25" s="83"/>
      <c r="J25" s="252"/>
      <c r="K25" s="233">
        <f t="shared" si="6"/>
        <v>0</v>
      </c>
      <c r="L25" s="83"/>
      <c r="M25" s="83"/>
      <c r="N25" s="83"/>
      <c r="O25" s="86"/>
      <c r="P25" s="235">
        <f t="shared" si="7"/>
        <v>0</v>
      </c>
      <c r="Q25" s="97"/>
      <c r="R25" s="22"/>
      <c r="S25" s="22"/>
      <c r="T25" s="22"/>
      <c r="U25" s="97"/>
      <c r="V25" s="22"/>
      <c r="W25" s="22"/>
      <c r="X25" s="22"/>
    </row>
    <row r="26" spans="1:66" s="117" customFormat="1" ht="12.75" customHeight="1" thickBot="1">
      <c r="A26" s="6" t="s">
        <v>285</v>
      </c>
      <c r="B26" s="103">
        <f t="shared" ref="B26:P26" si="8">SUM(B20:B25)</f>
        <v>0</v>
      </c>
      <c r="C26" s="103">
        <f t="shared" si="8"/>
        <v>0</v>
      </c>
      <c r="D26" s="103">
        <f t="shared" si="8"/>
        <v>0</v>
      </c>
      <c r="E26" s="103">
        <f t="shared" si="8"/>
        <v>0</v>
      </c>
      <c r="F26" s="103">
        <f t="shared" si="8"/>
        <v>0</v>
      </c>
      <c r="G26" s="103">
        <f t="shared" si="8"/>
        <v>0</v>
      </c>
      <c r="H26" s="103">
        <f t="shared" si="8"/>
        <v>0</v>
      </c>
      <c r="I26" s="103">
        <f t="shared" si="8"/>
        <v>0</v>
      </c>
      <c r="J26" s="103">
        <f t="shared" si="8"/>
        <v>0</v>
      </c>
      <c r="K26" s="103">
        <f t="shared" si="8"/>
        <v>0</v>
      </c>
      <c r="L26" s="103">
        <f t="shared" si="8"/>
        <v>0</v>
      </c>
      <c r="M26" s="103">
        <f t="shared" si="8"/>
        <v>0</v>
      </c>
      <c r="N26" s="103">
        <f t="shared" si="8"/>
        <v>0</v>
      </c>
      <c r="O26" s="103">
        <f t="shared" si="8"/>
        <v>0</v>
      </c>
      <c r="P26" s="103">
        <f t="shared" si="8"/>
        <v>0</v>
      </c>
      <c r="Q26" s="22"/>
      <c r="R26" s="22" t="s">
        <v>385</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49"/>
      <c r="S28" s="267"/>
      <c r="T28" s="267"/>
      <c r="U28" s="267"/>
      <c r="V28" s="22"/>
      <c r="W28" s="22"/>
      <c r="X28" s="22"/>
    </row>
    <row r="29" spans="1:66" s="117" customFormat="1" ht="13.5" customHeight="1" thickBot="1">
      <c r="A29" s="501" t="s">
        <v>547</v>
      </c>
      <c r="B29" s="502"/>
      <c r="C29" s="502"/>
      <c r="D29" s="502"/>
      <c r="E29" s="502"/>
      <c r="F29" s="502"/>
      <c r="G29" s="502"/>
      <c r="H29" s="502"/>
      <c r="I29" s="502"/>
      <c r="J29" s="502"/>
      <c r="K29" s="502"/>
      <c r="L29" s="503"/>
      <c r="M29" s="22"/>
      <c r="N29" s="39"/>
      <c r="O29" s="249"/>
      <c r="P29" s="249"/>
      <c r="Q29" s="249"/>
      <c r="R29" s="267"/>
      <c r="S29" s="267"/>
      <c r="T29" s="267"/>
      <c r="U29" s="267"/>
      <c r="V29" s="22"/>
      <c r="W29" s="22"/>
      <c r="X29" s="22"/>
    </row>
    <row r="30" spans="1:66" s="117" customFormat="1" ht="70.5" customHeight="1" thickBot="1">
      <c r="A30" s="115"/>
      <c r="B30" s="275" t="s">
        <v>330</v>
      </c>
      <c r="C30" s="130" t="s">
        <v>387</v>
      </c>
      <c r="D30" s="377" t="s">
        <v>388</v>
      </c>
      <c r="E30" s="377" t="s">
        <v>389</v>
      </c>
      <c r="F30" s="377" t="s">
        <v>390</v>
      </c>
      <c r="G30" s="371" t="s">
        <v>391</v>
      </c>
      <c r="H30" s="372" t="s">
        <v>392</v>
      </c>
      <c r="I30" s="377" t="s">
        <v>393</v>
      </c>
      <c r="J30" s="377" t="s">
        <v>394</v>
      </c>
      <c r="K30" s="377" t="s">
        <v>395</v>
      </c>
      <c r="L30" s="377" t="s">
        <v>396</v>
      </c>
      <c r="M30" s="22"/>
      <c r="N30" s="375" t="s">
        <v>397</v>
      </c>
      <c r="O30" s="22"/>
      <c r="P30" s="22"/>
      <c r="Q30" s="22"/>
      <c r="R30" s="513" t="s">
        <v>431</v>
      </c>
      <c r="S30" s="513"/>
      <c r="T30" s="513"/>
      <c r="U30" s="513"/>
      <c r="V30" s="22"/>
      <c r="W30" s="22"/>
      <c r="X30" s="22"/>
    </row>
    <row r="31" spans="1:66" s="117" customFormat="1" ht="15.4" customHeight="1">
      <c r="A31" s="272" t="s">
        <v>280</v>
      </c>
      <c r="B31" s="278">
        <f t="shared" ref="B31:B35" si="9">SUM(C31:G31)</f>
        <v>0</v>
      </c>
      <c r="C31" s="119"/>
      <c r="D31" s="378"/>
      <c r="E31" s="378"/>
      <c r="F31" s="378"/>
      <c r="G31" s="119"/>
      <c r="H31" s="119"/>
      <c r="I31" s="378"/>
      <c r="J31" s="378"/>
      <c r="K31" s="378"/>
      <c r="L31" s="378"/>
      <c r="M31" s="22"/>
      <c r="N31" s="97" t="s">
        <v>398</v>
      </c>
      <c r="O31" s="22"/>
      <c r="P31" s="22"/>
      <c r="Q31" s="22"/>
      <c r="R31" s="490"/>
      <c r="S31" s="491"/>
      <c r="T31" s="491"/>
      <c r="U31" s="492"/>
      <c r="V31" s="22"/>
      <c r="W31" s="22"/>
      <c r="X31" s="22"/>
    </row>
    <row r="32" spans="1:66" s="117" customFormat="1">
      <c r="A32" s="272" t="s">
        <v>281</v>
      </c>
      <c r="B32" s="278">
        <f t="shared" si="9"/>
        <v>0</v>
      </c>
      <c r="C32" s="119"/>
      <c r="D32" s="378"/>
      <c r="E32" s="378"/>
      <c r="F32" s="378"/>
      <c r="G32" s="119"/>
      <c r="H32" s="119"/>
      <c r="I32" s="378"/>
      <c r="J32" s="378"/>
      <c r="K32" s="378"/>
      <c r="L32" s="378"/>
      <c r="M32" s="22"/>
      <c r="N32" s="97" t="s">
        <v>399</v>
      </c>
      <c r="O32" s="22"/>
      <c r="P32" s="22"/>
      <c r="Q32" s="22"/>
      <c r="R32" s="493"/>
      <c r="S32" s="494"/>
      <c r="T32" s="494"/>
      <c r="U32" s="495"/>
      <c r="V32" s="22"/>
      <c r="W32" s="22"/>
      <c r="X32" s="22"/>
    </row>
    <row r="33" spans="1:26" s="117" customFormat="1" ht="12.75" customHeight="1">
      <c r="A33" s="272" t="s">
        <v>282</v>
      </c>
      <c r="B33" s="278">
        <f t="shared" si="9"/>
        <v>0</v>
      </c>
      <c r="C33" s="119"/>
      <c r="D33" s="378"/>
      <c r="E33" s="378"/>
      <c r="F33" s="378"/>
      <c r="G33" s="119"/>
      <c r="H33" s="119"/>
      <c r="I33" s="378"/>
      <c r="J33" s="378"/>
      <c r="K33" s="378"/>
      <c r="L33" s="378"/>
      <c r="M33" s="22"/>
      <c r="N33" s="97" t="s">
        <v>400</v>
      </c>
      <c r="O33" s="22"/>
      <c r="P33" s="22"/>
      <c r="Q33" s="22"/>
      <c r="R33" s="493"/>
      <c r="S33" s="494"/>
      <c r="T33" s="494"/>
      <c r="U33" s="495"/>
      <c r="V33" s="22"/>
      <c r="W33" s="22"/>
      <c r="X33" s="22"/>
    </row>
    <row r="34" spans="1:26" s="117" customFormat="1" ht="12.75" customHeight="1">
      <c r="A34" s="272" t="s">
        <v>283</v>
      </c>
      <c r="B34" s="278">
        <f t="shared" si="9"/>
        <v>0</v>
      </c>
      <c r="C34" s="119"/>
      <c r="D34" s="378"/>
      <c r="E34" s="378"/>
      <c r="F34" s="378"/>
      <c r="G34" s="119"/>
      <c r="H34" s="119"/>
      <c r="I34" s="378"/>
      <c r="J34" s="378"/>
      <c r="K34" s="378"/>
      <c r="L34" s="378"/>
      <c r="M34" s="22"/>
      <c r="N34" s="374"/>
      <c r="O34" s="97"/>
      <c r="P34" s="22"/>
      <c r="Q34" s="22"/>
      <c r="R34" s="496"/>
      <c r="S34" s="497"/>
      <c r="T34" s="497"/>
      <c r="U34" s="498"/>
      <c r="V34" s="22"/>
      <c r="W34" s="208"/>
      <c r="X34" s="196"/>
    </row>
    <row r="35" spans="1:26" s="117" customFormat="1" ht="12.75" customHeight="1" thickBot="1">
      <c r="A35" s="272" t="s">
        <v>284</v>
      </c>
      <c r="B35" s="279">
        <f t="shared" si="9"/>
        <v>0</v>
      </c>
      <c r="C35" s="119"/>
      <c r="D35" s="378"/>
      <c r="E35" s="378"/>
      <c r="F35" s="378"/>
      <c r="G35" s="119"/>
      <c r="H35" s="119"/>
      <c r="I35" s="378"/>
      <c r="J35" s="378"/>
      <c r="K35" s="378"/>
      <c r="L35" s="378"/>
      <c r="M35" s="22"/>
      <c r="N35" s="97" t="s">
        <v>401</v>
      </c>
      <c r="O35" s="97"/>
      <c r="P35" s="22"/>
      <c r="Q35" s="22"/>
      <c r="R35" s="22"/>
      <c r="S35" s="22"/>
      <c r="T35" s="22"/>
      <c r="U35" s="22"/>
      <c r="V35" s="22"/>
      <c r="W35" s="208"/>
      <c r="X35" s="196"/>
    </row>
    <row r="36" spans="1:26" s="117" customFormat="1" ht="12.75" customHeight="1" thickBot="1">
      <c r="A36" s="214" t="s">
        <v>285</v>
      </c>
      <c r="B36" s="103">
        <f t="shared" ref="B36:L36" si="10">SUM(B30:B35)</f>
        <v>0</v>
      </c>
      <c r="C36" s="103">
        <f t="shared" si="10"/>
        <v>0</v>
      </c>
      <c r="D36" s="379">
        <f t="shared" si="10"/>
        <v>0</v>
      </c>
      <c r="E36" s="379">
        <f t="shared" si="10"/>
        <v>0</v>
      </c>
      <c r="F36" s="379">
        <f t="shared" si="10"/>
        <v>0</v>
      </c>
      <c r="G36" s="103">
        <f t="shared" si="10"/>
        <v>0</v>
      </c>
      <c r="H36" s="103">
        <f t="shared" si="10"/>
        <v>0</v>
      </c>
      <c r="I36" s="379">
        <f t="shared" si="10"/>
        <v>0</v>
      </c>
      <c r="J36" s="379">
        <f t="shared" si="10"/>
        <v>0</v>
      </c>
      <c r="K36" s="379">
        <f t="shared" si="10"/>
        <v>0</v>
      </c>
      <c r="L36" s="379">
        <f t="shared" si="10"/>
        <v>0</v>
      </c>
      <c r="M36" s="22"/>
      <c r="N36" s="39"/>
      <c r="O36" s="22"/>
      <c r="P36" s="22"/>
      <c r="Q36" s="22"/>
      <c r="R36" s="33" t="s">
        <v>288</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51" t="s">
        <v>432</v>
      </c>
      <c r="S37" s="451"/>
      <c r="T37" s="451"/>
      <c r="U37" s="451"/>
      <c r="V37" s="451"/>
      <c r="W37" s="208"/>
      <c r="X37" s="196"/>
    </row>
    <row r="38" spans="1:26" s="117" customFormat="1" ht="13.5" thickBot="1">
      <c r="A38" s="1"/>
      <c r="B38" s="1"/>
      <c r="C38" s="1"/>
      <c r="D38" s="1"/>
      <c r="E38" s="1"/>
      <c r="F38" s="1"/>
      <c r="G38" s="1"/>
      <c r="H38" s="1"/>
      <c r="I38" s="1"/>
      <c r="J38" s="1"/>
      <c r="K38" s="1"/>
      <c r="L38" s="1"/>
      <c r="M38" s="1"/>
      <c r="N38" s="1"/>
      <c r="O38" s="1"/>
      <c r="P38" s="1"/>
      <c r="Q38" s="1"/>
      <c r="R38" s="451"/>
      <c r="S38" s="451"/>
      <c r="T38" s="451"/>
      <c r="U38" s="451"/>
      <c r="V38" s="451"/>
      <c r="W38" s="22"/>
      <c r="X38" s="22"/>
    </row>
    <row r="39" spans="1:26" s="117" customFormat="1" ht="13.5" thickBot="1">
      <c r="A39" s="501" t="s">
        <v>547</v>
      </c>
      <c r="B39" s="502"/>
      <c r="C39" s="502"/>
      <c r="D39" s="502"/>
      <c r="E39" s="502"/>
      <c r="F39" s="502"/>
      <c r="G39" s="502"/>
      <c r="H39" s="502"/>
      <c r="I39" s="502"/>
      <c r="J39" s="502"/>
      <c r="K39" s="502"/>
      <c r="L39" s="502"/>
      <c r="M39" s="502"/>
      <c r="N39" s="502"/>
      <c r="O39" s="503"/>
      <c r="P39" s="1"/>
      <c r="Q39" s="1"/>
      <c r="R39" s="451"/>
      <c r="S39" s="451"/>
      <c r="T39" s="451"/>
      <c r="U39" s="451"/>
      <c r="V39" s="451"/>
      <c r="W39" s="267"/>
      <c r="X39" s="267"/>
    </row>
    <row r="40" spans="1:26" s="117" customFormat="1" ht="72"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434</v>
      </c>
      <c r="M40" s="377" t="s">
        <v>414</v>
      </c>
      <c r="N40" s="130" t="s">
        <v>415</v>
      </c>
      <c r="O40" s="276" t="s">
        <v>416</v>
      </c>
      <c r="P40" s="1"/>
      <c r="Q40" s="1"/>
      <c r="R40" s="499"/>
      <c r="S40" s="499"/>
      <c r="T40" s="499"/>
      <c r="U40" s="499"/>
      <c r="V40" s="499"/>
    </row>
    <row r="41" spans="1:26" s="114" customFormat="1" ht="15.95" customHeight="1">
      <c r="A41" s="272" t="s">
        <v>280</v>
      </c>
      <c r="B41" s="278">
        <f t="shared" ref="B41:B45" si="11">SUM(C41:G41)</f>
        <v>0</v>
      </c>
      <c r="C41" s="378"/>
      <c r="D41" s="378"/>
      <c r="E41" s="378"/>
      <c r="F41" s="119"/>
      <c r="G41" s="119"/>
      <c r="H41" s="119"/>
      <c r="I41" s="378"/>
      <c r="J41" s="378"/>
      <c r="K41" s="378"/>
      <c r="L41" s="278">
        <f t="shared" ref="L41:L45" si="12">SUM(M41:N41)</f>
        <v>0</v>
      </c>
      <c r="M41" s="378"/>
      <c r="N41" s="119"/>
      <c r="O41" s="119"/>
      <c r="P41" s="22"/>
      <c r="Q41" s="22"/>
      <c r="R41" s="499"/>
      <c r="S41" s="499"/>
      <c r="T41" s="499"/>
      <c r="U41" s="499"/>
      <c r="V41" s="499"/>
    </row>
    <row r="42" spans="1:26" s="116" customFormat="1">
      <c r="A42" s="272" t="s">
        <v>281</v>
      </c>
      <c r="B42" s="278">
        <f t="shared" si="11"/>
        <v>0</v>
      </c>
      <c r="C42" s="378"/>
      <c r="D42" s="378"/>
      <c r="E42" s="378"/>
      <c r="F42" s="119"/>
      <c r="G42" s="119"/>
      <c r="H42" s="119"/>
      <c r="I42" s="378"/>
      <c r="J42" s="378"/>
      <c r="K42" s="378"/>
      <c r="L42" s="278">
        <f t="shared" si="12"/>
        <v>0</v>
      </c>
      <c r="M42" s="378"/>
      <c r="N42" s="119"/>
      <c r="O42" s="119"/>
      <c r="P42" s="22"/>
      <c r="Q42" s="22"/>
      <c r="R42" s="499"/>
      <c r="S42" s="499"/>
      <c r="T42" s="499"/>
      <c r="U42" s="499"/>
      <c r="V42" s="499"/>
    </row>
    <row r="43" spans="1:26" s="117" customFormat="1" ht="16.5" customHeight="1">
      <c r="A43" s="272" t="s">
        <v>282</v>
      </c>
      <c r="B43" s="278">
        <f t="shared" si="11"/>
        <v>0</v>
      </c>
      <c r="C43" s="378"/>
      <c r="D43" s="378"/>
      <c r="E43" s="378"/>
      <c r="F43" s="119"/>
      <c r="G43" s="119"/>
      <c r="H43" s="119"/>
      <c r="I43" s="378"/>
      <c r="J43" s="378"/>
      <c r="K43" s="378"/>
      <c r="L43" s="278">
        <f t="shared" si="12"/>
        <v>0</v>
      </c>
      <c r="M43" s="378"/>
      <c r="N43" s="119"/>
      <c r="O43" s="119"/>
      <c r="P43" s="22"/>
      <c r="Q43" s="22"/>
      <c r="R43" s="1"/>
      <c r="S43" s="365" t="s">
        <v>417</v>
      </c>
      <c r="T43" s="365" t="s">
        <v>418</v>
      </c>
      <c r="U43" s="197" t="s">
        <v>419</v>
      </c>
      <c r="V43" s="197" t="s">
        <v>420</v>
      </c>
    </row>
    <row r="44" spans="1:26" s="117" customFormat="1">
      <c r="A44" s="272" t="s">
        <v>283</v>
      </c>
      <c r="B44" s="278">
        <f t="shared" si="11"/>
        <v>0</v>
      </c>
      <c r="C44" s="378"/>
      <c r="D44" s="378"/>
      <c r="E44" s="378"/>
      <c r="F44" s="119"/>
      <c r="G44" s="119"/>
      <c r="H44" s="119"/>
      <c r="I44" s="378"/>
      <c r="J44" s="378"/>
      <c r="K44" s="378"/>
      <c r="L44" s="278">
        <f t="shared" si="12"/>
        <v>0</v>
      </c>
      <c r="M44" s="378"/>
      <c r="N44" s="119"/>
      <c r="O44" s="119"/>
      <c r="P44" s="22"/>
      <c r="Q44" s="22"/>
      <c r="R44" s="22" t="s">
        <v>285</v>
      </c>
      <c r="S44" s="97">
        <f>'HR3 PY'!U26</f>
        <v>0</v>
      </c>
      <c r="T44" s="97">
        <f>SUM($F$16+$K$16+$P$16+$U$16+$F$26+$K$26+$P$26)</f>
        <v>0</v>
      </c>
      <c r="U44" s="208">
        <f>T44-S44</f>
        <v>0</v>
      </c>
      <c r="V44" s="196" t="e">
        <f>(U44/S44)</f>
        <v>#DIV/0!</v>
      </c>
    </row>
    <row r="45" spans="1:26" s="117" customFormat="1" ht="15.6" customHeight="1" thickBot="1">
      <c r="A45" s="273" t="s">
        <v>284</v>
      </c>
      <c r="B45" s="279">
        <f t="shared" si="11"/>
        <v>0</v>
      </c>
      <c r="C45" s="378"/>
      <c r="D45" s="378"/>
      <c r="E45" s="378"/>
      <c r="F45" s="119"/>
      <c r="G45" s="119"/>
      <c r="H45" s="119"/>
      <c r="I45" s="378"/>
      <c r="J45" s="378"/>
      <c r="K45" s="378"/>
      <c r="L45" s="279">
        <f t="shared" si="12"/>
        <v>0</v>
      </c>
      <c r="M45" s="378"/>
      <c r="N45" s="119"/>
      <c r="O45" s="119"/>
      <c r="P45" s="22"/>
      <c r="Q45" s="22"/>
      <c r="R45" s="22" t="s">
        <v>326</v>
      </c>
      <c r="S45" s="97">
        <f>'HR3 PY'!Q26</f>
        <v>0</v>
      </c>
      <c r="T45" s="97">
        <f>B16+G16+L16+Q16+B26+G26+L26</f>
        <v>0</v>
      </c>
      <c r="U45" s="208">
        <f t="shared" ref="U45:U46" si="13">T45-S45</f>
        <v>0</v>
      </c>
      <c r="V45" s="196" t="e">
        <f t="shared" ref="V45:V46" si="14">(U45/S45)</f>
        <v>#DIV/0!</v>
      </c>
    </row>
    <row r="46" spans="1:26" s="117" customFormat="1" ht="15.6" customHeight="1" thickBot="1">
      <c r="A46" s="274" t="s">
        <v>285</v>
      </c>
      <c r="B46" s="103">
        <f t="shared" ref="B46:O46" si="15">SUM(B40:B45)</f>
        <v>0</v>
      </c>
      <c r="C46" s="379">
        <f t="shared" si="15"/>
        <v>0</v>
      </c>
      <c r="D46" s="379">
        <f t="shared" si="15"/>
        <v>0</v>
      </c>
      <c r="E46" s="379">
        <f t="shared" si="15"/>
        <v>0</v>
      </c>
      <c r="F46" s="103">
        <f t="shared" si="15"/>
        <v>0</v>
      </c>
      <c r="G46" s="103">
        <f t="shared" si="15"/>
        <v>0</v>
      </c>
      <c r="H46" s="103">
        <f t="shared" si="15"/>
        <v>0</v>
      </c>
      <c r="I46" s="379">
        <f t="shared" si="15"/>
        <v>0</v>
      </c>
      <c r="J46" s="379">
        <f t="shared" si="15"/>
        <v>0</v>
      </c>
      <c r="K46" s="379">
        <f t="shared" si="15"/>
        <v>0</v>
      </c>
      <c r="L46" s="103">
        <f t="shared" si="15"/>
        <v>0</v>
      </c>
      <c r="M46" s="379">
        <f t="shared" si="15"/>
        <v>0</v>
      </c>
      <c r="N46" s="103">
        <f t="shared" si="15"/>
        <v>0</v>
      </c>
      <c r="O46" s="103">
        <f t="shared" si="15"/>
        <v>0</v>
      </c>
      <c r="P46" s="22"/>
      <c r="Q46" s="22"/>
      <c r="R46" s="91" t="s">
        <v>327</v>
      </c>
      <c r="S46" s="97">
        <f>'HR3 PY'!R26</f>
        <v>0</v>
      </c>
      <c r="T46" s="97">
        <f>C16+H16+M16+R16+C26+H26+M26</f>
        <v>0</v>
      </c>
      <c r="U46" s="208">
        <f t="shared" si="13"/>
        <v>0</v>
      </c>
      <c r="V46" s="196" t="e">
        <f t="shared" si="14"/>
        <v>#DIV/0!</v>
      </c>
      <c r="W46" s="267"/>
      <c r="X46" s="267"/>
      <c r="Y46" s="267"/>
      <c r="Z46" s="267"/>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67"/>
      <c r="U47" s="267"/>
      <c r="V47" s="267"/>
      <c r="W47" s="267"/>
      <c r="X47" s="267"/>
      <c r="Y47" s="267"/>
      <c r="Z47" s="267"/>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87" t="s">
        <v>435</v>
      </c>
      <c r="B49" s="488"/>
      <c r="C49" s="488"/>
      <c r="D49" s="488"/>
      <c r="E49" s="501" t="s">
        <v>548</v>
      </c>
      <c r="F49" s="502"/>
      <c r="G49" s="502"/>
      <c r="H49" s="502"/>
      <c r="I49" s="502"/>
      <c r="J49" s="502"/>
      <c r="K49" s="502"/>
      <c r="L49" s="502"/>
      <c r="M49" s="503"/>
      <c r="N49" s="501" t="s">
        <v>436</v>
      </c>
      <c r="O49" s="502"/>
      <c r="P49" s="502"/>
      <c r="Q49" s="502"/>
      <c r="R49" s="503"/>
      <c r="S49" s="91"/>
      <c r="T49" s="102"/>
      <c r="U49" s="102"/>
      <c r="V49" s="102"/>
      <c r="W49" s="102"/>
      <c r="X49" s="102"/>
      <c r="Y49" s="102"/>
      <c r="Z49" s="102"/>
    </row>
    <row r="50" spans="1:26" s="117" customFormat="1" ht="30"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92"/>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102"/>
      <c r="U51" s="102"/>
      <c r="V51" s="102"/>
      <c r="W51" s="102"/>
      <c r="X51" s="102"/>
      <c r="Y51" s="102"/>
      <c r="Z51" s="102"/>
    </row>
    <row r="52" spans="1:26" s="109" customFormat="1" ht="14.25">
      <c r="A52" s="100" t="s">
        <v>281</v>
      </c>
      <c r="B52" s="81"/>
      <c r="C52" s="15"/>
      <c r="D52" s="88"/>
      <c r="E52" s="81"/>
      <c r="F52" s="15"/>
      <c r="G52" s="15"/>
      <c r="H52" s="15"/>
      <c r="I52" s="15"/>
      <c r="J52" s="15"/>
      <c r="K52" s="15"/>
      <c r="L52" s="15"/>
      <c r="M52" s="82"/>
      <c r="N52" s="236"/>
      <c r="O52" s="236"/>
      <c r="P52" s="15"/>
      <c r="Q52" s="82"/>
      <c r="R52" s="82"/>
      <c r="S52" s="22"/>
      <c r="T52" s="22"/>
      <c r="U52" s="22"/>
      <c r="Y52" s="22"/>
    </row>
    <row r="53" spans="1:26" s="109" customFormat="1" ht="14.25">
      <c r="A53" s="100" t="s">
        <v>282</v>
      </c>
      <c r="B53" s="81"/>
      <c r="C53" s="15"/>
      <c r="D53" s="88"/>
      <c r="E53" s="81"/>
      <c r="F53" s="15"/>
      <c r="G53" s="15"/>
      <c r="H53" s="15"/>
      <c r="I53" s="15"/>
      <c r="J53" s="15"/>
      <c r="K53" s="15"/>
      <c r="L53" s="15"/>
      <c r="M53" s="82"/>
      <c r="N53" s="236"/>
      <c r="O53" s="236"/>
      <c r="P53" s="15"/>
      <c r="Q53" s="82"/>
      <c r="R53" s="82"/>
      <c r="S53" s="22"/>
      <c r="T53" s="22"/>
      <c r="U53" s="22"/>
      <c r="V53" s="22"/>
      <c r="W53" s="22"/>
      <c r="X53" s="22"/>
      <c r="Y53" s="22"/>
    </row>
    <row r="54" spans="1:26" s="109" customFormat="1" ht="14.25">
      <c r="A54" s="100" t="s">
        <v>283</v>
      </c>
      <c r="B54" s="81"/>
      <c r="C54" s="15"/>
      <c r="D54" s="88"/>
      <c r="E54" s="81"/>
      <c r="F54" s="15"/>
      <c r="G54" s="15"/>
      <c r="H54" s="15"/>
      <c r="I54" s="15"/>
      <c r="J54" s="15"/>
      <c r="K54" s="15"/>
      <c r="L54" s="15"/>
      <c r="M54" s="82"/>
      <c r="N54" s="236"/>
      <c r="O54" s="236"/>
      <c r="P54" s="15"/>
      <c r="Q54" s="82"/>
      <c r="R54" s="82"/>
      <c r="S54" s="22"/>
      <c r="T54" s="22"/>
      <c r="U54" s="22"/>
      <c r="V54" s="91"/>
      <c r="W54" s="91"/>
      <c r="X54" s="91"/>
      <c r="Y54" s="91"/>
    </row>
    <row r="55" spans="1:26" s="109" customFormat="1" ht="15" thickBot="1">
      <c r="A55" s="101" t="s">
        <v>284</v>
      </c>
      <c r="B55" s="85"/>
      <c r="C55" s="83"/>
      <c r="D55" s="89"/>
      <c r="E55" s="85"/>
      <c r="F55" s="83"/>
      <c r="G55" s="83"/>
      <c r="H55" s="83"/>
      <c r="I55" s="83"/>
      <c r="J55" s="83"/>
      <c r="K55" s="83"/>
      <c r="L55" s="83"/>
      <c r="M55" s="84"/>
      <c r="N55" s="237"/>
      <c r="O55" s="237"/>
      <c r="P55" s="83"/>
      <c r="Q55" s="84"/>
      <c r="R55" s="84"/>
      <c r="S55" s="22"/>
      <c r="T55" s="22"/>
      <c r="U55" s="22"/>
      <c r="V55" s="92"/>
      <c r="W55" s="92"/>
      <c r="X55" s="92"/>
      <c r="Y55" s="92"/>
    </row>
    <row r="56" spans="1:26" s="109" customFormat="1" ht="15" thickBot="1">
      <c r="A56" s="214" t="s">
        <v>285</v>
      </c>
      <c r="B56" s="103">
        <f t="shared" ref="B56:R56" si="16">SUM(B50:B55)</f>
        <v>0</v>
      </c>
      <c r="C56" s="103">
        <f t="shared" si="16"/>
        <v>0</v>
      </c>
      <c r="D56" s="103">
        <f t="shared" si="16"/>
        <v>0</v>
      </c>
      <c r="E56" s="103">
        <f t="shared" si="16"/>
        <v>0</v>
      </c>
      <c r="F56" s="103">
        <f t="shared" si="16"/>
        <v>0</v>
      </c>
      <c r="G56" s="103">
        <f t="shared" si="16"/>
        <v>0</v>
      </c>
      <c r="H56" s="103">
        <f t="shared" si="16"/>
        <v>0</v>
      </c>
      <c r="I56" s="103">
        <f t="shared" si="16"/>
        <v>0</v>
      </c>
      <c r="J56" s="103">
        <f t="shared" si="16"/>
        <v>0</v>
      </c>
      <c r="K56" s="103">
        <f t="shared" si="16"/>
        <v>0</v>
      </c>
      <c r="L56" s="103">
        <f t="shared" si="16"/>
        <v>0</v>
      </c>
      <c r="M56" s="103">
        <f t="shared" si="16"/>
        <v>0</v>
      </c>
      <c r="N56" s="103">
        <f t="shared" si="16"/>
        <v>0</v>
      </c>
      <c r="O56" s="103">
        <f t="shared" si="16"/>
        <v>0</v>
      </c>
      <c r="P56" s="103">
        <f t="shared" si="16"/>
        <v>0</v>
      </c>
      <c r="Q56" s="103">
        <f t="shared" si="16"/>
        <v>0</v>
      </c>
      <c r="R56" s="103">
        <f t="shared" si="16"/>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algorithmName="SHA-512" hashValue="j0mgP0vE4Ti+yd64wSmrHP9fB4ZWOelrokGSro0ORyY3I8f15+1yOgwmQM6r3xOtiMwYKzn9Mk1cSzixnDz1pA==" saltValue="mlwzrpYz17VE8bjzdwJxYw==" spinCount="100000" sheet="1" objects="1" scenarios="1" selectLockedCells="1"/>
  <mergeCells count="24">
    <mergeCell ref="R20:T20"/>
    <mergeCell ref="R31:U34"/>
    <mergeCell ref="R37:V39"/>
    <mergeCell ref="R40:V42"/>
    <mergeCell ref="R30:U30"/>
    <mergeCell ref="R21:T21"/>
    <mergeCell ref="R22:T22"/>
    <mergeCell ref="R23:T23"/>
    <mergeCell ref="R24:T24"/>
    <mergeCell ref="A49:D49"/>
    <mergeCell ref="E49:M49"/>
    <mergeCell ref="N49:R49"/>
    <mergeCell ref="A29:L29"/>
    <mergeCell ref="A39:O39"/>
    <mergeCell ref="L19:P19"/>
    <mergeCell ref="G19:K19"/>
    <mergeCell ref="B19:F19"/>
    <mergeCell ref="C3:N4"/>
    <mergeCell ref="B9:F9"/>
    <mergeCell ref="G9:K9"/>
    <mergeCell ref="A6:U6"/>
    <mergeCell ref="A8:U8"/>
    <mergeCell ref="L9:P9"/>
    <mergeCell ref="Q9:U9"/>
  </mergeCells>
  <phoneticPr fontId="9" type="noConversion"/>
  <conditionalFormatting sqref="U26">
    <cfRule type="containsText" dxfId="56" priority="1" operator="containsText" text="Yes">
      <formula>NOT(ISERROR(SEARCH("Yes",U26)))</formula>
    </cfRule>
    <cfRule type="containsText" dxfId="55"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L35 C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P53" sqref="P53"/>
    </sheetView>
  </sheetViews>
  <sheetFormatPr defaultRowHeight="12.75"/>
  <cols>
    <col min="1" max="1" width="15.140625" bestFit="1" customWidth="1"/>
  </cols>
  <sheetData>
    <row r="4" spans="1:26">
      <c r="C4" s="333" t="s">
        <v>12</v>
      </c>
      <c r="D4" s="334">
        <f>VLOOKUP(Cover!A6,Cover!B319:D335,2,FALSE)</f>
        <v>2025</v>
      </c>
      <c r="E4" s="355" t="str">
        <f>Cover!A10</f>
        <v>Avon</v>
      </c>
    </row>
    <row r="10" spans="1:26">
      <c r="B10" t="s">
        <v>437</v>
      </c>
      <c r="C10" t="s">
        <v>438</v>
      </c>
      <c r="D10" t="s">
        <v>439</v>
      </c>
      <c r="E10" t="s">
        <v>440</v>
      </c>
      <c r="F10" t="s">
        <v>285</v>
      </c>
      <c r="G10" t="s">
        <v>298</v>
      </c>
      <c r="H10" t="s">
        <v>299</v>
      </c>
      <c r="I10" t="s">
        <v>300</v>
      </c>
      <c r="J10" t="s">
        <v>301</v>
      </c>
      <c r="K10" t="s">
        <v>285</v>
      </c>
      <c r="L10" t="s">
        <v>302</v>
      </c>
      <c r="M10" t="s">
        <v>303</v>
      </c>
      <c r="N10" t="s">
        <v>304</v>
      </c>
      <c r="O10" t="s">
        <v>305</v>
      </c>
      <c r="P10" t="s">
        <v>285</v>
      </c>
      <c r="Q10" t="s">
        <v>306</v>
      </c>
      <c r="R10" t="s">
        <v>307</v>
      </c>
      <c r="S10" t="s">
        <v>308</v>
      </c>
      <c r="T10" t="s">
        <v>309</v>
      </c>
      <c r="U10" t="s">
        <v>285</v>
      </c>
      <c r="V10" s="199" t="s">
        <v>310</v>
      </c>
      <c r="W10" t="s">
        <v>311</v>
      </c>
      <c r="X10" t="s">
        <v>312</v>
      </c>
      <c r="Y10" t="s">
        <v>313</v>
      </c>
      <c r="Z10" t="s">
        <v>285</v>
      </c>
    </row>
    <row r="11" spans="1:26">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56">
        <f t="shared" ref="Z11:Z15" si="4">SUM(V11:Y11)</f>
        <v>0</v>
      </c>
    </row>
    <row r="12" spans="1:26">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56">
        <f t="shared" si="4"/>
        <v>0</v>
      </c>
    </row>
    <row r="13" spans="1:26">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56">
        <f t="shared" si="4"/>
        <v>0</v>
      </c>
    </row>
    <row r="14" spans="1:26">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56">
        <f t="shared" si="4"/>
        <v>0</v>
      </c>
    </row>
    <row r="15" spans="1:26">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56">
        <f t="shared" si="4"/>
        <v>0</v>
      </c>
    </row>
    <row r="16" spans="1:26" s="356" customFormat="1">
      <c r="A16" s="356" t="s">
        <v>285</v>
      </c>
      <c r="B16" s="356">
        <f t="shared" ref="B16:Z16" si="5">SUM(B11:B15)</f>
        <v>0</v>
      </c>
      <c r="C16" s="356">
        <f t="shared" si="5"/>
        <v>0</v>
      </c>
      <c r="D16" s="356">
        <f t="shared" si="5"/>
        <v>0</v>
      </c>
      <c r="E16" s="356">
        <f t="shared" si="5"/>
        <v>0</v>
      </c>
      <c r="F16" s="356">
        <f t="shared" si="5"/>
        <v>0</v>
      </c>
      <c r="G16" s="356">
        <f t="shared" si="5"/>
        <v>0</v>
      </c>
      <c r="H16" s="356">
        <f t="shared" si="5"/>
        <v>0</v>
      </c>
      <c r="I16" s="356">
        <f t="shared" si="5"/>
        <v>0</v>
      </c>
      <c r="J16" s="356">
        <f t="shared" si="5"/>
        <v>0</v>
      </c>
      <c r="K16" s="356">
        <f t="shared" si="5"/>
        <v>0</v>
      </c>
      <c r="L16" s="356">
        <f t="shared" si="5"/>
        <v>0</v>
      </c>
      <c r="M16" s="356">
        <f t="shared" si="5"/>
        <v>0</v>
      </c>
      <c r="N16" s="356">
        <f t="shared" si="5"/>
        <v>0</v>
      </c>
      <c r="O16" s="356">
        <f t="shared" si="5"/>
        <v>0</v>
      </c>
      <c r="P16" s="356">
        <f t="shared" si="5"/>
        <v>0</v>
      </c>
      <c r="Q16" s="356">
        <f t="shared" si="5"/>
        <v>0</v>
      </c>
      <c r="R16" s="356">
        <f t="shared" si="5"/>
        <v>0</v>
      </c>
      <c r="S16" s="356">
        <f t="shared" si="5"/>
        <v>0</v>
      </c>
      <c r="T16" s="356">
        <f t="shared" si="5"/>
        <v>0</v>
      </c>
      <c r="U16" s="356">
        <f t="shared" si="5"/>
        <v>0</v>
      </c>
      <c r="V16" s="356">
        <f t="shared" si="5"/>
        <v>0</v>
      </c>
      <c r="W16" s="356">
        <f t="shared" si="5"/>
        <v>0</v>
      </c>
      <c r="X16" s="356">
        <f t="shared" si="5"/>
        <v>0</v>
      </c>
      <c r="Y16" s="356">
        <f t="shared" si="5"/>
        <v>0</v>
      </c>
      <c r="Z16" s="356">
        <f t="shared" si="5"/>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6">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7">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8">SUM(L21:O21)</f>
        <v>0</v>
      </c>
      <c r="Q21">
        <f t="shared" ref="Q21:U26" si="9">G11+L11+Q11+V11+B21+G21+L21</f>
        <v>0</v>
      </c>
      <c r="R21">
        <f t="shared" si="9"/>
        <v>0</v>
      </c>
      <c r="S21">
        <f t="shared" si="9"/>
        <v>0</v>
      </c>
      <c r="T21">
        <f t="shared" si="9"/>
        <v>0</v>
      </c>
      <c r="U21" s="356">
        <f t="shared" si="9"/>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6"/>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7"/>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8"/>
        <v>0</v>
      </c>
      <c r="Q22">
        <f t="shared" si="9"/>
        <v>0</v>
      </c>
      <c r="R22">
        <f t="shared" si="9"/>
        <v>0</v>
      </c>
      <c r="S22">
        <f t="shared" si="9"/>
        <v>0</v>
      </c>
      <c r="T22">
        <f t="shared" si="9"/>
        <v>0</v>
      </c>
      <c r="U22" s="356">
        <f t="shared" si="9"/>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6"/>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7"/>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8"/>
        <v>0</v>
      </c>
      <c r="Q23">
        <f t="shared" si="9"/>
        <v>0</v>
      </c>
      <c r="R23">
        <f t="shared" si="9"/>
        <v>0</v>
      </c>
      <c r="S23">
        <f t="shared" si="9"/>
        <v>0</v>
      </c>
      <c r="T23">
        <f t="shared" si="9"/>
        <v>0</v>
      </c>
      <c r="U23" s="356">
        <f t="shared" si="9"/>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6"/>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7"/>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8"/>
        <v>0</v>
      </c>
      <c r="Q24">
        <f t="shared" si="9"/>
        <v>0</v>
      </c>
      <c r="R24">
        <f t="shared" si="9"/>
        <v>0</v>
      </c>
      <c r="S24">
        <f t="shared" si="9"/>
        <v>0</v>
      </c>
      <c r="T24">
        <f t="shared" si="9"/>
        <v>0</v>
      </c>
      <c r="U24" s="356">
        <f t="shared" si="9"/>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6"/>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7"/>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8"/>
        <v>0</v>
      </c>
      <c r="Q25">
        <f t="shared" si="9"/>
        <v>0</v>
      </c>
      <c r="R25">
        <f t="shared" si="9"/>
        <v>0</v>
      </c>
      <c r="S25">
        <f t="shared" si="9"/>
        <v>0</v>
      </c>
      <c r="T25">
        <f t="shared" si="9"/>
        <v>0</v>
      </c>
      <c r="U25" s="356">
        <f t="shared" si="9"/>
        <v>0</v>
      </c>
    </row>
    <row r="26" spans="1:24">
      <c r="A26" t="s">
        <v>285</v>
      </c>
      <c r="B26" s="356">
        <f t="shared" ref="B26:P26" si="10">SUM(B21:B25)</f>
        <v>0</v>
      </c>
      <c r="C26" s="356">
        <f t="shared" si="10"/>
        <v>0</v>
      </c>
      <c r="D26" s="356">
        <f t="shared" si="10"/>
        <v>0</v>
      </c>
      <c r="E26" s="356">
        <f t="shared" si="10"/>
        <v>0</v>
      </c>
      <c r="F26" s="356">
        <f t="shared" si="10"/>
        <v>0</v>
      </c>
      <c r="G26" s="356">
        <f t="shared" si="10"/>
        <v>0</v>
      </c>
      <c r="H26" s="356">
        <f t="shared" si="10"/>
        <v>0</v>
      </c>
      <c r="I26" s="356">
        <f t="shared" si="10"/>
        <v>0</v>
      </c>
      <c r="J26" s="356">
        <f t="shared" si="10"/>
        <v>0</v>
      </c>
      <c r="K26" s="356">
        <f t="shared" si="10"/>
        <v>0</v>
      </c>
      <c r="L26" s="356">
        <f t="shared" si="10"/>
        <v>0</v>
      </c>
      <c r="M26" s="356">
        <f t="shared" si="10"/>
        <v>0</v>
      </c>
      <c r="N26" s="356">
        <f t="shared" si="10"/>
        <v>0</v>
      </c>
      <c r="O26" s="356">
        <f t="shared" si="10"/>
        <v>0</v>
      </c>
      <c r="P26" s="356">
        <f t="shared" si="10"/>
        <v>0</v>
      </c>
      <c r="Q26" s="356">
        <f t="shared" si="9"/>
        <v>0</v>
      </c>
      <c r="R26" s="356">
        <f t="shared" si="9"/>
        <v>0</v>
      </c>
      <c r="S26" s="356">
        <f t="shared" si="9"/>
        <v>0</v>
      </c>
      <c r="T26" s="356">
        <f t="shared" si="9"/>
        <v>0</v>
      </c>
      <c r="U26" s="356">
        <f t="shared" si="9"/>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1">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1"/>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1"/>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1"/>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1"/>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2">SUM(B31:B35)</f>
        <v>0</v>
      </c>
      <c r="C36" s="356">
        <f t="shared" si="12"/>
        <v>0</v>
      </c>
      <c r="D36" s="356">
        <f t="shared" si="12"/>
        <v>0</v>
      </c>
      <c r="E36" s="356">
        <f t="shared" si="12"/>
        <v>0</v>
      </c>
      <c r="F36" s="356">
        <f t="shared" si="12"/>
        <v>0</v>
      </c>
      <c r="G36" s="356">
        <f t="shared" si="12"/>
        <v>0</v>
      </c>
      <c r="H36" s="356">
        <f t="shared" si="12"/>
        <v>0</v>
      </c>
      <c r="I36" s="356">
        <f t="shared" si="12"/>
        <v>0</v>
      </c>
      <c r="J36" s="356">
        <f t="shared" si="12"/>
        <v>0</v>
      </c>
      <c r="K36" s="356">
        <f t="shared" si="12"/>
        <v>0</v>
      </c>
      <c r="L36" s="356">
        <f t="shared" si="12"/>
        <v>0</v>
      </c>
      <c r="M36" s="356">
        <f t="shared" si="12"/>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3">SUM(B41:B45)</f>
        <v>0</v>
      </c>
      <c r="C46" s="356">
        <f t="shared" si="13"/>
        <v>0</v>
      </c>
      <c r="D46" s="356">
        <f t="shared" si="13"/>
        <v>0</v>
      </c>
      <c r="E46" s="356">
        <f t="shared" si="13"/>
        <v>0</v>
      </c>
      <c r="F46" s="356">
        <f t="shared" si="13"/>
        <v>0</v>
      </c>
      <c r="G46" s="356">
        <f t="shared" si="13"/>
        <v>0</v>
      </c>
      <c r="H46" s="356">
        <f t="shared" si="13"/>
        <v>0</v>
      </c>
      <c r="I46" s="356">
        <f t="shared" si="13"/>
        <v>0</v>
      </c>
      <c r="J46" s="356">
        <f t="shared" si="13"/>
        <v>0</v>
      </c>
      <c r="K46" s="356">
        <f t="shared" si="13"/>
        <v>0</v>
      </c>
      <c r="L46" s="356">
        <f t="shared" si="13"/>
        <v>0</v>
      </c>
      <c r="M46" s="356">
        <f t="shared" si="13"/>
        <v>0</v>
      </c>
      <c r="N46" s="356">
        <f t="shared" si="13"/>
        <v>0</v>
      </c>
      <c r="O46" s="356">
        <f t="shared" si="13"/>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4">SUM(B51:B55)</f>
        <v>0</v>
      </c>
      <c r="C56" s="356">
        <f t="shared" si="14"/>
        <v>0</v>
      </c>
      <c r="D56" s="356">
        <f t="shared" si="14"/>
        <v>0</v>
      </c>
      <c r="E56" s="356">
        <f t="shared" si="14"/>
        <v>0</v>
      </c>
      <c r="F56" s="356">
        <f t="shared" si="14"/>
        <v>0</v>
      </c>
      <c r="G56" s="356">
        <f t="shared" si="14"/>
        <v>0</v>
      </c>
      <c r="H56" s="356">
        <f t="shared" si="14"/>
        <v>0</v>
      </c>
      <c r="I56" s="356">
        <f t="shared" si="14"/>
        <v>0</v>
      </c>
      <c r="J56" s="356">
        <f t="shared" si="14"/>
        <v>0</v>
      </c>
      <c r="K56" s="356">
        <f t="shared" si="14"/>
        <v>0</v>
      </c>
      <c r="L56" s="356">
        <f t="shared" si="14"/>
        <v>0</v>
      </c>
      <c r="M56" s="356">
        <f t="shared" si="14"/>
        <v>0</v>
      </c>
      <c r="N56" s="356">
        <f t="shared" si="14"/>
        <v>0</v>
      </c>
      <c r="O56" s="356">
        <f t="shared" si="14"/>
        <v>0</v>
      </c>
      <c r="P56" s="356">
        <f t="shared" si="14"/>
        <v>0</v>
      </c>
      <c r="Q56" s="356">
        <f t="shared" si="14"/>
        <v>0</v>
      </c>
      <c r="R56" s="356">
        <f t="shared" si="14"/>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topLeftCell="A19" zoomScale="70" zoomScaleNormal="70" zoomScaleSheetLayoutView="85" workbookViewId="0">
      <selection activeCell="B51" sqref="B51"/>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505"/>
      <c r="D3" s="505"/>
      <c r="E3" s="505"/>
      <c r="F3" s="505"/>
      <c r="G3" s="505"/>
      <c r="H3" s="505"/>
      <c r="I3" s="505"/>
      <c r="J3" s="505"/>
      <c r="K3" s="505"/>
      <c r="L3" s="505"/>
      <c r="M3" s="505"/>
      <c r="N3" s="505"/>
      <c r="O3" s="107"/>
      <c r="P3" s="107"/>
      <c r="Q3" s="107"/>
      <c r="R3" s="107"/>
    </row>
    <row r="4" spans="1:72" ht="13.5" customHeight="1">
      <c r="C4" s="505"/>
      <c r="D4" s="505"/>
      <c r="E4" s="505"/>
      <c r="F4" s="505"/>
      <c r="G4" s="505"/>
      <c r="H4" s="505"/>
      <c r="I4" s="505"/>
      <c r="J4" s="505"/>
      <c r="K4" s="505"/>
      <c r="L4" s="505"/>
      <c r="M4" s="505"/>
      <c r="N4" s="505"/>
      <c r="O4" s="107"/>
      <c r="P4" s="107"/>
      <c r="Q4" s="107"/>
      <c r="R4" s="107"/>
    </row>
    <row r="5" spans="1:72" ht="49.5" customHeight="1"/>
    <row r="6" spans="1:72" s="109" customFormat="1" ht="18.75" customHeight="1">
      <c r="A6" s="514" t="s">
        <v>441</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509" t="s">
        <v>549</v>
      </c>
      <c r="B8" s="510"/>
      <c r="C8" s="510"/>
      <c r="D8" s="510"/>
      <c r="E8" s="510"/>
      <c r="F8" s="510"/>
      <c r="G8" s="510"/>
      <c r="H8" s="510"/>
      <c r="I8" s="510"/>
      <c r="J8" s="510"/>
      <c r="K8" s="510"/>
      <c r="L8" s="510"/>
      <c r="M8" s="510"/>
      <c r="N8" s="510"/>
      <c r="O8" s="510"/>
      <c r="P8" s="510"/>
      <c r="Q8" s="510"/>
      <c r="R8" s="510"/>
      <c r="S8" s="510"/>
      <c r="T8" s="510"/>
      <c r="U8" s="510"/>
      <c r="V8" s="510"/>
      <c r="W8" s="510"/>
      <c r="X8" s="510"/>
      <c r="Y8" s="510"/>
      <c r="Z8" s="511"/>
    </row>
    <row r="9" spans="1:72" s="116" customFormat="1" ht="30.6" customHeight="1" thickBot="1">
      <c r="A9" s="115"/>
      <c r="B9" s="506" t="s">
        <v>442</v>
      </c>
      <c r="C9" s="507"/>
      <c r="D9" s="507"/>
      <c r="E9" s="507"/>
      <c r="F9" s="508"/>
      <c r="G9" s="506" t="s">
        <v>371</v>
      </c>
      <c r="H9" s="507"/>
      <c r="I9" s="507"/>
      <c r="J9" s="507"/>
      <c r="K9" s="508"/>
      <c r="L9" s="506" t="s">
        <v>372</v>
      </c>
      <c r="M9" s="507"/>
      <c r="N9" s="507"/>
      <c r="O9" s="507"/>
      <c r="P9" s="508"/>
      <c r="Q9" s="506" t="s">
        <v>373</v>
      </c>
      <c r="R9" s="507"/>
      <c r="S9" s="507"/>
      <c r="T9" s="507"/>
      <c r="U9" s="508"/>
      <c r="V9" s="506" t="s">
        <v>374</v>
      </c>
      <c r="W9" s="507"/>
      <c r="X9" s="507"/>
      <c r="Y9" s="507"/>
      <c r="Z9" s="508"/>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19"/>
      <c r="W11" s="119"/>
      <c r="X11" s="119"/>
      <c r="Y11" s="119"/>
      <c r="Z11" s="241">
        <f t="shared" ref="Z11:Z15" si="4">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119"/>
      <c r="W12" s="119"/>
      <c r="X12" s="119"/>
      <c r="Y12" s="119"/>
      <c r="Z12" s="241">
        <f t="shared" si="4"/>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19"/>
      <c r="W13" s="119"/>
      <c r="X13" s="119"/>
      <c r="Y13" s="119"/>
      <c r="Z13" s="241">
        <f t="shared" si="4"/>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19"/>
      <c r="W14" s="119"/>
      <c r="X14" s="119"/>
      <c r="Y14" s="119"/>
      <c r="Z14" s="241">
        <f t="shared" si="4"/>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238"/>
      <c r="W15" s="238"/>
      <c r="X15" s="238"/>
      <c r="Y15" s="238"/>
      <c r="Z15" s="243">
        <f t="shared" si="4"/>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285</v>
      </c>
      <c r="B16" s="103">
        <f>SUM(B10:B15)</f>
        <v>0</v>
      </c>
      <c r="C16" s="103">
        <f t="shared" ref="C16:Z16" si="5">SUM(C10:C15)</f>
        <v>0</v>
      </c>
      <c r="D16" s="103">
        <f t="shared" si="5"/>
        <v>0</v>
      </c>
      <c r="E16" s="103">
        <f t="shared" si="5"/>
        <v>0</v>
      </c>
      <c r="F16" s="103">
        <f t="shared" si="5"/>
        <v>0</v>
      </c>
      <c r="G16" s="103">
        <f t="shared" si="5"/>
        <v>0</v>
      </c>
      <c r="H16" s="103">
        <f t="shared" si="5"/>
        <v>0</v>
      </c>
      <c r="I16" s="103">
        <f t="shared" si="5"/>
        <v>0</v>
      </c>
      <c r="J16" s="103">
        <f t="shared" si="5"/>
        <v>0</v>
      </c>
      <c r="K16" s="103">
        <f t="shared" si="5"/>
        <v>0</v>
      </c>
      <c r="L16" s="103">
        <f t="shared" si="5"/>
        <v>0</v>
      </c>
      <c r="M16" s="103">
        <f t="shared" si="5"/>
        <v>0</v>
      </c>
      <c r="N16" s="103">
        <f t="shared" si="5"/>
        <v>0</v>
      </c>
      <c r="O16" s="103">
        <f t="shared" si="5"/>
        <v>0</v>
      </c>
      <c r="P16" s="103">
        <f t="shared" si="5"/>
        <v>0</v>
      </c>
      <c r="Q16" s="103">
        <f t="shared" si="5"/>
        <v>0</v>
      </c>
      <c r="R16" s="103">
        <f t="shared" si="5"/>
        <v>0</v>
      </c>
      <c r="S16" s="103">
        <f t="shared" si="5"/>
        <v>0</v>
      </c>
      <c r="T16" s="103">
        <f t="shared" si="5"/>
        <v>0</v>
      </c>
      <c r="U16" s="103">
        <f t="shared" si="5"/>
        <v>0</v>
      </c>
      <c r="V16" s="103">
        <f t="shared" si="5"/>
        <v>0</v>
      </c>
      <c r="W16" s="103">
        <f t="shared" si="5"/>
        <v>0</v>
      </c>
      <c r="X16" s="103">
        <f t="shared" si="5"/>
        <v>0</v>
      </c>
      <c r="Y16" s="103">
        <f t="shared" si="5"/>
        <v>0</v>
      </c>
      <c r="Z16" s="103">
        <f t="shared" si="5"/>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500" t="s">
        <v>376</v>
      </c>
      <c r="C19" s="500"/>
      <c r="D19" s="500"/>
      <c r="E19" s="500"/>
      <c r="F19" s="500"/>
      <c r="G19" s="500" t="s">
        <v>377</v>
      </c>
      <c r="H19" s="500"/>
      <c r="I19" s="500"/>
      <c r="J19" s="500"/>
      <c r="K19" s="500"/>
      <c r="L19" s="484" t="s">
        <v>378</v>
      </c>
      <c r="M19" s="485"/>
      <c r="N19" s="485"/>
      <c r="O19" s="485"/>
      <c r="P19" s="486"/>
      <c r="Q19" s="22"/>
      <c r="R19" s="92"/>
      <c r="S19" s="92"/>
      <c r="T19" s="191" t="s">
        <v>379</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T20" s="512" t="s">
        <v>443</v>
      </c>
      <c r="U20" s="512"/>
      <c r="V20" s="512"/>
      <c r="W20" s="364">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6">SUM(B21:E21)</f>
        <v>0</v>
      </c>
      <c r="G21" s="236"/>
      <c r="H21" s="15"/>
      <c r="I21" s="15"/>
      <c r="J21" s="88"/>
      <c r="K21" s="232">
        <f t="shared" ref="K21:K25" si="7">SUM(G21:J21)</f>
        <v>0</v>
      </c>
      <c r="L21" s="15"/>
      <c r="M21" s="15"/>
      <c r="N21" s="15"/>
      <c r="O21" s="15"/>
      <c r="P21" s="234">
        <f t="shared" ref="P21:P25" si="8">SUM(L21:O21)</f>
        <v>0</v>
      </c>
      <c r="Q21" s="97"/>
      <c r="T21" s="479" t="s">
        <v>444</v>
      </c>
      <c r="U21" s="479"/>
      <c r="V21" s="479"/>
      <c r="W21" s="97">
        <f>SUM(B36+H36+B46+H46+L46+O46)</f>
        <v>0</v>
      </c>
      <c r="X21" s="22"/>
      <c r="Y21" s="22"/>
      <c r="Z21" s="22"/>
    </row>
    <row r="22" spans="1:66" s="117" customFormat="1" ht="12.75" customHeight="1">
      <c r="A22" s="95" t="s">
        <v>281</v>
      </c>
      <c r="B22" s="15"/>
      <c r="C22" s="15"/>
      <c r="D22" s="15"/>
      <c r="E22" s="88"/>
      <c r="F22" s="234">
        <f t="shared" si="6"/>
        <v>0</v>
      </c>
      <c r="G22" s="236"/>
      <c r="H22" s="15"/>
      <c r="I22" s="15"/>
      <c r="J22" s="88"/>
      <c r="K22" s="232">
        <f t="shared" si="7"/>
        <v>0</v>
      </c>
      <c r="L22" s="15"/>
      <c r="M22" s="15"/>
      <c r="N22" s="15"/>
      <c r="O22" s="15"/>
      <c r="P22" s="234">
        <f t="shared" si="8"/>
        <v>0</v>
      </c>
      <c r="Q22" s="97"/>
      <c r="T22" s="479" t="s">
        <v>445</v>
      </c>
      <c r="U22" s="479"/>
      <c r="V22" s="479"/>
      <c r="W22" s="97">
        <f>SUM($N$56:$R$56)</f>
        <v>0</v>
      </c>
      <c r="X22" s="22"/>
      <c r="Y22" s="22"/>
      <c r="Z22" s="22"/>
    </row>
    <row r="23" spans="1:66" s="117" customFormat="1" ht="12.75" customHeight="1">
      <c r="A23" s="95" t="s">
        <v>282</v>
      </c>
      <c r="B23" s="15"/>
      <c r="C23" s="15"/>
      <c r="D23" s="15"/>
      <c r="E23" s="88"/>
      <c r="F23" s="234">
        <f t="shared" si="6"/>
        <v>0</v>
      </c>
      <c r="G23" s="236"/>
      <c r="H23" s="15"/>
      <c r="I23" s="15"/>
      <c r="J23" s="88"/>
      <c r="K23" s="232">
        <f t="shared" si="7"/>
        <v>0</v>
      </c>
      <c r="L23" s="15"/>
      <c r="M23" s="15"/>
      <c r="N23" s="15"/>
      <c r="O23" s="15"/>
      <c r="P23" s="234">
        <f t="shared" si="8"/>
        <v>0</v>
      </c>
      <c r="Q23" s="97"/>
      <c r="T23" s="479" t="s">
        <v>446</v>
      </c>
      <c r="U23" s="479"/>
      <c r="V23" s="479"/>
      <c r="W23" s="97">
        <f>SUM($B$56:$D$56)</f>
        <v>0</v>
      </c>
      <c r="X23" s="22"/>
      <c r="Y23" s="22"/>
      <c r="Z23" s="22"/>
    </row>
    <row r="24" spans="1:66" s="117" customFormat="1" ht="12.75" customHeight="1">
      <c r="A24" s="95" t="s">
        <v>283</v>
      </c>
      <c r="B24" s="15"/>
      <c r="C24" s="15"/>
      <c r="D24" s="15"/>
      <c r="E24" s="88"/>
      <c r="F24" s="234">
        <f t="shared" si="6"/>
        <v>0</v>
      </c>
      <c r="G24" s="236"/>
      <c r="H24" s="15"/>
      <c r="I24" s="15"/>
      <c r="J24" s="88"/>
      <c r="K24" s="232">
        <f t="shared" si="7"/>
        <v>0</v>
      </c>
      <c r="L24" s="15"/>
      <c r="M24" s="15"/>
      <c r="N24" s="15"/>
      <c r="O24" s="15"/>
      <c r="P24" s="234">
        <f t="shared" si="8"/>
        <v>0</v>
      </c>
      <c r="Q24" s="97"/>
      <c r="T24" s="479" t="s">
        <v>447</v>
      </c>
      <c r="U24" s="479"/>
      <c r="V24" s="479"/>
      <c r="W24" s="97">
        <f>SUM($E$56:$M$56)</f>
        <v>0</v>
      </c>
      <c r="X24" s="22"/>
      <c r="Y24" s="22"/>
      <c r="Z24" s="22"/>
    </row>
    <row r="25" spans="1:66" s="117" customFormat="1" ht="12.75" customHeight="1" thickBot="1">
      <c r="A25" s="96" t="s">
        <v>284</v>
      </c>
      <c r="B25" s="83"/>
      <c r="C25" s="83"/>
      <c r="D25" s="83"/>
      <c r="E25" s="252"/>
      <c r="F25" s="234">
        <f>SUM(B25:E25)</f>
        <v>0</v>
      </c>
      <c r="G25" s="237"/>
      <c r="H25" s="83"/>
      <c r="I25" s="83"/>
      <c r="J25" s="252"/>
      <c r="K25" s="233">
        <f t="shared" si="7"/>
        <v>0</v>
      </c>
      <c r="L25" s="83"/>
      <c r="M25" s="83"/>
      <c r="N25" s="83"/>
      <c r="O25" s="86"/>
      <c r="P25" s="235">
        <f t="shared" si="8"/>
        <v>0</v>
      </c>
      <c r="Q25" s="97"/>
      <c r="T25" s="22"/>
      <c r="U25" s="22"/>
      <c r="V25" s="22"/>
      <c r="W25" s="97"/>
      <c r="X25" s="22"/>
      <c r="Y25" s="22"/>
      <c r="Z25" s="22"/>
    </row>
    <row r="26" spans="1:66" s="117" customFormat="1" ht="12.75" customHeight="1" thickBot="1">
      <c r="A26" s="6" t="s">
        <v>285</v>
      </c>
      <c r="B26" s="103">
        <f t="shared" ref="B26:P26" si="9">SUM(B20:B25)</f>
        <v>0</v>
      </c>
      <c r="C26" s="103">
        <f t="shared" si="9"/>
        <v>0</v>
      </c>
      <c r="D26" s="103">
        <f t="shared" si="9"/>
        <v>0</v>
      </c>
      <c r="E26" s="103">
        <f t="shared" si="9"/>
        <v>0</v>
      </c>
      <c r="F26" s="103">
        <f t="shared" si="9"/>
        <v>0</v>
      </c>
      <c r="G26" s="103">
        <f t="shared" si="9"/>
        <v>0</v>
      </c>
      <c r="H26" s="103">
        <f t="shared" si="9"/>
        <v>0</v>
      </c>
      <c r="I26" s="103">
        <f t="shared" si="9"/>
        <v>0</v>
      </c>
      <c r="J26" s="103">
        <f t="shared" si="9"/>
        <v>0</v>
      </c>
      <c r="K26" s="103">
        <f t="shared" si="9"/>
        <v>0</v>
      </c>
      <c r="L26" s="103">
        <f t="shared" si="9"/>
        <v>0</v>
      </c>
      <c r="M26" s="103">
        <f t="shared" si="9"/>
        <v>0</v>
      </c>
      <c r="N26" s="103">
        <f t="shared" si="9"/>
        <v>0</v>
      </c>
      <c r="O26" s="103">
        <f t="shared" si="9"/>
        <v>0</v>
      </c>
      <c r="P26" s="103">
        <f t="shared" si="9"/>
        <v>0</v>
      </c>
      <c r="Q26" s="22"/>
      <c r="T26" s="22" t="s">
        <v>385</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49"/>
      <c r="T28" s="22"/>
      <c r="U28" s="91"/>
      <c r="V28" s="91"/>
      <c r="W28" s="22"/>
      <c r="X28" s="22"/>
      <c r="Y28" s="22"/>
      <c r="Z28" s="22"/>
    </row>
    <row r="29" spans="1:66" s="117" customFormat="1" ht="12.75" customHeight="1" thickBot="1">
      <c r="A29" s="501" t="s">
        <v>550</v>
      </c>
      <c r="B29" s="502"/>
      <c r="C29" s="502"/>
      <c r="D29" s="502"/>
      <c r="E29" s="502"/>
      <c r="F29" s="502"/>
      <c r="G29" s="502"/>
      <c r="H29" s="502"/>
      <c r="I29" s="502"/>
      <c r="J29" s="502"/>
      <c r="K29" s="502"/>
      <c r="L29" s="503"/>
      <c r="M29" s="22"/>
      <c r="N29" s="39"/>
      <c r="O29" s="249"/>
      <c r="P29" s="249"/>
      <c r="Q29" s="249"/>
      <c r="T29" s="269" t="s">
        <v>448</v>
      </c>
      <c r="U29" s="249"/>
      <c r="V29" s="249"/>
      <c r="W29" s="249"/>
      <c r="X29" s="249"/>
      <c r="Y29" s="249"/>
      <c r="Z29" s="249"/>
    </row>
    <row r="30" spans="1:66" s="117" customFormat="1" ht="66.400000000000006" customHeight="1" thickBot="1">
      <c r="A30" s="115"/>
      <c r="B30" s="275" t="s">
        <v>330</v>
      </c>
      <c r="C30" s="130" t="s">
        <v>387</v>
      </c>
      <c r="D30" s="377" t="s">
        <v>388</v>
      </c>
      <c r="E30" s="377" t="s">
        <v>389</v>
      </c>
      <c r="F30" s="377" t="s">
        <v>390</v>
      </c>
      <c r="G30" s="130" t="s">
        <v>391</v>
      </c>
      <c r="H30" s="372" t="s">
        <v>392</v>
      </c>
      <c r="I30" s="377" t="s">
        <v>393</v>
      </c>
      <c r="J30" s="377" t="s">
        <v>394</v>
      </c>
      <c r="K30" s="377" t="s">
        <v>395</v>
      </c>
      <c r="L30" s="377" t="s">
        <v>396</v>
      </c>
      <c r="M30" s="22"/>
      <c r="N30" s="375" t="s">
        <v>397</v>
      </c>
      <c r="O30" s="22"/>
      <c r="P30" s="22"/>
      <c r="Q30" s="22"/>
      <c r="T30" s="499"/>
      <c r="U30" s="499"/>
      <c r="V30" s="499"/>
      <c r="W30" s="499"/>
      <c r="X30" s="499"/>
      <c r="Y30" s="499"/>
      <c r="Z30" s="499"/>
    </row>
    <row r="31" spans="1:66" s="117" customFormat="1" ht="15.4" customHeight="1">
      <c r="A31" s="272" t="s">
        <v>280</v>
      </c>
      <c r="B31" s="278">
        <f t="shared" ref="B31:B35" si="10">SUM(C31:G31)</f>
        <v>0</v>
      </c>
      <c r="C31" s="119"/>
      <c r="D31" s="378"/>
      <c r="E31" s="378"/>
      <c r="F31" s="378"/>
      <c r="G31" s="119"/>
      <c r="H31" s="119"/>
      <c r="I31" s="378"/>
      <c r="J31" s="378"/>
      <c r="K31" s="378"/>
      <c r="L31" s="378"/>
      <c r="M31" s="22"/>
      <c r="N31" s="97" t="s">
        <v>398</v>
      </c>
      <c r="O31" s="22"/>
      <c r="P31" s="22"/>
      <c r="Q31" s="22"/>
      <c r="T31" s="499"/>
      <c r="U31" s="499"/>
      <c r="V31" s="499"/>
      <c r="W31" s="499"/>
      <c r="X31" s="499"/>
      <c r="Y31" s="499"/>
      <c r="Z31" s="499"/>
    </row>
    <row r="32" spans="1:66" s="117" customFormat="1">
      <c r="A32" s="272" t="s">
        <v>281</v>
      </c>
      <c r="B32" s="278">
        <f t="shared" si="10"/>
        <v>0</v>
      </c>
      <c r="C32" s="119"/>
      <c r="D32" s="378"/>
      <c r="E32" s="378"/>
      <c r="F32" s="378"/>
      <c r="G32" s="119"/>
      <c r="H32" s="119"/>
      <c r="I32" s="378"/>
      <c r="J32" s="378"/>
      <c r="K32" s="378"/>
      <c r="L32" s="378"/>
      <c r="M32" s="22"/>
      <c r="N32" s="97" t="s">
        <v>399</v>
      </c>
      <c r="O32" s="22"/>
      <c r="P32" s="22"/>
      <c r="Q32" s="22"/>
      <c r="T32" s="22"/>
      <c r="U32" s="22"/>
      <c r="V32" s="22"/>
      <c r="W32" s="22"/>
      <c r="X32" s="22"/>
      <c r="Y32" s="22"/>
      <c r="Z32" s="22"/>
    </row>
    <row r="33" spans="1:26" s="117" customFormat="1" ht="12.75" customHeight="1">
      <c r="A33" s="272" t="s">
        <v>282</v>
      </c>
      <c r="B33" s="278">
        <f t="shared" si="10"/>
        <v>0</v>
      </c>
      <c r="C33" s="119"/>
      <c r="D33" s="378"/>
      <c r="E33" s="378"/>
      <c r="F33" s="378"/>
      <c r="G33" s="119"/>
      <c r="H33" s="119"/>
      <c r="I33" s="378"/>
      <c r="J33" s="378"/>
      <c r="K33" s="378"/>
      <c r="L33" s="378"/>
      <c r="M33" s="22"/>
      <c r="N33" s="97" t="s">
        <v>400</v>
      </c>
      <c r="O33" s="22"/>
      <c r="P33" s="22"/>
      <c r="Q33" s="22"/>
      <c r="T33" s="22"/>
      <c r="U33" s="22"/>
      <c r="V33" s="22"/>
      <c r="W33" s="22"/>
      <c r="X33" s="22"/>
      <c r="Y33" s="22"/>
      <c r="Z33" s="22"/>
    </row>
    <row r="34" spans="1:26" s="117" customFormat="1" ht="12.75" customHeight="1">
      <c r="A34" s="272" t="s">
        <v>283</v>
      </c>
      <c r="B34" s="278">
        <f t="shared" si="10"/>
        <v>0</v>
      </c>
      <c r="C34" s="119"/>
      <c r="D34" s="378"/>
      <c r="E34" s="378"/>
      <c r="F34" s="378"/>
      <c r="G34" s="119"/>
      <c r="H34" s="119"/>
      <c r="I34" s="378"/>
      <c r="J34" s="378"/>
      <c r="K34" s="378"/>
      <c r="L34" s="378"/>
      <c r="M34" s="22"/>
      <c r="N34" s="374"/>
      <c r="O34" s="97"/>
      <c r="P34" s="22"/>
      <c r="Q34" s="22"/>
      <c r="T34" s="33" t="s">
        <v>288</v>
      </c>
      <c r="U34" s="22"/>
      <c r="V34" s="22"/>
      <c r="W34" s="22"/>
      <c r="X34" s="22"/>
      <c r="Y34" s="22"/>
      <c r="Z34" s="22"/>
    </row>
    <row r="35" spans="1:26" s="117" customFormat="1" ht="12.75" customHeight="1" thickBot="1">
      <c r="A35" s="272" t="s">
        <v>284</v>
      </c>
      <c r="B35" s="279">
        <f t="shared" si="10"/>
        <v>0</v>
      </c>
      <c r="C35" s="119"/>
      <c r="D35" s="378"/>
      <c r="E35" s="378"/>
      <c r="F35" s="378"/>
      <c r="G35" s="119"/>
      <c r="H35" s="119"/>
      <c r="I35" s="378"/>
      <c r="J35" s="378"/>
      <c r="K35" s="378"/>
      <c r="L35" s="378"/>
      <c r="M35" s="22"/>
      <c r="N35" s="97" t="s">
        <v>401</v>
      </c>
      <c r="O35" s="97"/>
      <c r="P35" s="22"/>
      <c r="Q35" s="22"/>
      <c r="T35" s="451" t="s">
        <v>449</v>
      </c>
      <c r="U35" s="451"/>
      <c r="V35" s="451"/>
      <c r="W35" s="451"/>
      <c r="X35" s="451"/>
      <c r="Y35" s="22"/>
      <c r="Z35" s="22"/>
    </row>
    <row r="36" spans="1:26" s="117" customFormat="1" ht="12.75" customHeight="1" thickBot="1">
      <c r="A36" s="214" t="s">
        <v>285</v>
      </c>
      <c r="B36" s="103">
        <f t="shared" ref="B36:L36" si="11">SUM(B30:B35)</f>
        <v>0</v>
      </c>
      <c r="C36" s="103">
        <f t="shared" si="11"/>
        <v>0</v>
      </c>
      <c r="D36" s="379">
        <f t="shared" si="11"/>
        <v>0</v>
      </c>
      <c r="E36" s="379">
        <f t="shared" si="11"/>
        <v>0</v>
      </c>
      <c r="F36" s="379">
        <f t="shared" si="11"/>
        <v>0</v>
      </c>
      <c r="G36" s="103">
        <f t="shared" si="11"/>
        <v>0</v>
      </c>
      <c r="H36" s="103">
        <f t="shared" si="11"/>
        <v>0</v>
      </c>
      <c r="I36" s="379">
        <f t="shared" si="11"/>
        <v>0</v>
      </c>
      <c r="J36" s="379">
        <f t="shared" si="11"/>
        <v>0</v>
      </c>
      <c r="K36" s="379">
        <f t="shared" si="11"/>
        <v>0</v>
      </c>
      <c r="L36" s="379">
        <f t="shared" si="11"/>
        <v>0</v>
      </c>
      <c r="M36" s="22"/>
      <c r="N36" s="39"/>
      <c r="O36" s="22"/>
      <c r="P36" s="22"/>
      <c r="Q36" s="22"/>
      <c r="T36" s="451"/>
      <c r="U36" s="451"/>
      <c r="V36" s="451"/>
      <c r="W36" s="451"/>
      <c r="X36" s="451"/>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51"/>
      <c r="U37" s="451"/>
      <c r="V37" s="451"/>
      <c r="W37" s="451"/>
      <c r="X37" s="451"/>
      <c r="Y37" s="208"/>
      <c r="Z37" s="196"/>
    </row>
    <row r="38" spans="1:26" s="117" customFormat="1" ht="13.5" thickBot="1">
      <c r="A38" s="1"/>
      <c r="B38" s="1"/>
      <c r="C38" s="1"/>
      <c r="D38" s="1"/>
      <c r="E38" s="1"/>
      <c r="F38" s="1"/>
      <c r="G38" s="1"/>
      <c r="H38" s="1"/>
      <c r="I38" s="1"/>
      <c r="J38" s="1"/>
      <c r="K38" s="1"/>
      <c r="L38" s="1"/>
      <c r="M38" s="1"/>
      <c r="N38" s="1"/>
      <c r="O38" s="1"/>
      <c r="P38" s="1"/>
      <c r="Q38" s="1"/>
      <c r="R38" s="116"/>
      <c r="T38" s="499"/>
      <c r="U38" s="499"/>
      <c r="V38" s="499"/>
      <c r="W38" s="499"/>
      <c r="X38" s="499"/>
      <c r="Y38" s="202"/>
      <c r="Z38" s="196"/>
    </row>
    <row r="39" spans="1:26" s="117" customFormat="1" ht="13.5" thickBot="1">
      <c r="A39" s="501" t="s">
        <v>550</v>
      </c>
      <c r="B39" s="502"/>
      <c r="C39" s="502"/>
      <c r="D39" s="502"/>
      <c r="E39" s="502"/>
      <c r="F39" s="502"/>
      <c r="G39" s="502"/>
      <c r="H39" s="502"/>
      <c r="I39" s="502"/>
      <c r="J39" s="502"/>
      <c r="K39" s="502"/>
      <c r="L39" s="502"/>
      <c r="M39" s="502"/>
      <c r="N39" s="502"/>
      <c r="O39" s="503"/>
      <c r="P39" s="1"/>
      <c r="Q39" s="1"/>
      <c r="S39" s="114"/>
      <c r="T39" s="499"/>
      <c r="U39" s="499"/>
      <c r="V39" s="499"/>
      <c r="W39" s="499"/>
      <c r="X39" s="499"/>
      <c r="Y39" s="208"/>
      <c r="Z39" s="196"/>
    </row>
    <row r="40" spans="1:26" s="117" customFormat="1" ht="52.5"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328</v>
      </c>
      <c r="M40" s="377" t="s">
        <v>414</v>
      </c>
      <c r="N40" s="130" t="s">
        <v>415</v>
      </c>
      <c r="O40" s="276" t="s">
        <v>416</v>
      </c>
      <c r="P40" s="1"/>
      <c r="Q40" s="1"/>
      <c r="S40" s="116"/>
      <c r="T40" s="499"/>
      <c r="U40" s="499"/>
      <c r="V40" s="499"/>
      <c r="W40" s="499"/>
      <c r="X40" s="499"/>
      <c r="Y40" s="22"/>
      <c r="Z40" s="22"/>
    </row>
    <row r="41" spans="1:26" s="114" customFormat="1" ht="15.95" customHeight="1">
      <c r="A41" s="272" t="s">
        <v>280</v>
      </c>
      <c r="B41" s="278">
        <f t="shared" ref="B41:B45" si="12">SUM(C41:G41)</f>
        <v>0</v>
      </c>
      <c r="C41" s="378"/>
      <c r="D41" s="378"/>
      <c r="E41" s="378"/>
      <c r="F41" s="119"/>
      <c r="G41" s="119"/>
      <c r="H41" s="119"/>
      <c r="I41" s="378"/>
      <c r="J41" s="378"/>
      <c r="K41" s="378"/>
      <c r="L41" s="278">
        <f t="shared" ref="L41:L45" si="13">SUM(M41:N41)</f>
        <v>0</v>
      </c>
      <c r="M41" s="378"/>
      <c r="N41" s="119"/>
      <c r="O41" s="119"/>
      <c r="P41" s="22"/>
      <c r="Q41" s="22"/>
      <c r="R41" s="117"/>
      <c r="S41" s="117"/>
      <c r="T41" s="1"/>
      <c r="U41" s="365" t="s">
        <v>417</v>
      </c>
      <c r="V41" s="365" t="s">
        <v>418</v>
      </c>
      <c r="W41" s="197" t="s">
        <v>419</v>
      </c>
      <c r="X41" s="197" t="s">
        <v>420</v>
      </c>
      <c r="Y41" s="22"/>
      <c r="Z41" s="22"/>
    </row>
    <row r="42" spans="1:26" s="116" customFormat="1">
      <c r="A42" s="272" t="s">
        <v>281</v>
      </c>
      <c r="B42" s="278">
        <f t="shared" si="12"/>
        <v>0</v>
      </c>
      <c r="C42" s="378"/>
      <c r="D42" s="378"/>
      <c r="E42" s="378"/>
      <c r="F42" s="119"/>
      <c r="G42" s="119"/>
      <c r="H42" s="119"/>
      <c r="I42" s="378"/>
      <c r="J42" s="378"/>
      <c r="K42" s="378"/>
      <c r="L42" s="278">
        <f t="shared" si="13"/>
        <v>0</v>
      </c>
      <c r="M42" s="378"/>
      <c r="N42" s="119"/>
      <c r="O42" s="119"/>
      <c r="P42" s="22"/>
      <c r="Q42" s="22"/>
      <c r="R42" s="117"/>
      <c r="S42" s="117"/>
      <c r="T42" s="22" t="s">
        <v>285</v>
      </c>
      <c r="U42" s="97">
        <f>'HR4 PY'!U26</f>
        <v>0</v>
      </c>
      <c r="V42" s="97">
        <f>SUM($F$16+$K$16+$P$16+$U$16+$Z$16+$F$26+$K$26+$P$26)</f>
        <v>0</v>
      </c>
      <c r="W42" s="208">
        <f>V42-U42</f>
        <v>0</v>
      </c>
      <c r="X42" s="196" t="e">
        <f>(W42/U42)</f>
        <v>#DIV/0!</v>
      </c>
      <c r="Y42" s="22"/>
      <c r="Z42" s="22"/>
    </row>
    <row r="43" spans="1:26" s="117" customFormat="1" ht="12.75" customHeight="1">
      <c r="A43" s="272" t="s">
        <v>282</v>
      </c>
      <c r="B43" s="278">
        <f t="shared" si="12"/>
        <v>0</v>
      </c>
      <c r="C43" s="378"/>
      <c r="D43" s="378"/>
      <c r="E43" s="378"/>
      <c r="F43" s="119"/>
      <c r="G43" s="119"/>
      <c r="H43" s="119"/>
      <c r="I43" s="378"/>
      <c r="J43" s="378"/>
      <c r="K43" s="378"/>
      <c r="L43" s="278">
        <f t="shared" si="13"/>
        <v>0</v>
      </c>
      <c r="M43" s="378"/>
      <c r="N43" s="119"/>
      <c r="O43" s="119"/>
      <c r="P43" s="22"/>
      <c r="Q43" s="22"/>
      <c r="T43" s="22" t="s">
        <v>326</v>
      </c>
      <c r="U43" s="97">
        <f>'HR4 PY'!Q26</f>
        <v>0</v>
      </c>
      <c r="V43" s="97">
        <f>B16+G16+L16+Q16+V16+B26+G26+L26</f>
        <v>0</v>
      </c>
      <c r="W43" s="208">
        <f t="shared" ref="W43:W44" si="14">V43-U43</f>
        <v>0</v>
      </c>
      <c r="X43" s="196" t="e">
        <f t="shared" ref="X43:X44" si="15">(W43/U43)</f>
        <v>#DIV/0!</v>
      </c>
      <c r="Y43" s="363"/>
      <c r="Z43" s="363"/>
    </row>
    <row r="44" spans="1:26" s="117" customFormat="1">
      <c r="A44" s="272" t="s">
        <v>283</v>
      </c>
      <c r="B44" s="278">
        <f t="shared" si="12"/>
        <v>0</v>
      </c>
      <c r="C44" s="378"/>
      <c r="D44" s="378"/>
      <c r="E44" s="378"/>
      <c r="F44" s="119"/>
      <c r="G44" s="119"/>
      <c r="H44" s="119"/>
      <c r="I44" s="378"/>
      <c r="J44" s="378"/>
      <c r="K44" s="378"/>
      <c r="L44" s="278">
        <f t="shared" si="13"/>
        <v>0</v>
      </c>
      <c r="M44" s="378"/>
      <c r="N44" s="119"/>
      <c r="O44" s="119"/>
      <c r="P44" s="22"/>
      <c r="Q44" s="22"/>
      <c r="T44" s="91" t="s">
        <v>327</v>
      </c>
      <c r="U44" s="97">
        <f>'HR4 PY'!R26</f>
        <v>0</v>
      </c>
      <c r="V44" s="97">
        <f>C16+H16+M16+R16+W16+C26+H26+M26</f>
        <v>0</v>
      </c>
      <c r="W44" s="208">
        <f t="shared" si="14"/>
        <v>0</v>
      </c>
      <c r="X44" s="196" t="e">
        <f t="shared" si="15"/>
        <v>#DIV/0!</v>
      </c>
      <c r="Y44" s="363"/>
      <c r="Z44" s="363"/>
    </row>
    <row r="45" spans="1:26" s="117" customFormat="1" ht="15.6" customHeight="1" thickBot="1">
      <c r="A45" s="273" t="s">
        <v>284</v>
      </c>
      <c r="B45" s="279">
        <f t="shared" si="12"/>
        <v>0</v>
      </c>
      <c r="C45" s="378"/>
      <c r="D45" s="378"/>
      <c r="E45" s="378"/>
      <c r="F45" s="119"/>
      <c r="G45" s="119"/>
      <c r="H45" s="119"/>
      <c r="I45" s="378"/>
      <c r="J45" s="378"/>
      <c r="K45" s="378"/>
      <c r="L45" s="279">
        <f t="shared" si="13"/>
        <v>0</v>
      </c>
      <c r="M45" s="378"/>
      <c r="N45" s="119"/>
      <c r="O45" s="119"/>
      <c r="P45" s="22"/>
      <c r="Q45" s="22"/>
      <c r="R45" s="109"/>
      <c r="T45" s="363"/>
      <c r="U45" s="363"/>
      <c r="V45" s="363"/>
      <c r="W45" s="363"/>
      <c r="X45" s="363"/>
      <c r="Y45" s="363"/>
      <c r="Z45" s="363"/>
    </row>
    <row r="46" spans="1:26" s="117" customFormat="1" ht="15.6" customHeight="1" thickBot="1">
      <c r="A46" s="274" t="s">
        <v>285</v>
      </c>
      <c r="B46" s="103">
        <f t="shared" ref="B46:O46" si="16">SUM(B40:B45)</f>
        <v>0</v>
      </c>
      <c r="C46" s="379">
        <f t="shared" si="16"/>
        <v>0</v>
      </c>
      <c r="D46" s="379">
        <f t="shared" si="16"/>
        <v>0</v>
      </c>
      <c r="E46" s="379">
        <f t="shared" si="16"/>
        <v>0</v>
      </c>
      <c r="F46" s="103">
        <f t="shared" si="16"/>
        <v>0</v>
      </c>
      <c r="G46" s="103">
        <f t="shared" si="16"/>
        <v>0</v>
      </c>
      <c r="H46" s="103">
        <f t="shared" si="16"/>
        <v>0</v>
      </c>
      <c r="I46" s="379">
        <f t="shared" si="16"/>
        <v>0</v>
      </c>
      <c r="J46" s="379">
        <f t="shared" si="16"/>
        <v>0</v>
      </c>
      <c r="K46" s="379">
        <f t="shared" si="16"/>
        <v>0</v>
      </c>
      <c r="L46" s="103">
        <f t="shared" si="16"/>
        <v>0</v>
      </c>
      <c r="M46" s="379">
        <f t="shared" si="16"/>
        <v>0</v>
      </c>
      <c r="N46" s="103">
        <f t="shared" si="16"/>
        <v>0</v>
      </c>
      <c r="O46" s="103">
        <f t="shared" si="16"/>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87" t="s">
        <v>450</v>
      </c>
      <c r="B49" s="488"/>
      <c r="C49" s="488"/>
      <c r="D49" s="488"/>
      <c r="E49" s="501" t="s">
        <v>551</v>
      </c>
      <c r="F49" s="502"/>
      <c r="G49" s="502"/>
      <c r="H49" s="502"/>
      <c r="I49" s="502"/>
      <c r="J49" s="502"/>
      <c r="K49" s="502"/>
      <c r="L49" s="502"/>
      <c r="M49" s="503"/>
      <c r="N49" s="501" t="s">
        <v>451</v>
      </c>
      <c r="O49" s="502"/>
      <c r="P49" s="502"/>
      <c r="Q49" s="502"/>
      <c r="R49" s="503"/>
      <c r="S49" s="109"/>
      <c r="T49" s="102"/>
      <c r="U49" s="102"/>
      <c r="V49" s="102"/>
      <c r="W49" s="102"/>
      <c r="X49" s="102"/>
      <c r="Y49" s="102"/>
      <c r="Z49" s="102"/>
    </row>
    <row r="50" spans="1:26" s="117" customFormat="1" ht="40.15"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109"/>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22"/>
      <c r="U51" s="22"/>
      <c r="V51" s="22"/>
      <c r="W51" s="22"/>
      <c r="X51" s="22"/>
    </row>
    <row r="52" spans="1:26" s="109" customFormat="1" ht="14.25">
      <c r="A52" s="100" t="s">
        <v>281</v>
      </c>
      <c r="B52" s="81"/>
      <c r="C52" s="15"/>
      <c r="D52" s="88"/>
      <c r="E52" s="81"/>
      <c r="F52" s="15"/>
      <c r="G52" s="15"/>
      <c r="H52" s="15"/>
      <c r="I52" s="15"/>
      <c r="J52" s="15"/>
      <c r="K52" s="15"/>
      <c r="L52" s="15"/>
      <c r="M52" s="82"/>
      <c r="N52" s="236"/>
      <c r="O52" s="236"/>
      <c r="P52" s="15"/>
      <c r="Q52" s="82"/>
      <c r="R52" s="82"/>
      <c r="S52" s="91"/>
      <c r="T52" s="91"/>
      <c r="U52" s="91"/>
      <c r="V52" s="91"/>
      <c r="W52" s="91"/>
      <c r="X52" s="91"/>
    </row>
    <row r="53" spans="1:26" s="109" customFormat="1" ht="14.25">
      <c r="A53" s="100" t="s">
        <v>282</v>
      </c>
      <c r="B53" s="81"/>
      <c r="C53" s="15"/>
      <c r="D53" s="88"/>
      <c r="E53" s="81"/>
      <c r="F53" s="15"/>
      <c r="G53" s="15"/>
      <c r="H53" s="15"/>
      <c r="I53" s="15"/>
      <c r="J53" s="15"/>
      <c r="K53" s="15"/>
      <c r="L53" s="15"/>
      <c r="M53" s="82"/>
      <c r="N53" s="236"/>
      <c r="O53" s="236"/>
      <c r="P53" s="15"/>
      <c r="Q53" s="82"/>
      <c r="R53" s="82"/>
      <c r="S53" s="92"/>
      <c r="T53" s="92"/>
      <c r="U53" s="92"/>
      <c r="V53" s="92"/>
      <c r="W53" s="92"/>
      <c r="X53" s="92"/>
    </row>
    <row r="54" spans="1:26" s="109" customFormat="1" ht="14.65" customHeight="1">
      <c r="A54" s="100" t="s">
        <v>283</v>
      </c>
      <c r="B54" s="81"/>
      <c r="C54" s="15"/>
      <c r="D54" s="88"/>
      <c r="E54" s="81"/>
      <c r="F54" s="15"/>
      <c r="G54" s="15"/>
      <c r="H54" s="15"/>
      <c r="I54" s="15"/>
      <c r="J54" s="15"/>
      <c r="K54" s="15"/>
      <c r="L54" s="15"/>
      <c r="M54" s="82"/>
      <c r="N54" s="236"/>
      <c r="O54" s="236"/>
      <c r="P54" s="15"/>
      <c r="Q54" s="82"/>
      <c r="R54" s="82"/>
      <c r="S54" s="22"/>
      <c r="T54" s="22"/>
      <c r="U54" s="22"/>
      <c r="V54" s="22"/>
      <c r="W54" s="22"/>
      <c r="X54" s="22"/>
    </row>
    <row r="55" spans="1:26" s="109" customFormat="1" ht="19.149999999999999" customHeight="1" thickBot="1">
      <c r="A55" s="101" t="s">
        <v>284</v>
      </c>
      <c r="B55" s="85"/>
      <c r="C55" s="83"/>
      <c r="D55" s="89"/>
      <c r="E55" s="85"/>
      <c r="F55" s="83"/>
      <c r="G55" s="83"/>
      <c r="H55" s="83"/>
      <c r="I55" s="83"/>
      <c r="J55" s="83"/>
      <c r="K55" s="83"/>
      <c r="L55" s="83"/>
      <c r="M55" s="84"/>
      <c r="N55" s="237"/>
      <c r="O55" s="237"/>
      <c r="P55" s="83"/>
      <c r="Q55" s="84"/>
      <c r="R55" s="84"/>
      <c r="S55" s="22"/>
      <c r="T55" s="22"/>
      <c r="U55" s="22"/>
      <c r="V55" s="22"/>
      <c r="W55" s="22"/>
      <c r="X55" s="22"/>
    </row>
    <row r="56" spans="1:26" s="109" customFormat="1" ht="15" thickBot="1">
      <c r="A56" s="214" t="s">
        <v>285</v>
      </c>
      <c r="B56" s="103">
        <f t="shared" ref="B56:R56" si="17">SUM(B50:B55)</f>
        <v>0</v>
      </c>
      <c r="C56" s="103">
        <f t="shared" si="17"/>
        <v>0</v>
      </c>
      <c r="D56" s="103">
        <f t="shared" si="17"/>
        <v>0</v>
      </c>
      <c r="E56" s="103">
        <f t="shared" si="17"/>
        <v>0</v>
      </c>
      <c r="F56" s="103">
        <f t="shared" si="17"/>
        <v>0</v>
      </c>
      <c r="G56" s="103">
        <f t="shared" si="17"/>
        <v>0</v>
      </c>
      <c r="H56" s="103">
        <f t="shared" si="17"/>
        <v>0</v>
      </c>
      <c r="I56" s="103">
        <f t="shared" si="17"/>
        <v>0</v>
      </c>
      <c r="J56" s="103">
        <f t="shared" si="17"/>
        <v>0</v>
      </c>
      <c r="K56" s="103">
        <f t="shared" si="17"/>
        <v>0</v>
      </c>
      <c r="L56" s="103">
        <f t="shared" si="17"/>
        <v>0</v>
      </c>
      <c r="M56" s="103">
        <f t="shared" si="17"/>
        <v>0</v>
      </c>
      <c r="N56" s="103">
        <f t="shared" si="17"/>
        <v>0</v>
      </c>
      <c r="O56" s="103">
        <f t="shared" si="17"/>
        <v>0</v>
      </c>
      <c r="P56" s="103">
        <f t="shared" si="17"/>
        <v>0</v>
      </c>
      <c r="Q56" s="103">
        <f t="shared" si="17"/>
        <v>0</v>
      </c>
      <c r="R56" s="103">
        <f t="shared" si="17"/>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algorithmName="SHA-512" hashValue="ZGJ7FVY3Gl8hAPX0yOkfU+IlSyjQPZ/mgdkx70mGYdeO1u5EVuCLPg7W5FRApWfB+UIuZWzrroV2x1T9P86+WQ==" saltValue="4Pf8rlO3RcsveUWIsvqqnA==" spinCount="100000" sheet="1" objects="1" scenarios="1" selectLockedCells="1"/>
  <mergeCells count="24">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 ref="A8:Z8"/>
    <mergeCell ref="A49:D49"/>
    <mergeCell ref="E49:M49"/>
    <mergeCell ref="N49:R49"/>
    <mergeCell ref="T35:X37"/>
    <mergeCell ref="T38:X40"/>
    <mergeCell ref="A39:O39"/>
    <mergeCell ref="T30:Z31"/>
  </mergeCells>
  <conditionalFormatting sqref="W26">
    <cfRule type="containsText" dxfId="51" priority="1" operator="containsText" text="Yes">
      <formula>NOT(ISERROR(SEARCH("Yes",W26)))</formula>
    </cfRule>
    <cfRule type="containsText" dxfId="50" priority="3" operator="containsText" text="No">
      <formula>NOT(ISERROR(SEARCH("No",W26)))</formula>
    </cfRule>
  </conditionalFormatting>
  <conditionalFormatting sqref="W27">
    <cfRule type="containsText" dxfId="49" priority="16" operator="containsText" text="No">
      <formula>NOT(ISERROR(SEARCH("No",W27)))</formula>
    </cfRule>
    <cfRule type="containsText" dxfId="48" priority="17" operator="containsText" text="Yes">
      <formula>NOT(ISERROR(SEARCH("Yes",W27)))</formula>
    </cfRule>
    <cfRule type="duplicateValues" dxfId="47" priority="18"/>
  </conditionalFormatting>
  <dataValidations count="1">
    <dataValidation type="whole" allowBlank="1" showInputMessage="1" showErrorMessage="1" errorTitle="Error" error="Please enter a whole number greater than zero and less than 10,000." sqref="M41:O45 B11:AC15 B51:R55 C31:L35 B21:P25 C41:K4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election activeCell="N20" sqref="N20"/>
    </sheetView>
  </sheetViews>
  <sheetFormatPr defaultRowHeight="12.75"/>
  <cols>
    <col min="1" max="1" width="15.140625" bestFit="1" customWidth="1"/>
  </cols>
  <sheetData>
    <row r="4" spans="1:24">
      <c r="C4" s="333" t="s">
        <v>14</v>
      </c>
      <c r="D4" s="334">
        <f>VLOOKUP(Cover!A6,Cover!B319:D335,2,FALSE)</f>
        <v>2025</v>
      </c>
      <c r="E4" s="355" t="str">
        <f>Cover!A10</f>
        <v>Avon</v>
      </c>
    </row>
    <row r="10" spans="1:24">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4">
      <c r="A11" s="199" t="s">
        <v>285</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SUM(Q11:T11)</f>
        <v>0</v>
      </c>
    </row>
    <row r="12" spans="1:24">
      <c r="X12" s="199"/>
    </row>
    <row r="15" spans="1:24">
      <c r="B15" t="s">
        <v>314</v>
      </c>
      <c r="C15" t="s">
        <v>315</v>
      </c>
      <c r="D15" t="s">
        <v>316</v>
      </c>
      <c r="E15" t="s">
        <v>317</v>
      </c>
      <c r="F15" t="s">
        <v>285</v>
      </c>
      <c r="G15" t="s">
        <v>318</v>
      </c>
      <c r="H15" t="s">
        <v>319</v>
      </c>
      <c r="I15" t="s">
        <v>320</v>
      </c>
      <c r="J15" t="s">
        <v>321</v>
      </c>
      <c r="K15" t="s">
        <v>285</v>
      </c>
      <c r="L15" t="s">
        <v>322</v>
      </c>
      <c r="M15" t="s">
        <v>323</v>
      </c>
      <c r="N15" t="s">
        <v>324</v>
      </c>
      <c r="O15" t="s">
        <v>325</v>
      </c>
      <c r="P15" t="s">
        <v>285</v>
      </c>
      <c r="Q15" t="s">
        <v>326</v>
      </c>
      <c r="R15" t="s">
        <v>327</v>
      </c>
      <c r="S15" t="s">
        <v>328</v>
      </c>
      <c r="T15" t="s">
        <v>329</v>
      </c>
      <c r="U15" t="s">
        <v>285</v>
      </c>
    </row>
    <row r="16" spans="1:24">
      <c r="A16" s="199" t="s">
        <v>285</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56">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56">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56">
        <f>SUM(L16:O16)</f>
        <v>0</v>
      </c>
      <c r="Q16">
        <f>B11+G11+L11+Q11+B16+G16+L16</f>
        <v>0</v>
      </c>
      <c r="R16">
        <f>C11+H11+M11+R11+C16+H16+M16</f>
        <v>0</v>
      </c>
      <c r="S16">
        <f>D11+I11+N11+S11+D16+I16+N16</f>
        <v>0</v>
      </c>
      <c r="T16">
        <f>E11+J11+O11+T11+E16+J16+O16</f>
        <v>0</v>
      </c>
      <c r="U16" s="356">
        <f>F11+K11+P11+U11+F16+K16+P16</f>
        <v>0</v>
      </c>
    </row>
    <row r="20" spans="1:18">
      <c r="B20" t="s">
        <v>330</v>
      </c>
      <c r="C20" t="s">
        <v>331</v>
      </c>
      <c r="D20" t="s">
        <v>332</v>
      </c>
      <c r="E20" t="s">
        <v>333</v>
      </c>
      <c r="F20" t="s">
        <v>334</v>
      </c>
      <c r="G20" t="s">
        <v>335</v>
      </c>
      <c r="H20" t="s">
        <v>336</v>
      </c>
      <c r="I20" t="s">
        <v>337</v>
      </c>
      <c r="J20" t="s">
        <v>338</v>
      </c>
      <c r="K20" t="s">
        <v>339</v>
      </c>
      <c r="L20" t="s">
        <v>221</v>
      </c>
      <c r="M20" s="199"/>
    </row>
    <row r="21" spans="1:18">
      <c r="A21" s="199" t="s">
        <v>285</v>
      </c>
      <c r="B21">
        <f>C21+G21</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340</v>
      </c>
      <c r="C25" t="s">
        <v>341</v>
      </c>
      <c r="D25" t="s">
        <v>342</v>
      </c>
      <c r="E25" t="s">
        <v>343</v>
      </c>
      <c r="F25" t="s">
        <v>226</v>
      </c>
      <c r="G25" t="s">
        <v>344</v>
      </c>
      <c r="H25" t="s">
        <v>345</v>
      </c>
      <c r="I25" t="s">
        <v>346</v>
      </c>
      <c r="J25" t="s">
        <v>347</v>
      </c>
      <c r="K25" t="s">
        <v>348</v>
      </c>
      <c r="L25" t="s">
        <v>349</v>
      </c>
      <c r="M25" t="s">
        <v>350</v>
      </c>
      <c r="N25" t="s">
        <v>234</v>
      </c>
      <c r="O25" t="s">
        <v>351</v>
      </c>
    </row>
    <row r="26" spans="1:18">
      <c r="A26" t="s">
        <v>285</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352</v>
      </c>
      <c r="C30" t="s">
        <v>353</v>
      </c>
      <c r="D30" t="s">
        <v>354</v>
      </c>
      <c r="E30" t="s">
        <v>355</v>
      </c>
      <c r="F30" t="s">
        <v>356</v>
      </c>
      <c r="G30" s="199" t="s">
        <v>357</v>
      </c>
      <c r="H30" t="s">
        <v>358</v>
      </c>
      <c r="I30" t="s">
        <v>359</v>
      </c>
      <c r="J30" t="s">
        <v>360</v>
      </c>
      <c r="K30" t="s">
        <v>361</v>
      </c>
      <c r="L30" t="s">
        <v>362</v>
      </c>
      <c r="M30" t="s">
        <v>363</v>
      </c>
      <c r="N30" t="s">
        <v>364</v>
      </c>
      <c r="O30" t="s">
        <v>365</v>
      </c>
      <c r="P30" t="s">
        <v>366</v>
      </c>
      <c r="Q30" s="199" t="s">
        <v>367</v>
      </c>
      <c r="R30" t="s">
        <v>368</v>
      </c>
    </row>
    <row r="31" spans="1:18">
      <c r="A31" t="s">
        <v>285</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topLeftCell="E6" zoomScale="80" zoomScaleNormal="80" zoomScaleSheetLayoutView="85" workbookViewId="0">
      <selection activeCell="S30" sqref="S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514" t="s">
        <v>452</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66"/>
      <c r="B8" s="509" t="s">
        <v>552</v>
      </c>
      <c r="C8" s="510"/>
      <c r="D8" s="510"/>
      <c r="E8" s="510"/>
      <c r="F8" s="510"/>
      <c r="G8" s="510"/>
      <c r="H8" s="510"/>
      <c r="I8" s="510"/>
      <c r="J8" s="510"/>
      <c r="K8" s="510"/>
      <c r="L8" s="510"/>
      <c r="M8" s="510"/>
      <c r="N8" s="510"/>
      <c r="O8" s="510"/>
      <c r="P8" s="510"/>
      <c r="Q8" s="510"/>
      <c r="R8" s="510"/>
      <c r="S8" s="510"/>
      <c r="T8" s="510"/>
      <c r="U8" s="510"/>
      <c r="V8" s="510"/>
      <c r="W8" s="510"/>
      <c r="X8" s="510"/>
      <c r="Y8" s="510"/>
      <c r="Z8" s="511"/>
    </row>
    <row r="9" spans="1:72" s="116" customFormat="1" ht="30.6" customHeight="1" thickBot="1">
      <c r="A9" s="115"/>
      <c r="B9" s="506" t="s">
        <v>442</v>
      </c>
      <c r="C9" s="507"/>
      <c r="D9" s="507"/>
      <c r="E9" s="507"/>
      <c r="F9" s="508"/>
      <c r="G9" s="506" t="s">
        <v>371</v>
      </c>
      <c r="H9" s="507"/>
      <c r="I9" s="507"/>
      <c r="J9" s="507"/>
      <c r="K9" s="508"/>
      <c r="L9" s="506" t="s">
        <v>372</v>
      </c>
      <c r="M9" s="507"/>
      <c r="N9" s="507"/>
      <c r="O9" s="507"/>
      <c r="P9" s="508"/>
      <c r="Q9" s="506" t="s">
        <v>373</v>
      </c>
      <c r="R9" s="507"/>
      <c r="S9" s="507"/>
      <c r="T9" s="507"/>
      <c r="U9" s="508"/>
      <c r="V9" s="506" t="s">
        <v>374</v>
      </c>
      <c r="W9" s="507"/>
      <c r="X9" s="507"/>
      <c r="Y9" s="507"/>
      <c r="Z9" s="508"/>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285</v>
      </c>
      <c r="B11" s="392"/>
      <c r="C11" s="392"/>
      <c r="D11" s="392"/>
      <c r="E11" s="392"/>
      <c r="F11" s="103">
        <f>SUM(B11:E11)</f>
        <v>0</v>
      </c>
      <c r="G11" s="392"/>
      <c r="H11" s="392"/>
      <c r="I11" s="392"/>
      <c r="J11" s="392"/>
      <c r="K11" s="244">
        <f>SUM(G11:J11)</f>
        <v>0</v>
      </c>
      <c r="L11" s="392"/>
      <c r="M11" s="392"/>
      <c r="N11" s="392"/>
      <c r="O11" s="392"/>
      <c r="P11" s="244">
        <f>SUM(L11:O11)</f>
        <v>0</v>
      </c>
      <c r="Q11" s="392"/>
      <c r="R11" s="392"/>
      <c r="S11" s="392"/>
      <c r="T11" s="392"/>
      <c r="U11" s="244">
        <f>SUM(Q11:T11)</f>
        <v>0</v>
      </c>
      <c r="V11" s="392"/>
      <c r="W11" s="392"/>
      <c r="X11" s="392"/>
      <c r="Y11" s="392"/>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506" t="s">
        <v>376</v>
      </c>
      <c r="C14" s="507"/>
      <c r="D14" s="507"/>
      <c r="E14" s="507"/>
      <c r="F14" s="508"/>
      <c r="G14" s="506" t="s">
        <v>377</v>
      </c>
      <c r="H14" s="507"/>
      <c r="I14" s="507"/>
      <c r="J14" s="507"/>
      <c r="K14" s="508"/>
      <c r="L14" s="506" t="s">
        <v>378</v>
      </c>
      <c r="M14" s="507"/>
      <c r="N14" s="507"/>
      <c r="O14" s="507"/>
      <c r="P14" s="508"/>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326</v>
      </c>
      <c r="C15" s="134" t="s">
        <v>327</v>
      </c>
      <c r="D15" s="134" t="s">
        <v>328</v>
      </c>
      <c r="E15" s="134" t="s">
        <v>329</v>
      </c>
      <c r="F15" s="135" t="s">
        <v>285</v>
      </c>
      <c r="G15" s="134" t="s">
        <v>326</v>
      </c>
      <c r="H15" s="134" t="s">
        <v>327</v>
      </c>
      <c r="I15" s="134" t="s">
        <v>328</v>
      </c>
      <c r="J15" s="134" t="s">
        <v>329</v>
      </c>
      <c r="K15" s="135" t="s">
        <v>285</v>
      </c>
      <c r="L15" s="134" t="s">
        <v>326</v>
      </c>
      <c r="M15" s="134" t="s">
        <v>327</v>
      </c>
      <c r="N15" s="134" t="s">
        <v>328</v>
      </c>
      <c r="O15" s="134" t="s">
        <v>329</v>
      </c>
      <c r="P15" s="135" t="s">
        <v>285</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285</v>
      </c>
      <c r="B16" s="392"/>
      <c r="C16" s="392"/>
      <c r="D16" s="392"/>
      <c r="E16" s="392"/>
      <c r="F16" s="244">
        <f>SUM(B16:E16)</f>
        <v>0</v>
      </c>
      <c r="G16" s="392"/>
      <c r="H16" s="392"/>
      <c r="I16" s="392"/>
      <c r="J16" s="392"/>
      <c r="K16" s="103">
        <f>SUM(G16:J16)</f>
        <v>0</v>
      </c>
      <c r="L16" s="392"/>
      <c r="M16" s="392"/>
      <c r="N16" s="392"/>
      <c r="O16" s="392"/>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501" t="s">
        <v>553</v>
      </c>
      <c r="C19" s="502"/>
      <c r="D19" s="502"/>
      <c r="E19" s="502"/>
      <c r="F19" s="502"/>
      <c r="G19" s="502"/>
      <c r="H19" s="502"/>
      <c r="I19" s="502"/>
      <c r="J19" s="502"/>
      <c r="K19" s="502"/>
      <c r="L19" s="503"/>
      <c r="M19" s="290"/>
      <c r="N19" s="280"/>
      <c r="O19" s="281"/>
      <c r="P19" s="281"/>
      <c r="Q19" s="375" t="s">
        <v>397</v>
      </c>
      <c r="S19" s="203"/>
      <c r="T19" s="203"/>
      <c r="U19" s="203"/>
      <c r="V19" s="203"/>
      <c r="W19" s="203"/>
      <c r="X19" s="203"/>
      <c r="Y19" s="203"/>
      <c r="Z19" s="203"/>
      <c r="AA19" s="203"/>
      <c r="AB19" s="203"/>
      <c r="AC19" s="284"/>
      <c r="AD19" s="284"/>
      <c r="AE19" s="284"/>
      <c r="AF19" s="1"/>
      <c r="AG19" s="1"/>
      <c r="AH19" s="1"/>
      <c r="AI19" s="1"/>
      <c r="AJ19" s="1"/>
      <c r="AK19" s="1"/>
      <c r="AL19" s="1"/>
      <c r="AM19" s="1"/>
    </row>
    <row r="20" spans="1:39" s="117" customFormat="1" ht="69.400000000000006" customHeight="1" thickBot="1">
      <c r="A20" s="115"/>
      <c r="B20" s="275" t="s">
        <v>330</v>
      </c>
      <c r="C20" s="130" t="s">
        <v>387</v>
      </c>
      <c r="D20" s="377" t="s">
        <v>388</v>
      </c>
      <c r="E20" s="377" t="s">
        <v>389</v>
      </c>
      <c r="F20" s="377" t="s">
        <v>390</v>
      </c>
      <c r="G20" s="130" t="s">
        <v>391</v>
      </c>
      <c r="H20" s="372" t="s">
        <v>392</v>
      </c>
      <c r="I20" s="377" t="s">
        <v>393</v>
      </c>
      <c r="J20" s="377" t="s">
        <v>394</v>
      </c>
      <c r="K20" s="377" t="s">
        <v>395</v>
      </c>
      <c r="L20" s="377" t="s">
        <v>396</v>
      </c>
      <c r="M20" s="291"/>
      <c r="N20" s="280"/>
      <c r="O20" s="281"/>
      <c r="P20" s="281"/>
      <c r="Q20" s="364" t="s">
        <v>398</v>
      </c>
      <c r="S20" s="201"/>
      <c r="T20" s="201"/>
      <c r="U20" s="201"/>
      <c r="V20" s="526"/>
      <c r="W20" s="526"/>
      <c r="X20" s="526"/>
      <c r="Y20" s="526"/>
      <c r="Z20" s="526"/>
      <c r="AA20" s="526"/>
      <c r="AB20" s="526"/>
      <c r="AC20" s="526"/>
      <c r="AD20" s="526"/>
      <c r="AE20" s="526"/>
    </row>
    <row r="21" spans="1:39" s="117" customFormat="1" ht="18.399999999999999" customHeight="1" thickBot="1">
      <c r="A21" s="122" t="s">
        <v>285</v>
      </c>
      <c r="B21" s="244">
        <f>SUM(C21:G21)</f>
        <v>0</v>
      </c>
      <c r="C21" s="392"/>
      <c r="D21" s="382"/>
      <c r="E21" s="382"/>
      <c r="F21" s="382"/>
      <c r="G21" s="392"/>
      <c r="H21" s="392"/>
      <c r="I21" s="383"/>
      <c r="J21" s="382"/>
      <c r="K21" s="382"/>
      <c r="L21" s="382"/>
      <c r="M21" s="292"/>
      <c r="N21" s="280"/>
      <c r="O21" s="281"/>
      <c r="P21" s="281"/>
      <c r="Q21" s="97" t="s">
        <v>399</v>
      </c>
      <c r="S21" s="285"/>
      <c r="T21" s="285"/>
      <c r="U21" s="286"/>
      <c r="V21" s="285"/>
      <c r="W21" s="285"/>
      <c r="X21" s="285"/>
      <c r="Y21" s="285"/>
      <c r="Z21" s="286"/>
      <c r="AA21" s="285"/>
      <c r="AB21" s="285"/>
      <c r="AC21" s="285"/>
      <c r="AD21" s="285"/>
      <c r="AE21" s="286"/>
    </row>
    <row r="22" spans="1:39" s="117" customFormat="1" ht="12.75" customHeight="1">
      <c r="A22" s="293"/>
      <c r="B22" s="288"/>
      <c r="C22" s="288"/>
      <c r="D22" s="288"/>
      <c r="E22" s="288"/>
      <c r="F22" s="288"/>
      <c r="G22" s="288"/>
      <c r="H22" s="288"/>
      <c r="I22" s="288"/>
      <c r="J22" s="288"/>
      <c r="K22" s="288"/>
      <c r="L22" s="288"/>
      <c r="M22" s="288"/>
      <c r="N22" s="280"/>
      <c r="O22" s="281"/>
      <c r="P22" s="281"/>
      <c r="Q22" s="97" t="s">
        <v>400</v>
      </c>
      <c r="S22" s="282"/>
      <c r="T22" s="282"/>
      <c r="U22" s="283"/>
      <c r="V22" s="282"/>
      <c r="W22" s="282"/>
      <c r="X22" s="282"/>
      <c r="Y22" s="282"/>
      <c r="Z22" s="283"/>
      <c r="AA22" s="282"/>
      <c r="AB22" s="282"/>
      <c r="AC22" s="282"/>
      <c r="AD22" s="282"/>
      <c r="AE22" s="283"/>
    </row>
    <row r="23" spans="1:39" s="117" customFormat="1" ht="13.5" customHeight="1" thickBot="1">
      <c r="A23" s="125"/>
      <c r="B23" s="126"/>
      <c r="C23" s="126"/>
      <c r="D23" s="126"/>
      <c r="E23" s="126"/>
      <c r="F23" s="126"/>
      <c r="G23" s="126"/>
      <c r="H23" s="128"/>
      <c r="I23" s="128"/>
      <c r="J23" s="128"/>
      <c r="K23" s="128"/>
      <c r="L23" s="128"/>
      <c r="M23" s="128"/>
      <c r="N23" s="287"/>
      <c r="O23" s="250"/>
      <c r="P23" s="281"/>
      <c r="Q23" s="374"/>
      <c r="S23" s="288"/>
      <c r="T23" s="288"/>
      <c r="U23" s="283"/>
      <c r="V23" s="288"/>
      <c r="W23" s="288"/>
      <c r="X23" s="288"/>
      <c r="Y23" s="288"/>
      <c r="Z23" s="283"/>
      <c r="AA23" s="288"/>
      <c r="AB23" s="288"/>
      <c r="AC23" s="288"/>
      <c r="AD23" s="288"/>
      <c r="AE23" s="283"/>
    </row>
    <row r="24" spans="1:39" s="117" customFormat="1" ht="13.5" customHeight="1" thickBot="1">
      <c r="A24" s="125"/>
      <c r="B24" s="501" t="s">
        <v>553</v>
      </c>
      <c r="C24" s="502"/>
      <c r="D24" s="502"/>
      <c r="E24" s="502"/>
      <c r="F24" s="502"/>
      <c r="G24" s="502"/>
      <c r="H24" s="502"/>
      <c r="I24" s="502"/>
      <c r="J24" s="502"/>
      <c r="K24" s="502"/>
      <c r="L24" s="502"/>
      <c r="M24" s="502"/>
      <c r="N24" s="502"/>
      <c r="O24" s="503"/>
      <c r="P24" s="281"/>
      <c r="Q24" s="97" t="s">
        <v>401</v>
      </c>
      <c r="S24" s="288"/>
      <c r="T24" s="288"/>
      <c r="U24" s="283"/>
      <c r="V24" s="288"/>
      <c r="W24" s="288"/>
      <c r="X24" s="288"/>
      <c r="Y24" s="288"/>
      <c r="Z24" s="283"/>
      <c r="AA24" s="288"/>
      <c r="AB24" s="288"/>
      <c r="AC24" s="288"/>
      <c r="AD24" s="288"/>
      <c r="AE24" s="283"/>
    </row>
    <row r="25" spans="1:39" s="117" customFormat="1" ht="63.4" customHeight="1" thickBot="1">
      <c r="A25" s="115"/>
      <c r="B25" s="276" t="s">
        <v>433</v>
      </c>
      <c r="C25" s="380" t="s">
        <v>404</v>
      </c>
      <c r="D25" s="380" t="s">
        <v>405</v>
      </c>
      <c r="E25" s="380" t="s">
        <v>406</v>
      </c>
      <c r="F25" s="130" t="s">
        <v>407</v>
      </c>
      <c r="G25" s="130" t="s">
        <v>408</v>
      </c>
      <c r="H25" s="373" t="s">
        <v>409</v>
      </c>
      <c r="I25" s="377" t="s">
        <v>410</v>
      </c>
      <c r="J25" s="377" t="s">
        <v>411</v>
      </c>
      <c r="K25" s="377" t="s">
        <v>412</v>
      </c>
      <c r="L25" s="276" t="s">
        <v>328</v>
      </c>
      <c r="M25" s="377" t="s">
        <v>414</v>
      </c>
      <c r="N25" s="130" t="s">
        <v>415</v>
      </c>
      <c r="O25" s="276" t="s">
        <v>416</v>
      </c>
      <c r="P25" s="281"/>
      <c r="Q25" s="288"/>
      <c r="R25" s="288"/>
      <c r="S25" s="288"/>
      <c r="T25" s="288"/>
      <c r="U25" s="283"/>
      <c r="V25" s="288"/>
      <c r="W25" s="288"/>
      <c r="X25" s="288"/>
      <c r="Y25" s="288"/>
      <c r="Z25" s="283"/>
      <c r="AA25" s="288"/>
      <c r="AB25" s="288"/>
      <c r="AC25" s="288"/>
      <c r="AD25" s="288"/>
      <c r="AE25" s="283"/>
    </row>
    <row r="26" spans="1:39" s="117" customFormat="1" ht="13.5" thickBot="1">
      <c r="A26" s="122" t="s">
        <v>285</v>
      </c>
      <c r="B26" s="103">
        <f>SUM(C26:G26)</f>
        <v>0</v>
      </c>
      <c r="C26" s="382"/>
      <c r="D26" s="382"/>
      <c r="E26" s="382"/>
      <c r="F26" s="392"/>
      <c r="G26" s="392"/>
      <c r="H26" s="392"/>
      <c r="I26" s="378"/>
      <c r="J26" s="378"/>
      <c r="K26" s="378"/>
      <c r="L26" s="103">
        <f>SUM(M26:N26)</f>
        <v>0</v>
      </c>
      <c r="M26" s="382"/>
      <c r="N26" s="392"/>
      <c r="O26" s="392"/>
      <c r="P26" s="281"/>
      <c r="Q26" s="288"/>
      <c r="R26" s="288"/>
      <c r="S26" s="288"/>
      <c r="T26" s="288"/>
      <c r="U26" s="283"/>
      <c r="V26" s="288"/>
      <c r="W26" s="288"/>
      <c r="X26" s="288"/>
      <c r="Y26" s="288"/>
      <c r="Z26" s="283"/>
      <c r="AA26" s="288"/>
      <c r="AB26" s="288"/>
      <c r="AC26" s="288"/>
      <c r="AD26" s="288"/>
      <c r="AE26" s="283"/>
    </row>
    <row r="27" spans="1:39" s="117" customFormat="1">
      <c r="A27" s="125"/>
      <c r="B27" s="270"/>
      <c r="C27" s="270"/>
      <c r="D27" s="270"/>
      <c r="E27" s="270"/>
      <c r="F27" s="270"/>
      <c r="G27" s="270"/>
      <c r="H27" s="270"/>
      <c r="I27" s="270"/>
      <c r="J27" s="270"/>
      <c r="K27" s="270"/>
      <c r="L27" s="270"/>
      <c r="M27" s="270"/>
      <c r="N27" s="287"/>
      <c r="O27" s="250"/>
      <c r="P27" s="281"/>
      <c r="Q27" s="288"/>
      <c r="R27" s="288"/>
      <c r="S27" s="288"/>
      <c r="T27" s="288"/>
      <c r="U27" s="283"/>
      <c r="V27" s="288"/>
      <c r="W27" s="288"/>
      <c r="X27" s="288"/>
      <c r="Y27" s="288"/>
      <c r="Z27" s="283"/>
      <c r="AA27" s="288"/>
      <c r="AB27" s="288"/>
      <c r="AC27" s="288"/>
      <c r="AD27" s="288"/>
      <c r="AE27" s="283"/>
    </row>
    <row r="28" spans="1:39" s="117" customFormat="1" ht="12.75" customHeight="1" thickBot="1">
      <c r="A28" s="125"/>
      <c r="B28" s="129"/>
      <c r="C28" s="129"/>
      <c r="D28" s="129"/>
      <c r="E28" s="129"/>
      <c r="F28" s="129"/>
      <c r="G28" s="129"/>
      <c r="H28" s="129"/>
      <c r="I28" s="129"/>
      <c r="J28" s="129"/>
      <c r="K28" s="129"/>
      <c r="L28" s="129"/>
      <c r="M28" s="129"/>
      <c r="N28" s="287"/>
      <c r="O28" s="250"/>
      <c r="P28" s="281"/>
      <c r="Q28" s="288"/>
      <c r="R28" s="288"/>
      <c r="S28" s="288"/>
      <c r="T28" s="288"/>
      <c r="U28" s="283"/>
      <c r="V28" s="288"/>
      <c r="W28" s="288"/>
      <c r="X28" s="288"/>
      <c r="Y28" s="288"/>
      <c r="Z28" s="283"/>
      <c r="AA28" s="288"/>
      <c r="AB28" s="288"/>
      <c r="AC28" s="288"/>
      <c r="AD28" s="288"/>
      <c r="AE28" s="283"/>
    </row>
    <row r="29" spans="1:39" s="114" customFormat="1" ht="15.95" customHeight="1" thickBot="1">
      <c r="A29" s="125"/>
      <c r="B29" s="487" t="s">
        <v>555</v>
      </c>
      <c r="C29" s="488"/>
      <c r="D29" s="489"/>
      <c r="E29" s="501" t="s">
        <v>554</v>
      </c>
      <c r="F29" s="502"/>
      <c r="G29" s="502"/>
      <c r="H29" s="502"/>
      <c r="I29" s="502"/>
      <c r="J29" s="502"/>
      <c r="K29" s="502"/>
      <c r="L29" s="502"/>
      <c r="M29" s="503"/>
      <c r="N29" s="501" t="s">
        <v>556</v>
      </c>
      <c r="O29" s="502"/>
      <c r="P29" s="502"/>
      <c r="Q29" s="502"/>
      <c r="R29" s="503"/>
      <c r="S29" s="288"/>
      <c r="T29" s="288"/>
      <c r="U29" s="283"/>
      <c r="V29" s="288"/>
      <c r="W29" s="288"/>
      <c r="X29" s="288"/>
      <c r="Y29" s="288"/>
      <c r="Z29" s="283"/>
      <c r="AA29" s="288"/>
      <c r="AB29" s="288"/>
      <c r="AC29" s="288"/>
      <c r="AD29" s="288"/>
      <c r="AE29" s="283"/>
    </row>
    <row r="30" spans="1:39" s="116" customFormat="1" ht="26.25" thickBot="1">
      <c r="A30" s="98"/>
      <c r="B30" s="316" t="s">
        <v>352</v>
      </c>
      <c r="C30" s="317" t="s">
        <v>353</v>
      </c>
      <c r="D30" s="318" t="s">
        <v>354</v>
      </c>
      <c r="E30" s="316" t="s">
        <v>355</v>
      </c>
      <c r="F30" s="317" t="s">
        <v>356</v>
      </c>
      <c r="G30" s="317" t="s">
        <v>357</v>
      </c>
      <c r="H30" s="317" t="s">
        <v>358</v>
      </c>
      <c r="I30" s="317" t="s">
        <v>359</v>
      </c>
      <c r="J30" s="317" t="s">
        <v>360</v>
      </c>
      <c r="K30" s="317" t="s">
        <v>328</v>
      </c>
      <c r="L30" s="317" t="s">
        <v>422</v>
      </c>
      <c r="M30" s="318" t="s">
        <v>363</v>
      </c>
      <c r="N30" s="316" t="s">
        <v>364</v>
      </c>
      <c r="O30" s="317" t="s">
        <v>423</v>
      </c>
      <c r="P30" s="317" t="s">
        <v>366</v>
      </c>
      <c r="Q30" s="317" t="s">
        <v>328</v>
      </c>
      <c r="R30" s="318" t="s">
        <v>424</v>
      </c>
      <c r="S30" s="288"/>
      <c r="T30" s="288"/>
      <c r="U30" s="283"/>
      <c r="V30" s="288"/>
      <c r="W30" s="288"/>
      <c r="X30" s="288"/>
      <c r="Y30" s="288"/>
      <c r="Z30" s="283"/>
      <c r="AA30" s="288"/>
      <c r="AB30" s="288"/>
      <c r="AC30" s="288"/>
      <c r="AD30" s="288"/>
      <c r="AE30" s="283"/>
    </row>
    <row r="31" spans="1:39" s="117" customFormat="1" ht="13.15" customHeight="1" thickBot="1">
      <c r="A31" s="122" t="s">
        <v>285</v>
      </c>
      <c r="B31" s="392"/>
      <c r="C31" s="392"/>
      <c r="D31" s="392"/>
      <c r="E31" s="392"/>
      <c r="F31" s="392"/>
      <c r="G31" s="392"/>
      <c r="H31" s="392"/>
      <c r="I31" s="392"/>
      <c r="J31" s="392"/>
      <c r="K31" s="392"/>
      <c r="L31" s="392"/>
      <c r="M31" s="392"/>
      <c r="N31" s="392"/>
      <c r="O31" s="392"/>
      <c r="P31" s="392"/>
      <c r="Q31" s="392"/>
      <c r="R31" s="392"/>
      <c r="S31" s="288"/>
      <c r="T31" s="288"/>
      <c r="U31" s="283"/>
      <c r="V31" s="288"/>
      <c r="W31" s="288"/>
      <c r="X31" s="288"/>
      <c r="Y31" s="288"/>
      <c r="Z31" s="283"/>
      <c r="AA31" s="288"/>
      <c r="AB31" s="288"/>
      <c r="AC31" s="288"/>
      <c r="AD31" s="288"/>
      <c r="AE31" s="283"/>
    </row>
    <row r="32" spans="1:39" s="117" customFormat="1">
      <c r="A32" s="125"/>
      <c r="B32" s="126"/>
      <c r="C32" s="126"/>
      <c r="D32" s="126"/>
      <c r="E32" s="126"/>
      <c r="F32" s="126"/>
      <c r="G32" s="126"/>
      <c r="H32" s="128"/>
      <c r="I32" s="128"/>
      <c r="J32" s="128"/>
      <c r="K32" s="128"/>
      <c r="L32" s="128"/>
      <c r="M32" s="128"/>
      <c r="N32" s="128"/>
      <c r="O32" s="281"/>
      <c r="P32" s="281"/>
      <c r="Q32" s="283"/>
      <c r="R32" s="283"/>
      <c r="S32" s="283"/>
      <c r="T32" s="283"/>
      <c r="U32" s="289"/>
      <c r="V32" s="283"/>
      <c r="W32" s="283"/>
      <c r="X32" s="283"/>
      <c r="Y32" s="283"/>
      <c r="Z32" s="289"/>
      <c r="AA32" s="283"/>
      <c r="AB32" s="283"/>
      <c r="AC32" s="283"/>
      <c r="AD32" s="283"/>
      <c r="AE32" s="289"/>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379</v>
      </c>
      <c r="C35" s="22"/>
      <c r="D35" s="22"/>
      <c r="E35" s="92"/>
      <c r="F35" s="113"/>
      <c r="G35" s="1"/>
      <c r="H35" s="365" t="s">
        <v>417</v>
      </c>
      <c r="I35" s="365" t="s">
        <v>418</v>
      </c>
      <c r="J35" s="197" t="s">
        <v>419</v>
      </c>
      <c r="K35" s="197" t="s">
        <v>420</v>
      </c>
      <c r="L35" s="116"/>
      <c r="M35" s="116"/>
      <c r="N35" s="113"/>
      <c r="O35" s="528"/>
      <c r="P35" s="528"/>
      <c r="Q35" s="528"/>
      <c r="R35" s="528"/>
      <c r="S35" s="528"/>
      <c r="T35" s="528"/>
      <c r="U35" s="528"/>
      <c r="V35" s="528"/>
      <c r="W35" s="528"/>
      <c r="X35" s="528"/>
      <c r="Y35" s="528"/>
      <c r="Z35" s="528"/>
      <c r="AA35" s="528"/>
      <c r="AB35" s="218"/>
      <c r="AC35" s="203"/>
      <c r="AD35" s="296"/>
      <c r="AE35" s="296"/>
      <c r="AF35" s="297"/>
      <c r="AG35" s="297"/>
    </row>
    <row r="36" spans="2:33" s="109" customFormat="1" ht="14.25">
      <c r="B36" s="22"/>
      <c r="C36" s="22"/>
      <c r="D36" s="22"/>
      <c r="E36" s="22"/>
      <c r="F36" s="113"/>
      <c r="G36" s="22" t="s">
        <v>285</v>
      </c>
      <c r="H36" s="97">
        <f>'HR5 PY'!U16</f>
        <v>0</v>
      </c>
      <c r="I36" s="97">
        <f>F11+K11+P11+U11+Z11+F16+K16+P16</f>
        <v>0</v>
      </c>
      <c r="J36" s="208">
        <f>I36-H36</f>
        <v>0</v>
      </c>
      <c r="K36" s="196" t="e">
        <f>(J36/H36)</f>
        <v>#DIV/0!</v>
      </c>
      <c r="L36" s="198"/>
      <c r="M36" s="198"/>
      <c r="N36" s="113"/>
      <c r="O36" s="298"/>
      <c r="P36" s="299"/>
      <c r="Q36" s="299"/>
      <c r="R36" s="300"/>
      <c r="S36" s="300"/>
      <c r="T36" s="300"/>
      <c r="U36" s="300"/>
      <c r="V36" s="300"/>
      <c r="W36" s="299"/>
      <c r="X36" s="300"/>
      <c r="Y36" s="300"/>
      <c r="Z36" s="300"/>
      <c r="AA36" s="300"/>
      <c r="AB36" s="218"/>
      <c r="AC36" s="203"/>
      <c r="AD36" s="218"/>
      <c r="AE36" s="218"/>
      <c r="AF36" s="297"/>
      <c r="AG36" s="297"/>
    </row>
    <row r="37" spans="2:33" s="109" customFormat="1" ht="14.25">
      <c r="B37" s="479" t="s">
        <v>453</v>
      </c>
      <c r="C37" s="479"/>
      <c r="D37" s="479"/>
      <c r="E37" s="97">
        <f>SUM($F$11+$K$11+$P$11+$U$11+$Z$11+$F$16+$K$16+$P$16)</f>
        <v>0</v>
      </c>
      <c r="F37" s="113"/>
      <c r="G37" s="22" t="s">
        <v>326</v>
      </c>
      <c r="H37" s="97">
        <f>'HR5 PY'!Q16</f>
        <v>0</v>
      </c>
      <c r="I37" s="97">
        <f>B11+G11+L11+Q11+V11+B16+G16+L16</f>
        <v>0</v>
      </c>
      <c r="J37" s="208">
        <f t="shared" ref="J37:J38" si="0">I37-H37</f>
        <v>0</v>
      </c>
      <c r="K37" s="196" t="e">
        <f t="shared" ref="K37:K38" si="1">(J37/H37)</f>
        <v>#DIV/0!</v>
      </c>
      <c r="L37" s="208"/>
      <c r="M37" s="196"/>
      <c r="N37" s="113"/>
      <c r="O37" s="301"/>
      <c r="P37" s="302"/>
      <c r="Q37" s="283"/>
      <c r="R37" s="303"/>
      <c r="S37" s="303"/>
      <c r="T37" s="303"/>
      <c r="U37" s="303"/>
      <c r="V37" s="303"/>
      <c r="W37" s="283"/>
      <c r="X37" s="303"/>
      <c r="Y37" s="303"/>
      <c r="Z37" s="303"/>
      <c r="AA37" s="303"/>
      <c r="AB37" s="218"/>
      <c r="AC37" s="203"/>
      <c r="AD37" s="218"/>
      <c r="AE37" s="218"/>
      <c r="AF37" s="297"/>
      <c r="AG37" s="297"/>
    </row>
    <row r="38" spans="2:33" s="109" customFormat="1" ht="14.25">
      <c r="B38" s="479" t="s">
        <v>454</v>
      </c>
      <c r="C38" s="479"/>
      <c r="D38" s="479"/>
      <c r="E38" s="97">
        <f>B21+H21+B26+H26+L26+O26</f>
        <v>0</v>
      </c>
      <c r="F38" s="113"/>
      <c r="G38" s="91" t="s">
        <v>327</v>
      </c>
      <c r="H38" s="97">
        <f>'HR5 PY'!R16</f>
        <v>0</v>
      </c>
      <c r="I38" s="97">
        <f>C11+H11+M11+R11+W11+C16+H16+M16</f>
        <v>0</v>
      </c>
      <c r="J38" s="208">
        <f t="shared" si="0"/>
        <v>0</v>
      </c>
      <c r="K38" s="196" t="e">
        <f t="shared" si="1"/>
        <v>#DIV/0!</v>
      </c>
      <c r="L38" s="208"/>
      <c r="M38" s="196"/>
      <c r="N38" s="113"/>
      <c r="O38" s="301"/>
      <c r="P38" s="302"/>
      <c r="Q38" s="283"/>
      <c r="R38" s="303"/>
      <c r="S38" s="303"/>
      <c r="T38" s="303"/>
      <c r="U38" s="303"/>
      <c r="V38" s="303"/>
      <c r="W38" s="283"/>
      <c r="X38" s="303"/>
      <c r="Y38" s="303"/>
      <c r="Z38" s="303"/>
      <c r="AA38" s="303"/>
      <c r="AB38" s="218"/>
      <c r="AC38" s="203"/>
      <c r="AD38" s="218"/>
      <c r="AE38" s="218"/>
      <c r="AF38" s="297"/>
      <c r="AG38" s="297"/>
    </row>
    <row r="39" spans="2:33" s="109" customFormat="1" ht="14.25">
      <c r="B39" s="479" t="s">
        <v>455</v>
      </c>
      <c r="C39" s="479"/>
      <c r="D39" s="479"/>
      <c r="E39" s="97">
        <f>SUM($N$31:$R$31)</f>
        <v>0</v>
      </c>
      <c r="F39" s="113"/>
      <c r="G39" s="22"/>
      <c r="H39" s="22"/>
      <c r="I39" s="22"/>
      <c r="J39" s="192"/>
      <c r="K39" s="97"/>
      <c r="L39" s="208"/>
      <c r="M39" s="196"/>
      <c r="N39" s="113"/>
      <c r="O39" s="301"/>
      <c r="P39" s="302"/>
      <c r="Q39" s="283"/>
      <c r="R39" s="303"/>
      <c r="S39" s="303"/>
      <c r="T39" s="303"/>
      <c r="U39" s="303"/>
      <c r="V39" s="303"/>
      <c r="W39" s="283"/>
      <c r="X39" s="303"/>
      <c r="Y39" s="303"/>
      <c r="Z39" s="303"/>
      <c r="AA39" s="303"/>
      <c r="AB39" s="218"/>
      <c r="AC39" s="203"/>
      <c r="AD39" s="218"/>
      <c r="AE39" s="218"/>
      <c r="AF39" s="297"/>
      <c r="AG39" s="297"/>
    </row>
    <row r="40" spans="2:33" s="109" customFormat="1" ht="14.25">
      <c r="B40" s="479" t="s">
        <v>456</v>
      </c>
      <c r="C40" s="479"/>
      <c r="D40" s="479"/>
      <c r="E40" s="97">
        <f>SUM($B$31:$D$31)</f>
        <v>0</v>
      </c>
      <c r="F40" s="113"/>
      <c r="G40" s="22"/>
      <c r="H40" s="22"/>
      <c r="I40" s="22"/>
      <c r="J40" s="192"/>
      <c r="K40" s="97"/>
      <c r="L40" s="202"/>
      <c r="M40" s="196"/>
      <c r="N40" s="113"/>
      <c r="O40" s="301"/>
      <c r="P40" s="302"/>
      <c r="Q40" s="283"/>
      <c r="R40" s="303"/>
      <c r="S40" s="303"/>
      <c r="T40" s="303"/>
      <c r="U40" s="303"/>
      <c r="V40" s="303"/>
      <c r="W40" s="283"/>
      <c r="X40" s="303"/>
      <c r="Y40" s="303"/>
      <c r="Z40" s="303"/>
      <c r="AA40" s="303"/>
      <c r="AB40" s="218"/>
      <c r="AC40" s="203"/>
      <c r="AD40" s="218"/>
      <c r="AE40" s="218"/>
      <c r="AF40" s="297"/>
      <c r="AG40" s="297"/>
    </row>
    <row r="41" spans="2:33" s="109" customFormat="1" ht="14.25">
      <c r="B41" s="479" t="s">
        <v>457</v>
      </c>
      <c r="C41" s="479"/>
      <c r="D41" s="479"/>
      <c r="E41" s="97">
        <f>SUM($E$31:$M$31)</f>
        <v>0</v>
      </c>
      <c r="F41" s="113"/>
      <c r="G41" s="215"/>
      <c r="H41" s="215"/>
      <c r="I41" s="215"/>
      <c r="J41" s="195"/>
      <c r="K41" s="97"/>
      <c r="L41" s="208"/>
      <c r="M41" s="196"/>
      <c r="N41" s="113"/>
      <c r="O41" s="301"/>
      <c r="P41" s="302"/>
      <c r="Q41" s="283"/>
      <c r="R41" s="303"/>
      <c r="S41" s="303"/>
      <c r="T41" s="303"/>
      <c r="U41" s="303"/>
      <c r="V41" s="303"/>
      <c r="W41" s="283"/>
      <c r="X41" s="303"/>
      <c r="Y41" s="303"/>
      <c r="Z41" s="303"/>
      <c r="AA41" s="303"/>
      <c r="AB41" s="218"/>
      <c r="AC41" s="203"/>
      <c r="AD41" s="218"/>
      <c r="AE41" s="218"/>
      <c r="AF41" s="297"/>
      <c r="AG41" s="297"/>
    </row>
    <row r="42" spans="2:33" s="109" customFormat="1" ht="14.25">
      <c r="B42" s="22"/>
      <c r="C42" s="22"/>
      <c r="D42" s="22"/>
      <c r="E42" s="97"/>
      <c r="F42" s="113"/>
      <c r="N42" s="113"/>
      <c r="O42" s="301"/>
      <c r="P42" s="302"/>
      <c r="Q42" s="283"/>
      <c r="R42" s="303"/>
      <c r="S42" s="303"/>
      <c r="T42" s="303"/>
      <c r="U42" s="303"/>
      <c r="V42" s="303"/>
      <c r="W42" s="283"/>
      <c r="X42" s="303"/>
      <c r="Y42" s="303"/>
      <c r="Z42" s="303"/>
      <c r="AA42" s="303"/>
      <c r="AB42" s="218"/>
      <c r="AC42" s="203"/>
      <c r="AD42" s="201"/>
      <c r="AE42" s="218"/>
      <c r="AF42" s="297"/>
      <c r="AG42" s="297"/>
    </row>
    <row r="43" spans="2:33" s="109" customFormat="1" ht="13.9" customHeight="1">
      <c r="B43" s="22" t="s">
        <v>385</v>
      </c>
      <c r="C43" s="22"/>
      <c r="D43" s="22"/>
      <c r="E43" s="192" t="str">
        <f>IF(AND(E37=E38, E37=E39, E37=E40, E37=E41), "Yes", "No")</f>
        <v>Yes</v>
      </c>
      <c r="F43" s="113"/>
      <c r="G43" s="451" t="s">
        <v>458</v>
      </c>
      <c r="H43" s="451"/>
      <c r="I43" s="451"/>
      <c r="J43" s="451"/>
      <c r="K43" s="451"/>
      <c r="L43" s="451"/>
      <c r="M43" s="451"/>
      <c r="N43" s="113"/>
      <c r="O43" s="301"/>
      <c r="P43" s="302"/>
      <c r="Q43" s="283"/>
      <c r="R43" s="303"/>
      <c r="S43" s="303"/>
      <c r="T43" s="303"/>
      <c r="U43" s="303"/>
      <c r="V43" s="303"/>
      <c r="W43" s="283"/>
      <c r="X43" s="303"/>
      <c r="Y43" s="303"/>
      <c r="Z43" s="303"/>
      <c r="AA43" s="303"/>
      <c r="AB43" s="218"/>
      <c r="AC43" s="203"/>
      <c r="AD43" s="201"/>
      <c r="AE43" s="218"/>
      <c r="AF43" s="297"/>
      <c r="AG43" s="297"/>
    </row>
    <row r="44" spans="2:33" s="109" customFormat="1" ht="13.9" customHeight="1">
      <c r="B44" s="22"/>
      <c r="C44" s="91"/>
      <c r="D44" s="91"/>
      <c r="E44" s="22"/>
      <c r="F44" s="113"/>
      <c r="G44" s="451"/>
      <c r="H44" s="451"/>
      <c r="I44" s="451"/>
      <c r="J44" s="451"/>
      <c r="K44" s="451"/>
      <c r="L44" s="451"/>
      <c r="M44" s="451"/>
      <c r="N44" s="113"/>
      <c r="O44" s="281"/>
      <c r="P44" s="281"/>
      <c r="Q44" s="289"/>
      <c r="R44" s="304"/>
      <c r="S44" s="304"/>
      <c r="T44" s="304"/>
      <c r="U44" s="304"/>
      <c r="V44" s="304"/>
      <c r="W44" s="304"/>
      <c r="X44" s="304"/>
      <c r="Y44" s="304"/>
      <c r="Z44" s="304"/>
      <c r="AA44" s="304"/>
      <c r="AB44" s="218"/>
      <c r="AC44" s="203"/>
      <c r="AD44" s="218"/>
      <c r="AE44" s="218"/>
      <c r="AF44" s="297"/>
      <c r="AG44" s="297"/>
    </row>
    <row r="45" spans="2:33" s="109" customFormat="1" ht="13.9" customHeight="1">
      <c r="B45" s="525" t="s">
        <v>459</v>
      </c>
      <c r="C45" s="525"/>
      <c r="D45" s="525"/>
      <c r="E45" s="525"/>
      <c r="F45" s="113"/>
      <c r="G45" s="516"/>
      <c r="H45" s="517"/>
      <c r="I45" s="517"/>
      <c r="J45" s="517"/>
      <c r="K45" s="517"/>
      <c r="L45" s="517"/>
      <c r="M45" s="518"/>
      <c r="N45" s="113"/>
      <c r="O45" s="294"/>
      <c r="P45" s="294"/>
      <c r="Q45" s="294"/>
      <c r="R45" s="294"/>
      <c r="S45" s="294"/>
      <c r="T45" s="294"/>
      <c r="U45" s="294"/>
      <c r="V45" s="294"/>
      <c r="W45" s="294"/>
      <c r="X45" s="294"/>
      <c r="Y45" s="294"/>
      <c r="Z45" s="294"/>
      <c r="AA45" s="218"/>
      <c r="AB45" s="218"/>
      <c r="AC45" s="203"/>
      <c r="AD45" s="218"/>
      <c r="AE45" s="218"/>
      <c r="AF45" s="297"/>
      <c r="AG45" s="297"/>
    </row>
    <row r="46" spans="2:33" s="109" customFormat="1" ht="14.25">
      <c r="B46" s="525"/>
      <c r="C46" s="525"/>
      <c r="D46" s="525"/>
      <c r="E46" s="525"/>
      <c r="F46" s="113"/>
      <c r="G46" s="519"/>
      <c r="H46" s="520"/>
      <c r="I46" s="520"/>
      <c r="J46" s="520"/>
      <c r="K46" s="520"/>
      <c r="L46" s="520"/>
      <c r="M46" s="521"/>
      <c r="N46" s="113"/>
      <c r="O46" s="284"/>
      <c r="P46" s="284"/>
      <c r="Q46" s="284"/>
      <c r="R46" s="284"/>
      <c r="S46" s="284"/>
      <c r="T46" s="284"/>
      <c r="U46" s="284"/>
      <c r="V46" s="284"/>
      <c r="W46" s="284"/>
      <c r="X46" s="284"/>
      <c r="Y46" s="284"/>
      <c r="Z46" s="284"/>
      <c r="AA46" s="284"/>
      <c r="AB46" s="284"/>
      <c r="AC46" s="284"/>
      <c r="AD46" s="284"/>
      <c r="AE46" s="284"/>
      <c r="AF46" s="297"/>
      <c r="AG46" s="297"/>
    </row>
    <row r="47" spans="2:33" s="109" customFormat="1" ht="14.25">
      <c r="B47" s="525"/>
      <c r="C47" s="525"/>
      <c r="D47" s="525"/>
      <c r="E47" s="525"/>
      <c r="F47" s="113"/>
      <c r="G47" s="519"/>
      <c r="H47" s="520"/>
      <c r="I47" s="520"/>
      <c r="J47" s="520"/>
      <c r="K47" s="520"/>
      <c r="L47" s="520"/>
      <c r="M47" s="521"/>
      <c r="N47" s="113"/>
      <c r="O47" s="528"/>
      <c r="P47" s="528"/>
      <c r="Q47" s="528"/>
      <c r="R47" s="528"/>
      <c r="S47" s="528"/>
      <c r="T47" s="528"/>
      <c r="U47" s="528"/>
      <c r="V47" s="528"/>
      <c r="W47" s="528"/>
      <c r="X47" s="528"/>
      <c r="Y47" s="528"/>
      <c r="Z47" s="528"/>
      <c r="AA47" s="528"/>
      <c r="AB47" s="528"/>
      <c r="AC47" s="528"/>
      <c r="AD47" s="528"/>
      <c r="AE47" s="284"/>
      <c r="AF47" s="297"/>
      <c r="AG47" s="297"/>
    </row>
    <row r="48" spans="2:33" s="109" customFormat="1" ht="13.9" customHeight="1">
      <c r="B48" s="490"/>
      <c r="C48" s="491"/>
      <c r="D48" s="491"/>
      <c r="E48" s="492"/>
      <c r="F48" s="113"/>
      <c r="G48" s="519"/>
      <c r="H48" s="520"/>
      <c r="I48" s="520"/>
      <c r="J48" s="520"/>
      <c r="K48" s="520"/>
      <c r="L48" s="520"/>
      <c r="M48" s="521"/>
      <c r="N48" s="113"/>
      <c r="O48" s="298"/>
      <c r="P48" s="299"/>
      <c r="Q48" s="299"/>
      <c r="R48" s="300"/>
      <c r="S48" s="300"/>
      <c r="T48" s="300"/>
      <c r="U48" s="300"/>
      <c r="V48" s="300"/>
      <c r="W48" s="299"/>
      <c r="X48" s="300"/>
      <c r="Y48" s="300"/>
      <c r="Z48" s="300"/>
      <c r="AA48" s="299"/>
      <c r="AB48" s="300"/>
      <c r="AC48" s="300"/>
      <c r="AD48" s="299"/>
      <c r="AE48" s="284"/>
      <c r="AF48" s="297"/>
      <c r="AG48" s="297"/>
    </row>
    <row r="49" spans="2:39" s="109" customFormat="1" ht="14.25">
      <c r="B49" s="493"/>
      <c r="C49" s="494"/>
      <c r="D49" s="494"/>
      <c r="E49" s="495"/>
      <c r="F49" s="113"/>
      <c r="G49" s="519"/>
      <c r="H49" s="520"/>
      <c r="I49" s="520"/>
      <c r="J49" s="520"/>
      <c r="K49" s="520"/>
      <c r="L49" s="520"/>
      <c r="M49" s="521"/>
      <c r="N49" s="113"/>
      <c r="O49" s="301"/>
      <c r="P49" s="302"/>
      <c r="Q49" s="283"/>
      <c r="R49" s="303"/>
      <c r="S49" s="303"/>
      <c r="T49" s="303"/>
      <c r="U49" s="303"/>
      <c r="V49" s="303"/>
      <c r="W49" s="283"/>
      <c r="X49" s="303"/>
      <c r="Y49" s="303"/>
      <c r="Z49" s="303"/>
      <c r="AA49" s="283"/>
      <c r="AB49" s="303"/>
      <c r="AC49" s="303"/>
      <c r="AD49" s="283"/>
      <c r="AE49" s="218"/>
      <c r="AF49" s="297"/>
      <c r="AG49" s="297"/>
    </row>
    <row r="50" spans="2:39" s="109" customFormat="1" ht="14.25">
      <c r="B50" s="493"/>
      <c r="C50" s="494"/>
      <c r="D50" s="494"/>
      <c r="E50" s="495"/>
      <c r="F50" s="113"/>
      <c r="G50" s="519"/>
      <c r="H50" s="520"/>
      <c r="I50" s="520"/>
      <c r="J50" s="520"/>
      <c r="K50" s="520"/>
      <c r="L50" s="520"/>
      <c r="M50" s="521"/>
      <c r="N50" s="113"/>
      <c r="O50" s="301"/>
      <c r="P50" s="302"/>
      <c r="Q50" s="283"/>
      <c r="R50" s="303"/>
      <c r="S50" s="303"/>
      <c r="T50" s="303"/>
      <c r="U50" s="303"/>
      <c r="V50" s="303"/>
      <c r="W50" s="283"/>
      <c r="X50" s="303"/>
      <c r="Y50" s="303"/>
      <c r="Z50" s="303"/>
      <c r="AA50" s="283"/>
      <c r="AB50" s="303"/>
      <c r="AC50" s="303"/>
      <c r="AD50" s="283"/>
      <c r="AE50" s="218"/>
      <c r="AF50" s="297"/>
      <c r="AG50" s="297"/>
    </row>
    <row r="51" spans="2:39" s="109" customFormat="1" ht="14.25">
      <c r="B51" s="493"/>
      <c r="C51" s="494"/>
      <c r="D51" s="494"/>
      <c r="E51" s="495"/>
      <c r="F51" s="113"/>
      <c r="G51" s="522"/>
      <c r="H51" s="523"/>
      <c r="I51" s="523"/>
      <c r="J51" s="523"/>
      <c r="K51" s="523"/>
      <c r="L51" s="523"/>
      <c r="M51" s="524"/>
      <c r="N51" s="113"/>
      <c r="O51" s="301"/>
      <c r="P51" s="302"/>
      <c r="Q51" s="283"/>
      <c r="R51" s="303"/>
      <c r="S51" s="303"/>
      <c r="T51" s="303"/>
      <c r="U51" s="303"/>
      <c r="V51" s="303"/>
      <c r="W51" s="283"/>
      <c r="X51" s="303"/>
      <c r="Y51" s="303"/>
      <c r="Z51" s="303"/>
      <c r="AA51" s="283"/>
      <c r="AB51" s="303"/>
      <c r="AC51" s="303"/>
      <c r="AD51" s="283"/>
      <c r="AE51" s="218"/>
      <c r="AF51" s="297"/>
      <c r="AG51" s="297"/>
    </row>
    <row r="52" spans="2:39" s="109" customFormat="1" ht="14.25">
      <c r="B52" s="496"/>
      <c r="C52" s="497"/>
      <c r="D52" s="497"/>
      <c r="E52" s="498"/>
      <c r="F52" s="113"/>
      <c r="G52" s="113"/>
      <c r="H52" s="113"/>
      <c r="I52" s="113"/>
      <c r="J52" s="113"/>
      <c r="K52" s="113"/>
      <c r="L52" s="113"/>
      <c r="M52" s="113"/>
      <c r="N52" s="113"/>
      <c r="O52" s="301"/>
      <c r="P52" s="302"/>
      <c r="Q52" s="283"/>
      <c r="R52" s="303"/>
      <c r="S52" s="303"/>
      <c r="T52" s="303"/>
      <c r="U52" s="303"/>
      <c r="V52" s="303"/>
      <c r="W52" s="283"/>
      <c r="X52" s="303"/>
      <c r="Y52" s="303"/>
      <c r="Z52" s="303"/>
      <c r="AA52" s="283"/>
      <c r="AB52" s="303"/>
      <c r="AC52" s="303"/>
      <c r="AD52" s="283"/>
      <c r="AE52" s="218"/>
      <c r="AF52" s="297"/>
      <c r="AG52" s="297"/>
    </row>
    <row r="53" spans="2:39" s="109" customFormat="1" ht="14.25">
      <c r="B53" s="113"/>
      <c r="C53" s="113"/>
      <c r="D53" s="113"/>
      <c r="E53" s="113"/>
      <c r="F53" s="113"/>
      <c r="G53" s="113"/>
      <c r="H53" s="113"/>
      <c r="I53" s="113"/>
      <c r="J53" s="113"/>
      <c r="K53" s="113"/>
      <c r="L53" s="113"/>
      <c r="M53" s="113"/>
      <c r="N53" s="113"/>
      <c r="O53" s="301"/>
      <c r="P53" s="302"/>
      <c r="Q53" s="283"/>
      <c r="R53" s="303"/>
      <c r="S53" s="303"/>
      <c r="T53" s="303"/>
      <c r="U53" s="303"/>
      <c r="V53" s="303"/>
      <c r="W53" s="283"/>
      <c r="X53" s="303"/>
      <c r="Y53" s="303"/>
      <c r="Z53" s="303"/>
      <c r="AA53" s="283"/>
      <c r="AB53" s="303"/>
      <c r="AC53" s="303"/>
      <c r="AD53" s="283"/>
      <c r="AE53" s="218"/>
      <c r="AF53" s="297"/>
      <c r="AG53" s="297"/>
    </row>
    <row r="54" spans="2:39" s="109" customFormat="1" ht="14.25">
      <c r="B54" s="113"/>
      <c r="C54" s="113"/>
      <c r="D54" s="113"/>
      <c r="E54" s="113"/>
      <c r="F54" s="113"/>
      <c r="G54" s="113"/>
      <c r="H54" s="113"/>
      <c r="I54" s="113"/>
      <c r="J54" s="113"/>
      <c r="K54" s="113"/>
      <c r="L54" s="113"/>
      <c r="M54" s="113"/>
      <c r="N54" s="113"/>
      <c r="O54" s="301"/>
      <c r="P54" s="302"/>
      <c r="Q54" s="283"/>
      <c r="R54" s="303"/>
      <c r="S54" s="303"/>
      <c r="T54" s="303"/>
      <c r="U54" s="303"/>
      <c r="V54" s="303"/>
      <c r="W54" s="283"/>
      <c r="X54" s="303"/>
      <c r="Y54" s="303"/>
      <c r="Z54" s="303"/>
      <c r="AA54" s="283"/>
      <c r="AB54" s="303"/>
      <c r="AC54" s="303"/>
      <c r="AD54" s="283"/>
      <c r="AE54" s="218"/>
      <c r="AF54" s="297"/>
      <c r="AG54" s="297"/>
    </row>
    <row r="55" spans="2:39" s="109" customFormat="1" ht="14.25">
      <c r="B55" s="113"/>
      <c r="C55" s="113"/>
      <c r="D55" s="113"/>
      <c r="E55" s="113"/>
      <c r="F55" s="113"/>
      <c r="G55" s="113"/>
      <c r="H55" s="113"/>
      <c r="I55" s="113"/>
      <c r="J55" s="113"/>
      <c r="K55" s="113"/>
      <c r="L55" s="113"/>
      <c r="M55" s="113"/>
      <c r="N55" s="113"/>
      <c r="O55" s="301"/>
      <c r="P55" s="302"/>
      <c r="Q55" s="283"/>
      <c r="R55" s="303"/>
      <c r="S55" s="303"/>
      <c r="T55" s="303"/>
      <c r="U55" s="303"/>
      <c r="V55" s="303"/>
      <c r="W55" s="283"/>
      <c r="X55" s="303"/>
      <c r="Y55" s="303"/>
      <c r="Z55" s="303"/>
      <c r="AA55" s="283"/>
      <c r="AB55" s="303"/>
      <c r="AC55" s="303"/>
      <c r="AD55" s="283"/>
      <c r="AE55" s="218"/>
      <c r="AF55" s="297"/>
      <c r="AG55" s="297"/>
    </row>
    <row r="56" spans="2:39" s="109" customFormat="1" ht="14.25">
      <c r="B56" s="113"/>
      <c r="C56" s="113"/>
      <c r="D56" s="113"/>
      <c r="E56" s="113"/>
      <c r="F56" s="113"/>
      <c r="G56" s="113"/>
      <c r="H56" s="113"/>
      <c r="I56" s="113"/>
      <c r="J56" s="113"/>
      <c r="K56" s="113"/>
      <c r="L56" s="113"/>
      <c r="M56" s="113"/>
      <c r="N56" s="113"/>
      <c r="O56" s="298"/>
      <c r="P56" s="302"/>
      <c r="Q56" s="302"/>
      <c r="R56" s="302"/>
      <c r="S56" s="302"/>
      <c r="T56" s="302"/>
      <c r="U56" s="302"/>
      <c r="V56" s="302"/>
      <c r="W56" s="302"/>
      <c r="X56" s="302"/>
      <c r="Y56" s="302"/>
      <c r="Z56" s="302"/>
      <c r="AA56" s="302"/>
      <c r="AB56" s="302"/>
      <c r="AC56" s="302"/>
      <c r="AD56" s="302"/>
      <c r="AE56" s="218"/>
      <c r="AF56" s="297"/>
      <c r="AG56" s="297"/>
    </row>
    <row r="57" spans="2:39" s="109" customFormat="1" ht="14.65" customHeight="1">
      <c r="B57" s="113"/>
      <c r="C57" s="113"/>
      <c r="D57" s="113"/>
      <c r="E57" s="113"/>
      <c r="F57" s="113"/>
      <c r="G57" s="113"/>
      <c r="H57" s="113"/>
      <c r="I57" s="113"/>
      <c r="J57" s="113"/>
      <c r="K57" s="113"/>
      <c r="L57" s="113"/>
      <c r="M57" s="113"/>
      <c r="N57" s="113"/>
      <c r="O57" s="281"/>
      <c r="P57" s="281"/>
      <c r="Q57" s="203"/>
      <c r="R57" s="203"/>
      <c r="S57" s="203"/>
      <c r="T57" s="203"/>
      <c r="U57" s="203"/>
      <c r="V57" s="203"/>
      <c r="W57" s="203"/>
      <c r="X57" s="203"/>
      <c r="Y57" s="203"/>
      <c r="Z57" s="203"/>
      <c r="AA57" s="203"/>
      <c r="AB57" s="203"/>
      <c r="AC57" s="203"/>
      <c r="AD57" s="218"/>
      <c r="AE57" s="218"/>
      <c r="AF57" s="297"/>
      <c r="AG57" s="297"/>
    </row>
    <row r="58" spans="2:39" s="109" customFormat="1" ht="14.25">
      <c r="B58" s="113"/>
      <c r="C58" s="113"/>
      <c r="D58" s="113"/>
      <c r="E58" s="113"/>
      <c r="F58" s="113"/>
      <c r="G58" s="113"/>
      <c r="H58" s="113"/>
      <c r="I58" s="113"/>
      <c r="J58" s="113"/>
      <c r="K58" s="113"/>
      <c r="L58" s="113"/>
      <c r="M58" s="113"/>
      <c r="N58" s="113"/>
      <c r="O58" s="281"/>
      <c r="P58" s="281"/>
      <c r="Q58" s="295"/>
      <c r="R58" s="295"/>
      <c r="S58" s="295"/>
      <c r="T58" s="295"/>
      <c r="U58" s="295"/>
      <c r="V58" s="295"/>
      <c r="W58" s="295"/>
      <c r="X58" s="295"/>
      <c r="Y58" s="295"/>
      <c r="Z58" s="295"/>
      <c r="AA58" s="295"/>
      <c r="AB58" s="295"/>
      <c r="AC58" s="295"/>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27"/>
      <c r="P59" s="527"/>
      <c r="Q59" s="527"/>
      <c r="R59" s="527"/>
      <c r="S59" s="527"/>
      <c r="T59" s="528"/>
      <c r="U59" s="528"/>
      <c r="V59" s="528"/>
      <c r="W59" s="528"/>
      <c r="X59" s="528"/>
      <c r="Y59" s="528"/>
      <c r="Z59" s="528"/>
      <c r="AA59" s="528"/>
      <c r="AB59" s="528"/>
      <c r="AC59" s="528"/>
      <c r="AD59" s="528"/>
      <c r="AE59" s="528"/>
      <c r="AF59" s="528"/>
      <c r="AG59" s="528"/>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305"/>
      <c r="P60" s="305"/>
      <c r="Q60" s="285"/>
      <c r="R60" s="285"/>
      <c r="S60" s="285"/>
      <c r="T60" s="285"/>
      <c r="U60" s="285"/>
      <c r="V60" s="285"/>
      <c r="W60" s="285"/>
      <c r="X60" s="285"/>
      <c r="Y60" s="285"/>
      <c r="Z60" s="285"/>
      <c r="AA60" s="285"/>
      <c r="AB60" s="285"/>
      <c r="AC60" s="285"/>
      <c r="AD60" s="285"/>
      <c r="AE60" s="285"/>
      <c r="AF60" s="285"/>
      <c r="AG60" s="285"/>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82"/>
      <c r="R61" s="282"/>
      <c r="S61" s="282"/>
      <c r="T61" s="282"/>
      <c r="U61" s="282"/>
      <c r="V61" s="282"/>
      <c r="W61" s="282"/>
      <c r="X61" s="282"/>
      <c r="Y61" s="282"/>
      <c r="Z61" s="282"/>
      <c r="AA61" s="282"/>
      <c r="AB61" s="282"/>
      <c r="AC61" s="282"/>
      <c r="AD61" s="282"/>
      <c r="AE61" s="282"/>
      <c r="AF61" s="282"/>
      <c r="AG61" s="282"/>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50"/>
      <c r="P62" s="250"/>
      <c r="Q62" s="288"/>
      <c r="R62" s="288"/>
      <c r="S62" s="288"/>
      <c r="T62" s="288"/>
      <c r="U62" s="288"/>
      <c r="V62" s="288"/>
      <c r="W62" s="288"/>
      <c r="X62" s="288"/>
      <c r="Y62" s="288"/>
      <c r="Z62" s="288"/>
      <c r="AA62" s="288"/>
      <c r="AB62" s="288"/>
      <c r="AC62" s="288"/>
      <c r="AD62" s="288"/>
      <c r="AE62" s="288"/>
      <c r="AF62" s="288"/>
      <c r="AG62" s="288"/>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50"/>
      <c r="P63" s="250"/>
      <c r="Q63" s="288"/>
      <c r="R63" s="288"/>
      <c r="S63" s="288"/>
      <c r="T63" s="288"/>
      <c r="U63" s="288"/>
      <c r="V63" s="288"/>
      <c r="W63" s="288"/>
      <c r="X63" s="288"/>
      <c r="Y63" s="288"/>
      <c r="Z63" s="288"/>
      <c r="AA63" s="288"/>
      <c r="AB63" s="288"/>
      <c r="AC63" s="288"/>
      <c r="AD63" s="288"/>
      <c r="AE63" s="288"/>
      <c r="AF63" s="288"/>
      <c r="AG63" s="288"/>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50"/>
      <c r="P64" s="250"/>
      <c r="Q64" s="288"/>
      <c r="R64" s="288"/>
      <c r="S64" s="288"/>
      <c r="T64" s="288"/>
      <c r="U64" s="288"/>
      <c r="V64" s="288"/>
      <c r="W64" s="288"/>
      <c r="X64" s="288"/>
      <c r="Y64" s="288"/>
      <c r="Z64" s="288"/>
      <c r="AA64" s="288"/>
      <c r="AB64" s="288"/>
      <c r="AC64" s="288"/>
      <c r="AD64" s="288"/>
      <c r="AE64" s="288"/>
      <c r="AF64" s="288"/>
      <c r="AG64" s="288"/>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50"/>
      <c r="P65" s="250"/>
      <c r="Q65" s="288"/>
      <c r="R65" s="288"/>
      <c r="S65" s="288"/>
      <c r="T65" s="288"/>
      <c r="U65" s="288"/>
      <c r="V65" s="288"/>
      <c r="W65" s="288"/>
      <c r="X65" s="288"/>
      <c r="Y65" s="288"/>
      <c r="Z65" s="288"/>
      <c r="AA65" s="288"/>
      <c r="AB65" s="288"/>
      <c r="AC65" s="288"/>
      <c r="AD65" s="288"/>
      <c r="AE65" s="288"/>
      <c r="AF65" s="288"/>
      <c r="AG65" s="288"/>
      <c r="AH65" s="22"/>
      <c r="AI65" s="22"/>
      <c r="AJ65" s="22"/>
      <c r="AK65" s="22"/>
      <c r="AL65" s="22"/>
      <c r="AM65" s="22"/>
    </row>
    <row r="66" spans="2:39">
      <c r="O66" s="250"/>
      <c r="P66" s="250"/>
      <c r="Q66" s="288"/>
      <c r="R66" s="288"/>
      <c r="S66" s="288"/>
      <c r="T66" s="288"/>
      <c r="U66" s="288"/>
      <c r="V66" s="288"/>
      <c r="W66" s="288"/>
      <c r="X66" s="288"/>
      <c r="Y66" s="288"/>
      <c r="Z66" s="288"/>
      <c r="AA66" s="288"/>
      <c r="AB66" s="288"/>
      <c r="AC66" s="288"/>
      <c r="AD66" s="288"/>
      <c r="AE66" s="288"/>
      <c r="AF66" s="288"/>
      <c r="AG66" s="288"/>
      <c r="AH66" s="22"/>
      <c r="AI66" s="22"/>
      <c r="AJ66" s="22"/>
      <c r="AK66" s="22"/>
      <c r="AL66" s="22"/>
      <c r="AM66" s="22"/>
    </row>
    <row r="67" spans="2:39">
      <c r="O67" s="250"/>
      <c r="P67" s="250"/>
      <c r="Q67" s="288"/>
      <c r="R67" s="288"/>
      <c r="S67" s="288"/>
      <c r="T67" s="288"/>
      <c r="U67" s="288"/>
      <c r="V67" s="288"/>
      <c r="W67" s="288"/>
      <c r="X67" s="288"/>
      <c r="Y67" s="288"/>
      <c r="Z67" s="288"/>
      <c r="AA67" s="288"/>
      <c r="AB67" s="288"/>
      <c r="AC67" s="288"/>
      <c r="AD67" s="288"/>
      <c r="AE67" s="288"/>
      <c r="AF67" s="288"/>
      <c r="AG67" s="288"/>
      <c r="AH67" s="22"/>
      <c r="AI67" s="22"/>
      <c r="AJ67" s="22"/>
      <c r="AK67" s="22"/>
      <c r="AL67" s="22"/>
      <c r="AM67" s="22"/>
    </row>
    <row r="68" spans="2:39">
      <c r="O68" s="250"/>
      <c r="P68" s="250"/>
      <c r="Q68" s="288"/>
      <c r="R68" s="288"/>
      <c r="S68" s="288"/>
      <c r="T68" s="288"/>
      <c r="U68" s="288"/>
      <c r="V68" s="288"/>
      <c r="W68" s="288"/>
      <c r="X68" s="288"/>
      <c r="Y68" s="288"/>
      <c r="Z68" s="288"/>
      <c r="AA68" s="288"/>
      <c r="AB68" s="288"/>
      <c r="AC68" s="288"/>
      <c r="AD68" s="288"/>
      <c r="AE68" s="288"/>
      <c r="AF68" s="288"/>
      <c r="AG68" s="288"/>
      <c r="AH68" s="22"/>
      <c r="AI68" s="22"/>
      <c r="AJ68" s="22"/>
      <c r="AK68" s="22"/>
      <c r="AL68" s="22"/>
      <c r="AM68" s="22"/>
    </row>
    <row r="69" spans="2:39">
      <c r="O69" s="281"/>
      <c r="P69" s="281"/>
      <c r="Q69" s="289"/>
      <c r="R69" s="289"/>
      <c r="S69" s="289"/>
      <c r="T69" s="289"/>
      <c r="U69" s="289"/>
      <c r="V69" s="289"/>
      <c r="W69" s="289"/>
      <c r="X69" s="289"/>
      <c r="Y69" s="289"/>
      <c r="Z69" s="289"/>
      <c r="AA69" s="289"/>
      <c r="AB69" s="289"/>
      <c r="AC69" s="289"/>
      <c r="AD69" s="289"/>
      <c r="AE69" s="289"/>
      <c r="AF69" s="289"/>
      <c r="AG69" s="289"/>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algorithmName="SHA-512" hashValue="jd+SOuaB+qBA6iqs+tOIxaw7zPlDYfNAJKxHZeIv/MyZV+EZRo89jGC1EBQ+62glXhvWTxTO/wEQEkT+iwnPIg==" saltValue="fM/Zs+RCiYm7L9J0f9dgEw==" spinCount="100000" sheet="1" objects="1" scenarios="1" selectLockedCells="1"/>
  <mergeCells count="31">
    <mergeCell ref="O59:S59"/>
    <mergeCell ref="T59:AB59"/>
    <mergeCell ref="AC59:AG59"/>
    <mergeCell ref="O35:AA35"/>
    <mergeCell ref="O47:AD47"/>
    <mergeCell ref="N29:R29"/>
    <mergeCell ref="V20:Z20"/>
    <mergeCell ref="AA20:AE20"/>
    <mergeCell ref="B24:O24"/>
    <mergeCell ref="B29:D29"/>
    <mergeCell ref="A6:Z6"/>
    <mergeCell ref="L14:P14"/>
    <mergeCell ref="G14:K14"/>
    <mergeCell ref="B14:F14"/>
    <mergeCell ref="V9:Z9"/>
    <mergeCell ref="Q9:U9"/>
    <mergeCell ref="L9:P9"/>
    <mergeCell ref="G9:K9"/>
    <mergeCell ref="B9:F9"/>
    <mergeCell ref="B8:Z8"/>
    <mergeCell ref="B19:L19"/>
    <mergeCell ref="B37:D37"/>
    <mergeCell ref="E29:M29"/>
    <mergeCell ref="G43:M44"/>
    <mergeCell ref="G45:M51"/>
    <mergeCell ref="B38:D38"/>
    <mergeCell ref="B39:D39"/>
    <mergeCell ref="B40:D40"/>
    <mergeCell ref="B41:D41"/>
    <mergeCell ref="B45:E47"/>
    <mergeCell ref="B48:E52"/>
  </mergeCells>
  <phoneticPr fontId="9" type="noConversion"/>
  <conditionalFormatting sqref="E37:E43">
    <cfRule type="duplicateValues" dxfId="42" priority="43"/>
  </conditionalFormatting>
  <conditionalFormatting sqref="E43">
    <cfRule type="containsText" dxfId="41" priority="41" operator="containsText" text="No">
      <formula>NOT(ISERROR(SEARCH("No",E43)))</formula>
    </cfRule>
    <cfRule type="containsText" dxfId="40" priority="42"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S23:T31 U23:U32 V23:Y31 AA23:AD31 Z23:Z32 AE23:AE32 Q25:R28 B11:E11 G11:J11 L11:O11 Q11:T11 V11:Y11 B16:E16 G16:J16 L16:O16 C21 G21:H21 F26:K26 N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6" id="{32A5F406-AEB2-4916-818C-EED26DFF2BF7}">
            <xm:f>IF(AND(B11&lt;'HR5 PY'!B11-'QA check thresholds'!$A$4,B11&lt;'HR5 PY'!B11*'QA check thresholds'!$C$2),TRUE,FALSE)</xm:f>
            <x14:dxf>
              <font>
                <b/>
                <i val="0"/>
                <color rgb="FFFF0000"/>
              </font>
              <fill>
                <patternFill>
                  <bgColor rgb="FFFFC000"/>
                </patternFill>
              </fill>
            </x14:dxf>
          </x14:cfRule>
          <x14:cfRule type="expression" priority="27" id="{E41F473A-5658-45D9-9CAC-BBAF970F1AEA}">
            <xm:f>IF(AND(B11&gt;'HR5 PY'!B11+'QA check thresholds'!$A$4,B11&gt;'HR5 PY'!B11*'QA check thresholds'!$C$3),TRUE,FALSE)</xm:f>
            <x14:dxf>
              <font>
                <b/>
                <i val="0"/>
                <color rgb="FFFF0000"/>
              </font>
              <fill>
                <patternFill>
                  <bgColor rgb="FFFFC000"/>
                </patternFill>
              </fill>
            </x14:dxf>
          </x14:cfRule>
          <xm:sqref>B11:Z11 B16:P16 B21:L21 B26:H26 L26:O26 B31:R31</xm:sqref>
        </x14:conditionalFormatting>
        <x14:conditionalFormatting xmlns:xm="http://schemas.microsoft.com/office/excel/2006/main">
          <x14:cfRule type="expression" priority="1"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 xmlns:xm="http://schemas.microsoft.com/office/excel/2006/main">
          <x14:cfRule type="expression" priority="33" id="{BFB9FEF3-0455-4D23-AC3B-439317C0576C}">
            <xm:f>IF(OR($L37&lt;'QA check thresholds'!$A$5,$L37&gt;'QA check thresholds'!$A$6),TRUE,FALSE)</xm:f>
            <x14:dxf>
              <font>
                <color rgb="FFC00000"/>
              </font>
              <fill>
                <patternFill>
                  <bgColor rgb="FFF8C4CB"/>
                </patternFill>
              </fill>
            </x14:dxf>
          </x14:cfRule>
          <xm:sqref>L37:L41</xm:sqref>
        </x14:conditionalFormatting>
        <x14:conditionalFormatting xmlns:xm="http://schemas.microsoft.com/office/excel/2006/main">
          <x14:cfRule type="expression" priority="40" id="{7A2B2DCF-8537-4C30-96E1-3C090244D43C}">
            <xm:f>IF(OR($M37&lt;'QA check thresholds'!$E$2,$M37&gt;'QA check thresholds'!$E$3),TRUE,FALSE)</xm:f>
            <x14:dxf>
              <font>
                <color rgb="FFC00000"/>
              </font>
              <fill>
                <patternFill>
                  <bgColor rgb="FFF8C4CB"/>
                </patternFill>
              </fill>
            </x14:dxf>
          </x14:cfRule>
          <xm:sqref>M37:M41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460</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ht="14.25" customHeight="1">
      <c r="A1" t="s">
        <v>267</v>
      </c>
      <c r="B1" t="s">
        <v>268</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heetViews>
  <sheetFormatPr defaultRowHeight="12.75"/>
  <cols>
    <col min="1" max="1" width="40.7109375" bestFit="1" customWidth="1"/>
  </cols>
  <sheetData>
    <row r="4" spans="1:21">
      <c r="C4" s="333" t="s">
        <v>16</v>
      </c>
      <c r="D4" s="334" t="str">
        <f>VLOOKUP(Cover!A6,Cover!B319:D335,3,FALSE)</f>
        <v>2024/25</v>
      </c>
      <c r="E4" s="355" t="str">
        <f>Cover!A10</f>
        <v>Avon</v>
      </c>
      <c r="F4" s="333" t="s">
        <v>462</v>
      </c>
      <c r="G4" s="333" t="s">
        <v>463</v>
      </c>
    </row>
    <row r="12" spans="1:21">
      <c r="B12" s="199" t="s">
        <v>464</v>
      </c>
      <c r="C12" s="199" t="s">
        <v>465</v>
      </c>
      <c r="D12" s="199" t="s">
        <v>466</v>
      </c>
      <c r="E12" s="199" t="s">
        <v>467</v>
      </c>
      <c r="F12" t="s">
        <v>285</v>
      </c>
      <c r="G12" t="s">
        <v>302</v>
      </c>
      <c r="H12" t="s">
        <v>303</v>
      </c>
      <c r="I12" t="s">
        <v>304</v>
      </c>
      <c r="J12" t="s">
        <v>305</v>
      </c>
      <c r="K12" t="s">
        <v>285</v>
      </c>
      <c r="L12" t="s">
        <v>306</v>
      </c>
      <c r="M12" t="s">
        <v>307</v>
      </c>
      <c r="N12" t="s">
        <v>308</v>
      </c>
      <c r="O12" t="s">
        <v>309</v>
      </c>
      <c r="P12" t="s">
        <v>285</v>
      </c>
      <c r="Q12" s="199" t="s">
        <v>310</v>
      </c>
      <c r="R12" t="s">
        <v>311</v>
      </c>
      <c r="S12" t="s">
        <v>312</v>
      </c>
      <c r="T12" t="s">
        <v>313</v>
      </c>
      <c r="U12" t="s">
        <v>285</v>
      </c>
    </row>
    <row r="13" spans="1:21">
      <c r="A13" t="s">
        <v>274</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56">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56">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56">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56">
        <f>SUM(Q13:T13)</f>
        <v>0</v>
      </c>
    </row>
    <row r="14" spans="1:21">
      <c r="A14" t="s">
        <v>273</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56">
        <f t="shared" ref="F14:F16" si="0">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56">
        <f t="shared" ref="K14:K16" si="1">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56">
        <f t="shared" ref="P14:P16" si="2">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56">
        <f t="shared" ref="U14:U16" si="3">SUM(Q14:T14)</f>
        <v>0</v>
      </c>
    </row>
    <row r="15" spans="1:21">
      <c r="A15" t="s">
        <v>286</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56">
        <f t="shared" si="0"/>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56">
        <f t="shared" si="1"/>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56">
        <f t="shared" si="2"/>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56">
        <f t="shared" si="3"/>
        <v>0</v>
      </c>
    </row>
    <row r="16" spans="1:21">
      <c r="A16" t="s">
        <v>468</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56">
        <f t="shared" si="0"/>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56">
        <f t="shared" si="1"/>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56">
        <f t="shared" si="2"/>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56">
        <f t="shared" si="3"/>
        <v>0</v>
      </c>
    </row>
    <row r="17" spans="1:21">
      <c r="A17" t="s">
        <v>285</v>
      </c>
      <c r="B17" s="356">
        <f>SUM(B13:B16)</f>
        <v>0</v>
      </c>
      <c r="C17" s="356">
        <f t="shared" ref="C17:U17" si="4">SUM(C13:C16)</f>
        <v>0</v>
      </c>
      <c r="D17" s="356">
        <f t="shared" si="4"/>
        <v>0</v>
      </c>
      <c r="E17" s="356">
        <f t="shared" si="4"/>
        <v>0</v>
      </c>
      <c r="F17" s="356">
        <f t="shared" si="4"/>
        <v>0</v>
      </c>
      <c r="G17" s="356">
        <f t="shared" si="4"/>
        <v>0</v>
      </c>
      <c r="H17" s="356">
        <f t="shared" si="4"/>
        <v>0</v>
      </c>
      <c r="I17" s="356">
        <f t="shared" si="4"/>
        <v>0</v>
      </c>
      <c r="J17" s="356">
        <f t="shared" si="4"/>
        <v>0</v>
      </c>
      <c r="K17" s="356">
        <f t="shared" si="4"/>
        <v>0</v>
      </c>
      <c r="L17" s="356">
        <f t="shared" si="4"/>
        <v>0</v>
      </c>
      <c r="M17" s="356">
        <f t="shared" si="4"/>
        <v>0</v>
      </c>
      <c r="N17" s="356">
        <f t="shared" si="4"/>
        <v>0</v>
      </c>
      <c r="O17" s="356">
        <f t="shared" si="4"/>
        <v>0</v>
      </c>
      <c r="P17" s="356">
        <f t="shared" si="4"/>
        <v>0</v>
      </c>
      <c r="Q17" s="356">
        <f t="shared" si="4"/>
        <v>0</v>
      </c>
      <c r="R17" s="356">
        <f t="shared" si="4"/>
        <v>0</v>
      </c>
      <c r="S17" s="356">
        <f t="shared" si="4"/>
        <v>0</v>
      </c>
      <c r="T17" s="356">
        <f t="shared" si="4"/>
        <v>0</v>
      </c>
      <c r="U17" s="356">
        <f t="shared" si="4"/>
        <v>0</v>
      </c>
    </row>
    <row r="21" spans="1:21">
      <c r="B21" t="s">
        <v>314</v>
      </c>
      <c r="C21" t="s">
        <v>315</v>
      </c>
      <c r="D21" t="s">
        <v>316</v>
      </c>
      <c r="E21" t="s">
        <v>317</v>
      </c>
      <c r="F21" t="s">
        <v>285</v>
      </c>
      <c r="G21" t="s">
        <v>318</v>
      </c>
      <c r="H21" t="s">
        <v>319</v>
      </c>
      <c r="I21" t="s">
        <v>320</v>
      </c>
      <c r="J21" t="s">
        <v>321</v>
      </c>
      <c r="K21" t="s">
        <v>285</v>
      </c>
      <c r="L21" t="s">
        <v>322</v>
      </c>
      <c r="M21" t="s">
        <v>323</v>
      </c>
      <c r="N21" t="s">
        <v>324</v>
      </c>
      <c r="O21" t="s">
        <v>325</v>
      </c>
      <c r="P21" t="s">
        <v>285</v>
      </c>
      <c r="Q21" t="s">
        <v>326</v>
      </c>
      <c r="R21" t="s">
        <v>327</v>
      </c>
      <c r="S21" t="s">
        <v>328</v>
      </c>
      <c r="T21" t="s">
        <v>329</v>
      </c>
      <c r="U21" t="s">
        <v>285</v>
      </c>
    </row>
    <row r="22" spans="1:21">
      <c r="A22" t="s">
        <v>274</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56">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56">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56">
        <f>SUM(L22:O22)</f>
        <v>0</v>
      </c>
      <c r="Q22" s="356">
        <f>B13+G13+L13+Q13+B22+G22+L22</f>
        <v>0</v>
      </c>
      <c r="R22" s="356">
        <f t="shared" ref="R22:U22" si="5">C13+H13+M13+R13+C22+H22+M22</f>
        <v>0</v>
      </c>
      <c r="S22" s="356">
        <f t="shared" si="5"/>
        <v>0</v>
      </c>
      <c r="T22" s="356">
        <f t="shared" si="5"/>
        <v>0</v>
      </c>
      <c r="U22" s="356">
        <f t="shared" si="5"/>
        <v>0</v>
      </c>
    </row>
    <row r="23" spans="1:21">
      <c r="A23" t="s">
        <v>273</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56">
        <f t="shared" ref="F23:F25" si="6">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56">
        <f t="shared" ref="K23:K25" si="7">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56">
        <f t="shared" ref="P23:P25" si="8">SUM(L23:O23)</f>
        <v>0</v>
      </c>
      <c r="Q23" s="356">
        <f t="shared" ref="Q23:U23" si="9">B14+G14+L14+Q14+B23+G23+L23</f>
        <v>0</v>
      </c>
      <c r="R23" s="356">
        <f t="shared" si="9"/>
        <v>0</v>
      </c>
      <c r="S23" s="356">
        <f t="shared" si="9"/>
        <v>0</v>
      </c>
      <c r="T23" s="356">
        <f t="shared" si="9"/>
        <v>0</v>
      </c>
      <c r="U23" s="356">
        <f t="shared" si="9"/>
        <v>0</v>
      </c>
    </row>
    <row r="24" spans="1:21">
      <c r="A24" t="s">
        <v>286</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56">
        <f t="shared" si="6"/>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56">
        <f t="shared" si="7"/>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56">
        <f t="shared" si="8"/>
        <v>0</v>
      </c>
      <c r="Q24" s="356">
        <f t="shared" ref="Q24:U24" si="10">B15+G15+L15+Q15+B24+G24+L24</f>
        <v>0</v>
      </c>
      <c r="R24" s="356">
        <f t="shared" si="10"/>
        <v>0</v>
      </c>
      <c r="S24" s="356">
        <f t="shared" si="10"/>
        <v>0</v>
      </c>
      <c r="T24" s="356">
        <f t="shared" si="10"/>
        <v>0</v>
      </c>
      <c r="U24" s="356">
        <f t="shared" si="10"/>
        <v>0</v>
      </c>
    </row>
    <row r="25" spans="1:21">
      <c r="A25" t="s">
        <v>468</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56">
        <f t="shared" si="6"/>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56">
        <f t="shared" si="7"/>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56">
        <f t="shared" si="8"/>
        <v>0</v>
      </c>
      <c r="Q25" s="356">
        <f t="shared" ref="Q25:U25" si="11">B16+G16+L16+Q16+B25+G25+L25</f>
        <v>0</v>
      </c>
      <c r="R25" s="356">
        <f t="shared" si="11"/>
        <v>0</v>
      </c>
      <c r="S25" s="356">
        <f t="shared" si="11"/>
        <v>0</v>
      </c>
      <c r="T25" s="356">
        <f t="shared" si="11"/>
        <v>0</v>
      </c>
      <c r="U25" s="356">
        <f t="shared" si="11"/>
        <v>0</v>
      </c>
    </row>
    <row r="26" spans="1:21">
      <c r="A26" t="s">
        <v>285</v>
      </c>
      <c r="B26" s="356">
        <f>SUM(B22:B25)</f>
        <v>0</v>
      </c>
      <c r="C26" s="356">
        <f t="shared" ref="C26:P26" si="12">SUM(C22:C25)</f>
        <v>0</v>
      </c>
      <c r="D26" s="356">
        <f t="shared" si="12"/>
        <v>0</v>
      </c>
      <c r="E26" s="356">
        <f t="shared" si="12"/>
        <v>0</v>
      </c>
      <c r="F26" s="356">
        <f t="shared" si="12"/>
        <v>0</v>
      </c>
      <c r="G26" s="356">
        <f t="shared" si="12"/>
        <v>0</v>
      </c>
      <c r="H26" s="356">
        <f t="shared" si="12"/>
        <v>0</v>
      </c>
      <c r="I26" s="356">
        <f t="shared" si="12"/>
        <v>0</v>
      </c>
      <c r="J26" s="356">
        <f t="shared" si="12"/>
        <v>0</v>
      </c>
      <c r="K26" s="356">
        <f t="shared" si="12"/>
        <v>0</v>
      </c>
      <c r="L26" s="356">
        <f t="shared" si="12"/>
        <v>0</v>
      </c>
      <c r="M26" s="356">
        <f t="shared" si="12"/>
        <v>0</v>
      </c>
      <c r="N26" s="356">
        <f t="shared" si="12"/>
        <v>0</v>
      </c>
      <c r="O26" s="356">
        <f t="shared" si="12"/>
        <v>0</v>
      </c>
      <c r="P26" s="356">
        <f t="shared" si="12"/>
        <v>0</v>
      </c>
      <c r="Q26" s="356">
        <f t="shared" ref="Q26:U26" si="13">B17+G17+L17+Q17+B26+G26+L26</f>
        <v>0</v>
      </c>
      <c r="R26" s="356">
        <f t="shared" si="13"/>
        <v>0</v>
      </c>
      <c r="S26" s="356">
        <f t="shared" si="13"/>
        <v>0</v>
      </c>
      <c r="T26" s="356">
        <f t="shared" si="13"/>
        <v>0</v>
      </c>
      <c r="U26" s="356">
        <f t="shared" si="13"/>
        <v>0</v>
      </c>
    </row>
    <row r="30" spans="1:21">
      <c r="B30" t="s">
        <v>330</v>
      </c>
      <c r="C30" t="s">
        <v>331</v>
      </c>
      <c r="D30" t="s">
        <v>332</v>
      </c>
      <c r="E30" t="s">
        <v>333</v>
      </c>
      <c r="F30" t="s">
        <v>334</v>
      </c>
      <c r="G30" t="s">
        <v>335</v>
      </c>
      <c r="H30" t="s">
        <v>336</v>
      </c>
      <c r="I30" t="s">
        <v>337</v>
      </c>
      <c r="J30" t="s">
        <v>338</v>
      </c>
      <c r="K30" t="s">
        <v>339</v>
      </c>
      <c r="L30" t="s">
        <v>221</v>
      </c>
      <c r="M30" s="199"/>
    </row>
    <row r="31" spans="1:21">
      <c r="A31" t="s">
        <v>274</v>
      </c>
      <c r="B31">
        <f>SUM(C31:G31)</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273</v>
      </c>
      <c r="B32">
        <f t="shared" ref="B32:B34" si="14">SUM(C32:G32)</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286</v>
      </c>
      <c r="B33">
        <f t="shared" si="14"/>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468</v>
      </c>
      <c r="B34">
        <f t="shared" si="14"/>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285</v>
      </c>
      <c r="B35" s="356">
        <f>SUM(B31:B34)</f>
        <v>0</v>
      </c>
      <c r="C35" s="356">
        <f t="shared" ref="C35:L35" si="15">SUM(C31:C34)</f>
        <v>0</v>
      </c>
      <c r="D35" s="356">
        <f t="shared" si="15"/>
        <v>0</v>
      </c>
      <c r="E35" s="356">
        <f t="shared" si="15"/>
        <v>0</v>
      </c>
      <c r="F35" s="356">
        <f t="shared" si="15"/>
        <v>0</v>
      </c>
      <c r="G35" s="356">
        <f t="shared" si="15"/>
        <v>0</v>
      </c>
      <c r="H35" s="356">
        <f t="shared" si="15"/>
        <v>0</v>
      </c>
      <c r="I35" s="356">
        <f t="shared" si="15"/>
        <v>0</v>
      </c>
      <c r="J35" s="356">
        <f t="shared" si="15"/>
        <v>0</v>
      </c>
      <c r="K35" s="356">
        <f t="shared" si="15"/>
        <v>0</v>
      </c>
      <c r="L35" s="356">
        <f t="shared" si="15"/>
        <v>0</v>
      </c>
    </row>
    <row r="39" spans="1:15">
      <c r="B39" t="s">
        <v>340</v>
      </c>
      <c r="C39" t="s">
        <v>341</v>
      </c>
      <c r="D39" t="s">
        <v>342</v>
      </c>
      <c r="E39" t="s">
        <v>343</v>
      </c>
      <c r="F39" t="s">
        <v>226</v>
      </c>
      <c r="G39" t="s">
        <v>344</v>
      </c>
      <c r="H39" t="s">
        <v>345</v>
      </c>
      <c r="I39" t="s">
        <v>346</v>
      </c>
      <c r="J39" t="s">
        <v>347</v>
      </c>
      <c r="K39" t="s">
        <v>348</v>
      </c>
      <c r="L39" t="s">
        <v>349</v>
      </c>
      <c r="M39" t="s">
        <v>350</v>
      </c>
      <c r="N39" t="s">
        <v>234</v>
      </c>
      <c r="O39" t="s">
        <v>351</v>
      </c>
    </row>
    <row r="40" spans="1:15">
      <c r="A40" t="s">
        <v>274</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273</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286</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468</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285</v>
      </c>
      <c r="B44" s="356">
        <f>SUM(B40:B43)</f>
        <v>0</v>
      </c>
      <c r="C44" s="356">
        <f t="shared" ref="C44:O44" si="16">SUM(C40:C43)</f>
        <v>0</v>
      </c>
      <c r="D44" s="356">
        <f t="shared" si="16"/>
        <v>0</v>
      </c>
      <c r="E44" s="356">
        <f t="shared" si="16"/>
        <v>0</v>
      </c>
      <c r="F44" s="356">
        <f t="shared" si="16"/>
        <v>0</v>
      </c>
      <c r="G44" s="356">
        <f t="shared" si="16"/>
        <v>0</v>
      </c>
      <c r="H44" s="356">
        <f t="shared" si="16"/>
        <v>0</v>
      </c>
      <c r="I44" s="356">
        <f t="shared" si="16"/>
        <v>0</v>
      </c>
      <c r="J44" s="356">
        <f t="shared" si="16"/>
        <v>0</v>
      </c>
      <c r="K44" s="356">
        <f t="shared" si="16"/>
        <v>0</v>
      </c>
      <c r="L44" s="356">
        <f t="shared" si="16"/>
        <v>0</v>
      </c>
      <c r="M44" s="356">
        <f t="shared" si="16"/>
        <v>0</v>
      </c>
      <c r="N44" s="356">
        <f t="shared" si="16"/>
        <v>0</v>
      </c>
      <c r="O44" s="356">
        <f t="shared" si="16"/>
        <v>0</v>
      </c>
    </row>
    <row r="48" spans="1:15">
      <c r="B48" t="s">
        <v>326</v>
      </c>
      <c r="C48" t="s">
        <v>327</v>
      </c>
      <c r="D48" t="s">
        <v>328</v>
      </c>
      <c r="E48" t="s">
        <v>329</v>
      </c>
      <c r="F48" t="s">
        <v>285</v>
      </c>
    </row>
    <row r="49" spans="1:6">
      <c r="A49" t="s">
        <v>469</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56">
        <f>SUM(B49:E49)</f>
        <v>0</v>
      </c>
    </row>
    <row r="50" spans="1:6">
      <c r="A50" t="s">
        <v>470</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56">
        <f t="shared" ref="F50" si="17">SUM(B50:E50)</f>
        <v>0</v>
      </c>
    </row>
    <row r="51" spans="1:6">
      <c r="A51" t="s">
        <v>285</v>
      </c>
      <c r="B51" s="356">
        <f>SUM(B49:B50)</f>
        <v>0</v>
      </c>
      <c r="C51" s="356">
        <f t="shared" ref="C51:F51" si="18">SUM(C49:C50)</f>
        <v>0</v>
      </c>
      <c r="D51" s="356">
        <f t="shared" si="18"/>
        <v>0</v>
      </c>
      <c r="E51" s="356">
        <f t="shared" si="18"/>
        <v>0</v>
      </c>
      <c r="F51" s="356">
        <f t="shared" si="18"/>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E21" zoomScale="80" zoomScaleNormal="80" workbookViewId="0">
      <selection activeCell="R45" sqref="R45:X4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29" t="s">
        <v>471</v>
      </c>
      <c r="B6" s="530"/>
      <c r="C6" s="530"/>
      <c r="D6" s="530"/>
      <c r="E6" s="530"/>
      <c r="F6" s="530"/>
      <c r="G6" s="530"/>
      <c r="H6" s="530"/>
      <c r="I6" s="530"/>
      <c r="J6" s="530"/>
      <c r="K6" s="530"/>
      <c r="L6" s="531"/>
      <c r="M6" s="67"/>
    </row>
    <row r="7" spans="1:26" s="75" customFormat="1" ht="18" customHeight="1">
      <c r="A7" s="532" t="s">
        <v>557</v>
      </c>
      <c r="B7" s="533"/>
      <c r="C7" s="533"/>
      <c r="D7" s="533"/>
      <c r="E7" s="533"/>
      <c r="F7" s="533"/>
      <c r="G7" s="533"/>
      <c r="H7" s="533"/>
      <c r="I7" s="533"/>
      <c r="J7" s="533"/>
      <c r="K7" s="533"/>
      <c r="L7" s="534"/>
      <c r="M7" s="72"/>
    </row>
    <row r="8" spans="1:26" s="75" customFormat="1" ht="83.85" customHeight="1" thickBot="1">
      <c r="A8" s="535"/>
      <c r="B8" s="536"/>
      <c r="C8" s="536"/>
      <c r="D8" s="536"/>
      <c r="E8" s="536"/>
      <c r="F8" s="536"/>
      <c r="G8" s="536"/>
      <c r="H8" s="536"/>
      <c r="I8" s="536"/>
      <c r="J8" s="536"/>
      <c r="K8" s="536"/>
      <c r="L8" s="537"/>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41" t="s">
        <v>558</v>
      </c>
      <c r="B10" s="542"/>
      <c r="C10" s="542"/>
      <c r="D10" s="542"/>
      <c r="E10" s="542"/>
      <c r="F10" s="542"/>
      <c r="G10" s="542"/>
      <c r="H10" s="542"/>
      <c r="I10" s="542"/>
      <c r="J10" s="542"/>
      <c r="K10" s="542"/>
      <c r="L10" s="542"/>
      <c r="M10" s="542"/>
      <c r="N10" s="542"/>
      <c r="O10" s="542"/>
      <c r="P10" s="542"/>
      <c r="Q10" s="542"/>
      <c r="R10" s="542"/>
      <c r="S10" s="542"/>
      <c r="T10" s="542"/>
      <c r="U10" s="543"/>
    </row>
    <row r="11" spans="1:26" s="69" customFormat="1" ht="30.6" customHeight="1" thickBot="1">
      <c r="A11" s="145"/>
      <c r="B11" s="538" t="s">
        <v>472</v>
      </c>
      <c r="C11" s="539"/>
      <c r="D11" s="539"/>
      <c r="E11" s="539"/>
      <c r="F11" s="540"/>
      <c r="G11" s="538" t="s">
        <v>372</v>
      </c>
      <c r="H11" s="539"/>
      <c r="I11" s="539"/>
      <c r="J11" s="539"/>
      <c r="K11" s="540"/>
      <c r="L11" s="538" t="s">
        <v>373</v>
      </c>
      <c r="M11" s="539"/>
      <c r="N11" s="539"/>
      <c r="O11" s="539"/>
      <c r="P11" s="540"/>
      <c r="Q11" s="538" t="s">
        <v>374</v>
      </c>
      <c r="R11" s="539"/>
      <c r="S11" s="539"/>
      <c r="T11" s="539"/>
      <c r="U11" s="540"/>
    </row>
    <row r="12" spans="1:26" s="70" customFormat="1" ht="15.4" customHeight="1" thickBot="1">
      <c r="A12" s="146"/>
      <c r="B12" s="156" t="s">
        <v>326</v>
      </c>
      <c r="C12" s="156" t="s">
        <v>327</v>
      </c>
      <c r="D12" s="156" t="s">
        <v>328</v>
      </c>
      <c r="E12" s="156" t="s">
        <v>329</v>
      </c>
      <c r="F12" s="156" t="s">
        <v>285</v>
      </c>
      <c r="G12" s="156" t="s">
        <v>326</v>
      </c>
      <c r="H12" s="156" t="s">
        <v>327</v>
      </c>
      <c r="I12" s="156" t="s">
        <v>328</v>
      </c>
      <c r="J12" s="156" t="s">
        <v>329</v>
      </c>
      <c r="K12" s="156" t="s">
        <v>285</v>
      </c>
      <c r="L12" s="156" t="s">
        <v>326</v>
      </c>
      <c r="M12" s="156" t="s">
        <v>327</v>
      </c>
      <c r="N12" s="156" t="s">
        <v>328</v>
      </c>
      <c r="O12" s="156" t="s">
        <v>329</v>
      </c>
      <c r="P12" s="156" t="s">
        <v>285</v>
      </c>
      <c r="Q12" s="156" t="s">
        <v>326</v>
      </c>
      <c r="R12" s="156" t="s">
        <v>327</v>
      </c>
      <c r="S12" s="156" t="s">
        <v>328</v>
      </c>
      <c r="T12" s="156" t="s">
        <v>329</v>
      </c>
      <c r="U12" s="156" t="s">
        <v>285</v>
      </c>
    </row>
    <row r="13" spans="1:26" s="71" customFormat="1" ht="12.75" customHeight="1">
      <c r="A13" s="46" t="s">
        <v>473</v>
      </c>
      <c r="B13" s="168"/>
      <c r="C13" s="167"/>
      <c r="D13" s="167"/>
      <c r="E13" s="257"/>
      <c r="F13" s="139">
        <f t="shared" ref="F13:F16" si="0">SUM(B13:E13)</f>
        <v>0</v>
      </c>
      <c r="G13" s="168"/>
      <c r="H13" s="167"/>
      <c r="I13" s="167"/>
      <c r="J13" s="257"/>
      <c r="K13" s="139">
        <f t="shared" ref="K13:K16" si="1">SUM(G13:J13)</f>
        <v>0</v>
      </c>
      <c r="L13" s="168"/>
      <c r="M13" s="167"/>
      <c r="N13" s="167"/>
      <c r="O13" s="257"/>
      <c r="P13" s="139">
        <f t="shared" ref="P13:P16" si="2">SUM(L13:O13)</f>
        <v>0</v>
      </c>
      <c r="Q13" s="168"/>
      <c r="R13" s="167"/>
      <c r="S13" s="167"/>
      <c r="T13" s="257"/>
      <c r="U13" s="139">
        <f t="shared" ref="U13:U16" si="3">SUM(Q13:T13)</f>
        <v>0</v>
      </c>
      <c r="V13" s="73"/>
      <c r="W13" s="73"/>
      <c r="X13" s="73"/>
      <c r="Y13" s="73"/>
      <c r="Z13" s="73"/>
    </row>
    <row r="14" spans="1:26" s="71" customFormat="1" ht="12.75">
      <c r="A14" s="48" t="s">
        <v>474</v>
      </c>
      <c r="B14" s="178"/>
      <c r="C14" s="179"/>
      <c r="D14" s="179"/>
      <c r="E14" s="258"/>
      <c r="F14" s="140">
        <f t="shared" si="0"/>
        <v>0</v>
      </c>
      <c r="G14" s="178"/>
      <c r="H14" s="179"/>
      <c r="I14" s="179"/>
      <c r="J14" s="258"/>
      <c r="K14" s="140">
        <f t="shared" si="1"/>
        <v>0</v>
      </c>
      <c r="L14" s="178"/>
      <c r="M14" s="179"/>
      <c r="N14" s="179"/>
      <c r="O14" s="258"/>
      <c r="P14" s="140">
        <f t="shared" si="2"/>
        <v>0</v>
      </c>
      <c r="Q14" s="178"/>
      <c r="R14" s="179"/>
      <c r="S14" s="179"/>
      <c r="T14" s="258"/>
      <c r="U14" s="140">
        <f t="shared" si="3"/>
        <v>0</v>
      </c>
      <c r="V14" s="73"/>
      <c r="W14" s="73"/>
      <c r="X14" s="73"/>
      <c r="Y14" s="73"/>
      <c r="Z14" s="73"/>
    </row>
    <row r="15" spans="1:26" s="71" customFormat="1" ht="12.75">
      <c r="A15" s="48" t="s">
        <v>475</v>
      </c>
      <c r="B15" s="178"/>
      <c r="C15" s="179"/>
      <c r="D15" s="179"/>
      <c r="E15" s="258"/>
      <c r="F15" s="140">
        <f t="shared" si="0"/>
        <v>0</v>
      </c>
      <c r="G15" s="178"/>
      <c r="H15" s="179"/>
      <c r="I15" s="179"/>
      <c r="J15" s="258"/>
      <c r="K15" s="140">
        <f t="shared" si="1"/>
        <v>0</v>
      </c>
      <c r="L15" s="178"/>
      <c r="M15" s="179"/>
      <c r="N15" s="179"/>
      <c r="O15" s="258"/>
      <c r="P15" s="140">
        <f t="shared" si="2"/>
        <v>0</v>
      </c>
      <c r="Q15" s="178"/>
      <c r="R15" s="179"/>
      <c r="S15" s="179"/>
      <c r="T15" s="258"/>
      <c r="U15" s="140">
        <f t="shared" si="3"/>
        <v>0</v>
      </c>
      <c r="V15" s="73"/>
      <c r="W15" s="73"/>
      <c r="X15" s="73"/>
      <c r="Y15" s="73"/>
      <c r="Z15" s="73"/>
    </row>
    <row r="16" spans="1:26" s="71" customFormat="1" ht="13.5" thickBot="1">
      <c r="A16" s="49" t="s">
        <v>476</v>
      </c>
      <c r="B16" s="180"/>
      <c r="C16" s="169"/>
      <c r="D16" s="169"/>
      <c r="E16" s="259"/>
      <c r="F16" s="141">
        <f t="shared" si="0"/>
        <v>0</v>
      </c>
      <c r="G16" s="180"/>
      <c r="H16" s="169"/>
      <c r="I16" s="169"/>
      <c r="J16" s="259"/>
      <c r="K16" s="141">
        <f t="shared" si="1"/>
        <v>0</v>
      </c>
      <c r="L16" s="180"/>
      <c r="M16" s="169"/>
      <c r="N16" s="169"/>
      <c r="O16" s="259"/>
      <c r="P16" s="141">
        <f t="shared" si="2"/>
        <v>0</v>
      </c>
      <c r="Q16" s="180"/>
      <c r="R16" s="169"/>
      <c r="S16" s="169"/>
      <c r="T16" s="259"/>
      <c r="U16" s="141">
        <f t="shared" si="3"/>
        <v>0</v>
      </c>
      <c r="V16" s="73"/>
      <c r="W16" s="73"/>
      <c r="X16" s="73"/>
      <c r="Y16" s="73"/>
      <c r="Z16" s="73"/>
    </row>
    <row r="17" spans="1:21" s="71" customFormat="1" ht="14.45" customHeight="1" thickBot="1">
      <c r="A17" s="217" t="s">
        <v>285</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38" t="s">
        <v>376</v>
      </c>
      <c r="C20" s="539"/>
      <c r="D20" s="539"/>
      <c r="E20" s="539"/>
      <c r="F20" s="540"/>
      <c r="G20" s="538" t="s">
        <v>377</v>
      </c>
      <c r="H20" s="539"/>
      <c r="I20" s="539"/>
      <c r="J20" s="539"/>
      <c r="K20" s="540"/>
      <c r="L20" s="539" t="s">
        <v>477</v>
      </c>
      <c r="M20" s="539"/>
      <c r="N20" s="539"/>
      <c r="O20" s="539"/>
      <c r="P20" s="540"/>
      <c r="Q20" s="218"/>
      <c r="R20" s="204" t="s">
        <v>379</v>
      </c>
    </row>
    <row r="21" spans="1:21" s="71" customFormat="1" ht="14.45" customHeight="1" thickBot="1">
      <c r="A21" s="146"/>
      <c r="B21" s="156" t="s">
        <v>326</v>
      </c>
      <c r="C21" s="156" t="s">
        <v>327</v>
      </c>
      <c r="D21" s="156" t="s">
        <v>328</v>
      </c>
      <c r="E21" s="156" t="s">
        <v>329</v>
      </c>
      <c r="F21" s="156" t="s">
        <v>285</v>
      </c>
      <c r="G21" s="156" t="s">
        <v>326</v>
      </c>
      <c r="H21" s="156" t="s">
        <v>327</v>
      </c>
      <c r="I21" s="156" t="s">
        <v>328</v>
      </c>
      <c r="J21" s="156" t="s">
        <v>329</v>
      </c>
      <c r="K21" s="156" t="s">
        <v>285</v>
      </c>
      <c r="L21" s="156" t="s">
        <v>326</v>
      </c>
      <c r="M21" s="156" t="s">
        <v>327</v>
      </c>
      <c r="N21" s="156" t="s">
        <v>328</v>
      </c>
      <c r="O21" s="156" t="s">
        <v>329</v>
      </c>
      <c r="P21" s="156" t="s">
        <v>285</v>
      </c>
      <c r="Q21" s="147"/>
      <c r="R21" s="218"/>
      <c r="S21" s="218"/>
      <c r="T21" s="218"/>
      <c r="U21" s="218"/>
    </row>
    <row r="22" spans="1:21" s="71" customFormat="1" ht="14.45" customHeight="1">
      <c r="A22" s="46" t="s">
        <v>473</v>
      </c>
      <c r="B22" s="138"/>
      <c r="C22" s="136"/>
      <c r="D22" s="136"/>
      <c r="E22" s="260"/>
      <c r="F22" s="139">
        <f t="shared" ref="F22:F25" si="4">SUM(B22:E22)</f>
        <v>0</v>
      </c>
      <c r="G22" s="138"/>
      <c r="H22" s="136"/>
      <c r="I22" s="136"/>
      <c r="J22" s="260"/>
      <c r="K22" s="139">
        <f t="shared" ref="K22:K25" si="5">SUM(G22:J22)</f>
        <v>0</v>
      </c>
      <c r="L22" s="138"/>
      <c r="M22" s="136"/>
      <c r="N22" s="136"/>
      <c r="O22" s="260"/>
      <c r="P22" s="139">
        <f t="shared" ref="P22:P25" si="6">SUM(L22:O22)</f>
        <v>0</v>
      </c>
      <c r="Q22" s="147"/>
      <c r="R22" s="557" t="s">
        <v>478</v>
      </c>
      <c r="S22" s="557"/>
      <c r="T22" s="557"/>
      <c r="U22" s="201">
        <f>SUM($F$17+$K$17+$P$17+$U$17+$F$26+$K$26+$P$26)</f>
        <v>0</v>
      </c>
    </row>
    <row r="23" spans="1:21" s="71" customFormat="1" ht="14.45" customHeight="1">
      <c r="A23" s="48" t="s">
        <v>474</v>
      </c>
      <c r="B23" s="10"/>
      <c r="C23" s="12"/>
      <c r="D23" s="12"/>
      <c r="E23" s="261"/>
      <c r="F23" s="140">
        <f t="shared" si="4"/>
        <v>0</v>
      </c>
      <c r="G23" s="10"/>
      <c r="H23" s="12"/>
      <c r="I23" s="12"/>
      <c r="J23" s="261"/>
      <c r="K23" s="140">
        <f t="shared" si="5"/>
        <v>0</v>
      </c>
      <c r="L23" s="10"/>
      <c r="M23" s="12"/>
      <c r="N23" s="12"/>
      <c r="O23" s="261"/>
      <c r="P23" s="140">
        <f t="shared" si="6"/>
        <v>0</v>
      </c>
      <c r="Q23" s="147"/>
      <c r="R23" s="557" t="s">
        <v>479</v>
      </c>
      <c r="S23" s="557"/>
      <c r="T23" s="557"/>
      <c r="U23" s="201">
        <f>SUM(B35,H35,B44,H44,L44,O44)</f>
        <v>0</v>
      </c>
    </row>
    <row r="24" spans="1:21" s="71" customFormat="1" ht="14.45" customHeight="1">
      <c r="A24" s="48" t="s">
        <v>475</v>
      </c>
      <c r="B24" s="10"/>
      <c r="C24" s="12"/>
      <c r="D24" s="12"/>
      <c r="E24" s="261"/>
      <c r="F24" s="140">
        <f t="shared" si="4"/>
        <v>0</v>
      </c>
      <c r="G24" s="10"/>
      <c r="H24" s="12"/>
      <c r="I24" s="12"/>
      <c r="J24" s="261"/>
      <c r="K24" s="140">
        <f t="shared" si="5"/>
        <v>0</v>
      </c>
      <c r="L24" s="10"/>
      <c r="M24" s="12"/>
      <c r="N24" s="12"/>
      <c r="O24" s="261"/>
      <c r="P24" s="140">
        <f t="shared" si="6"/>
        <v>0</v>
      </c>
      <c r="Q24" s="147"/>
      <c r="R24" s="558" t="s">
        <v>385</v>
      </c>
      <c r="S24" s="558"/>
      <c r="T24" s="558"/>
      <c r="U24" s="202" t="str">
        <f>IF(U22=U23, "Yes", "No")</f>
        <v>Yes</v>
      </c>
    </row>
    <row r="25" spans="1:21" s="71" customFormat="1" ht="14.45" customHeight="1" thickBot="1">
      <c r="A25" s="49" t="s">
        <v>476</v>
      </c>
      <c r="B25" s="13"/>
      <c r="C25" s="137"/>
      <c r="D25" s="137"/>
      <c r="E25" s="262"/>
      <c r="F25" s="141">
        <f t="shared" si="4"/>
        <v>0</v>
      </c>
      <c r="G25" s="13"/>
      <c r="H25" s="137"/>
      <c r="I25" s="137"/>
      <c r="J25" s="262"/>
      <c r="K25" s="141">
        <f t="shared" si="5"/>
        <v>0</v>
      </c>
      <c r="L25" s="13"/>
      <c r="M25" s="137"/>
      <c r="N25" s="137"/>
      <c r="O25" s="262"/>
      <c r="P25" s="141">
        <f t="shared" si="6"/>
        <v>0</v>
      </c>
      <c r="Q25" s="147"/>
    </row>
    <row r="26" spans="1:21" s="71" customFormat="1" ht="14.45" customHeight="1" thickBot="1">
      <c r="A26" s="217" t="s">
        <v>285</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47" t="s">
        <v>480</v>
      </c>
      <c r="S26" s="547"/>
      <c r="T26" s="547"/>
      <c r="U26" s="547"/>
    </row>
    <row r="27" spans="1:21" s="71" customFormat="1" ht="12.75" customHeight="1">
      <c r="A27" s="68"/>
      <c r="B27" s="546"/>
      <c r="C27" s="546"/>
      <c r="D27" s="546"/>
      <c r="E27" s="546"/>
      <c r="F27" s="546"/>
      <c r="G27" s="546"/>
      <c r="H27" s="546"/>
      <c r="I27" s="546"/>
      <c r="J27" s="546"/>
      <c r="K27" s="546"/>
      <c r="L27" s="546"/>
      <c r="M27" s="546"/>
      <c r="N27" s="74"/>
      <c r="O27" s="250"/>
      <c r="P27" s="250"/>
      <c r="Q27" s="250"/>
      <c r="R27" s="547"/>
      <c r="S27" s="547"/>
      <c r="T27" s="547"/>
      <c r="U27" s="547"/>
    </row>
    <row r="28" spans="1:21" s="71" customFormat="1" ht="12.75" customHeight="1" thickBot="1">
      <c r="A28" s="68"/>
      <c r="B28" s="216"/>
      <c r="C28" s="216"/>
      <c r="D28" s="216"/>
      <c r="E28" s="216"/>
      <c r="F28" s="216"/>
      <c r="G28" s="216"/>
      <c r="H28" s="216"/>
      <c r="I28" s="216"/>
      <c r="J28" s="216"/>
      <c r="K28" s="216"/>
      <c r="L28" s="216"/>
      <c r="M28" s="216"/>
      <c r="N28" s="74"/>
      <c r="P28" s="250"/>
      <c r="Q28" s="250"/>
      <c r="R28" s="547"/>
      <c r="S28" s="547"/>
      <c r="T28" s="547"/>
      <c r="U28" s="547"/>
    </row>
    <row r="29" spans="1:21" s="71" customFormat="1" ht="15.75" thickBot="1">
      <c r="A29" s="501" t="s">
        <v>559</v>
      </c>
      <c r="B29" s="502"/>
      <c r="C29" s="502"/>
      <c r="D29" s="502"/>
      <c r="E29" s="502"/>
      <c r="F29" s="502"/>
      <c r="G29" s="502"/>
      <c r="H29" s="502"/>
      <c r="I29" s="502"/>
      <c r="J29" s="502"/>
      <c r="K29" s="502"/>
      <c r="L29" s="503"/>
      <c r="M29" s="308"/>
      <c r="N29" s="63"/>
      <c r="O29" s="63"/>
      <c r="R29" s="548"/>
      <c r="S29" s="549"/>
      <c r="T29" s="549"/>
      <c r="U29" s="550"/>
    </row>
    <row r="30" spans="1:21" s="71" customFormat="1" ht="77.25" thickBot="1">
      <c r="A30" s="54"/>
      <c r="B30" s="275" t="s">
        <v>330</v>
      </c>
      <c r="C30" s="130" t="s">
        <v>387</v>
      </c>
      <c r="D30" s="377" t="s">
        <v>388</v>
      </c>
      <c r="E30" s="377" t="s">
        <v>389</v>
      </c>
      <c r="F30" s="377" t="s">
        <v>390</v>
      </c>
      <c r="G30" s="130" t="s">
        <v>391</v>
      </c>
      <c r="H30" s="372" t="s">
        <v>392</v>
      </c>
      <c r="I30" s="377" t="s">
        <v>393</v>
      </c>
      <c r="J30" s="377" t="s">
        <v>394</v>
      </c>
      <c r="K30" s="377" t="s">
        <v>395</v>
      </c>
      <c r="L30" s="377" t="s">
        <v>396</v>
      </c>
      <c r="M30" s="63"/>
      <c r="N30" s="390" t="s">
        <v>397</v>
      </c>
      <c r="O30" s="63"/>
      <c r="R30" s="551"/>
      <c r="S30" s="552"/>
      <c r="T30" s="552"/>
      <c r="U30" s="553"/>
    </row>
    <row r="31" spans="1:21" s="71" customFormat="1" ht="12.75" customHeight="1" thickBot="1">
      <c r="A31" s="55" t="s">
        <v>473</v>
      </c>
      <c r="B31" s="277">
        <f>SUM(C31:G31)</f>
        <v>0</v>
      </c>
      <c r="C31" s="179"/>
      <c r="D31" s="384"/>
      <c r="E31" s="384"/>
      <c r="F31" s="384"/>
      <c r="G31" s="179"/>
      <c r="H31" s="179"/>
      <c r="I31" s="384"/>
      <c r="J31" s="384"/>
      <c r="K31" s="384"/>
      <c r="L31" s="384"/>
      <c r="M31" s="63"/>
      <c r="N31" s="391" t="s">
        <v>398</v>
      </c>
      <c r="O31" s="63"/>
      <c r="R31" s="554"/>
      <c r="S31" s="555"/>
      <c r="T31" s="555"/>
      <c r="U31" s="556"/>
    </row>
    <row r="32" spans="1:21" s="71" customFormat="1" ht="12.75" customHeight="1">
      <c r="A32" s="49" t="s">
        <v>474</v>
      </c>
      <c r="B32" s="277">
        <f>SUM(C32:G32)</f>
        <v>0</v>
      </c>
      <c r="C32" s="179"/>
      <c r="D32" s="384"/>
      <c r="E32" s="384"/>
      <c r="F32" s="384"/>
      <c r="G32" s="179"/>
      <c r="H32" s="179"/>
      <c r="I32" s="384"/>
      <c r="J32" s="384"/>
      <c r="K32" s="384"/>
      <c r="L32" s="384"/>
      <c r="M32" s="63"/>
      <c r="N32" s="201" t="s">
        <v>399</v>
      </c>
      <c r="O32" s="63"/>
      <c r="P32" s="203"/>
      <c r="Q32" s="203"/>
      <c r="R32" s="203"/>
    </row>
    <row r="33" spans="1:24" s="71" customFormat="1" ht="12.75" customHeight="1">
      <c r="A33" s="48" t="s">
        <v>475</v>
      </c>
      <c r="B33" s="278">
        <f t="shared" ref="B33:B34" si="7">SUM(C33:G33)</f>
        <v>0</v>
      </c>
      <c r="C33" s="179"/>
      <c r="D33" s="384"/>
      <c r="E33" s="384"/>
      <c r="F33" s="384"/>
      <c r="G33" s="179"/>
      <c r="H33" s="179"/>
      <c r="I33" s="384"/>
      <c r="J33" s="384"/>
      <c r="K33" s="384"/>
      <c r="L33" s="384"/>
      <c r="M33" s="63"/>
      <c r="N33" s="201" t="s">
        <v>400</v>
      </c>
      <c r="O33" s="63"/>
      <c r="P33" s="203"/>
      <c r="Q33" s="203"/>
      <c r="R33" s="203"/>
    </row>
    <row r="34" spans="1:24" s="71" customFormat="1" ht="12.75" customHeight="1" thickBot="1">
      <c r="A34" s="48" t="s">
        <v>476</v>
      </c>
      <c r="B34" s="278">
        <f t="shared" si="7"/>
        <v>0</v>
      </c>
      <c r="C34" s="179"/>
      <c r="D34" s="384"/>
      <c r="E34" s="384"/>
      <c r="F34" s="384"/>
      <c r="G34" s="179"/>
      <c r="H34" s="179"/>
      <c r="I34" s="384"/>
      <c r="J34" s="384"/>
      <c r="K34" s="384"/>
      <c r="L34" s="384"/>
      <c r="M34" s="63"/>
      <c r="N34" s="381"/>
      <c r="O34" s="63"/>
      <c r="P34" s="206"/>
      <c r="Q34" s="206"/>
      <c r="R34" s="206"/>
      <c r="S34" s="206"/>
      <c r="T34" s="206"/>
      <c r="U34" s="206"/>
    </row>
    <row r="35" spans="1:24" s="71" customFormat="1" ht="12.75" customHeight="1" thickBot="1">
      <c r="A35" s="217" t="s">
        <v>285</v>
      </c>
      <c r="B35" s="56">
        <f>SUM(B31:B34)</f>
        <v>0</v>
      </c>
      <c r="C35" s="52">
        <f>SUM(C31:C34)</f>
        <v>0</v>
      </c>
      <c r="D35" s="385">
        <f t="shared" ref="D35:L35" si="8">SUM(D31:D34)</f>
        <v>0</v>
      </c>
      <c r="E35" s="385">
        <f t="shared" si="8"/>
        <v>0</v>
      </c>
      <c r="F35" s="385">
        <f t="shared" si="8"/>
        <v>0</v>
      </c>
      <c r="G35" s="52">
        <f t="shared" si="8"/>
        <v>0</v>
      </c>
      <c r="H35" s="52">
        <f t="shared" si="8"/>
        <v>0</v>
      </c>
      <c r="I35" s="385">
        <f t="shared" si="8"/>
        <v>0</v>
      </c>
      <c r="J35" s="385">
        <f t="shared" si="8"/>
        <v>0</v>
      </c>
      <c r="K35" s="385">
        <f t="shared" si="8"/>
        <v>0</v>
      </c>
      <c r="L35" s="385">
        <f t="shared" si="8"/>
        <v>0</v>
      </c>
      <c r="M35" s="63"/>
      <c r="N35" s="201" t="s">
        <v>401</v>
      </c>
      <c r="O35" s="63"/>
      <c r="P35" s="207"/>
      <c r="Q35" s="207"/>
      <c r="R35" s="205"/>
      <c r="S35" s="207"/>
      <c r="T35" s="207"/>
      <c r="U35" s="207"/>
    </row>
    <row r="36" spans="1:24" ht="15" customHeight="1">
      <c r="R36" s="218"/>
      <c r="S36" s="218"/>
      <c r="T36" s="218"/>
      <c r="U36" s="208"/>
      <c r="V36" s="208"/>
      <c r="W36" s="208"/>
      <c r="X36" s="208"/>
    </row>
    <row r="37" spans="1:24" ht="15.75" thickBot="1">
      <c r="O37" s="251"/>
      <c r="R37" s="218"/>
      <c r="S37" s="218"/>
      <c r="T37" s="218"/>
      <c r="U37" s="202"/>
      <c r="V37" s="201"/>
      <c r="W37" s="208"/>
      <c r="X37" s="209"/>
    </row>
    <row r="38" spans="1:24" ht="15.75" thickBot="1">
      <c r="A38" s="501" t="s">
        <v>559</v>
      </c>
      <c r="B38" s="502"/>
      <c r="C38" s="502"/>
      <c r="D38" s="502"/>
      <c r="E38" s="502"/>
      <c r="F38" s="502"/>
      <c r="G38" s="502"/>
      <c r="H38" s="502"/>
      <c r="I38" s="502"/>
      <c r="J38" s="502"/>
      <c r="K38" s="502"/>
      <c r="L38" s="502"/>
      <c r="M38" s="502"/>
      <c r="N38" s="502"/>
      <c r="O38" s="503"/>
      <c r="R38" s="218"/>
      <c r="T38" s="218"/>
      <c r="U38" s="202"/>
      <c r="V38" s="201"/>
      <c r="W38" s="208"/>
      <c r="X38" s="209"/>
    </row>
    <row r="39" spans="1:24" ht="67.150000000000006" customHeight="1" thickBot="1">
      <c r="A39" s="54"/>
      <c r="B39" s="276" t="s">
        <v>433</v>
      </c>
      <c r="C39" s="386" t="s">
        <v>404</v>
      </c>
      <c r="D39" s="386" t="s">
        <v>405</v>
      </c>
      <c r="E39" s="386" t="s">
        <v>406</v>
      </c>
      <c r="F39" s="361" t="s">
        <v>407</v>
      </c>
      <c r="G39" s="361" t="s">
        <v>408</v>
      </c>
      <c r="H39" s="373" t="s">
        <v>409</v>
      </c>
      <c r="I39" s="377" t="s">
        <v>410</v>
      </c>
      <c r="J39" s="377" t="s">
        <v>411</v>
      </c>
      <c r="K39" s="377" t="s">
        <v>412</v>
      </c>
      <c r="L39" s="276" t="s">
        <v>328</v>
      </c>
      <c r="M39" s="377" t="s">
        <v>414</v>
      </c>
      <c r="N39" s="130" t="s">
        <v>415</v>
      </c>
      <c r="O39" s="276" t="s">
        <v>416</v>
      </c>
      <c r="R39" s="218"/>
      <c r="T39" s="218"/>
      <c r="U39" s="202"/>
      <c r="V39" s="201"/>
      <c r="W39" s="208"/>
      <c r="X39" s="209"/>
    </row>
    <row r="40" spans="1:24">
      <c r="A40" s="55" t="s">
        <v>473</v>
      </c>
      <c r="B40" s="359">
        <f>SUM(C40:G40)</f>
        <v>0</v>
      </c>
      <c r="C40" s="384"/>
      <c r="D40" s="384"/>
      <c r="E40" s="384"/>
      <c r="F40" s="179"/>
      <c r="G40" s="179"/>
      <c r="H40" s="179"/>
      <c r="I40" s="384"/>
      <c r="J40" s="384"/>
      <c r="K40" s="384"/>
      <c r="L40" s="277">
        <f>SUM(M40:N40)</f>
        <v>0</v>
      </c>
      <c r="M40" s="384"/>
      <c r="N40" s="179"/>
      <c r="O40" s="179"/>
      <c r="P40" s="218"/>
      <c r="Q40" s="218"/>
      <c r="R40" s="218"/>
      <c r="S40" s="202"/>
      <c r="T40" s="202"/>
      <c r="U40" s="202"/>
      <c r="V40" s="209"/>
    </row>
    <row r="41" spans="1:24" ht="15" customHeight="1">
      <c r="A41" s="49" t="s">
        <v>474</v>
      </c>
      <c r="B41" s="360">
        <f t="shared" ref="B41:B43" si="9">SUM(C41:G41)</f>
        <v>0</v>
      </c>
      <c r="C41" s="384"/>
      <c r="D41" s="384"/>
      <c r="E41" s="384"/>
      <c r="F41" s="179"/>
      <c r="G41" s="179"/>
      <c r="H41" s="179"/>
      <c r="I41" s="384"/>
      <c r="J41" s="384"/>
      <c r="K41" s="384"/>
      <c r="L41" s="278">
        <f t="shared" ref="L41:L43" si="10">SUM(M41:N41)</f>
        <v>0</v>
      </c>
      <c r="M41" s="384"/>
      <c r="N41" s="179"/>
      <c r="O41" s="179"/>
      <c r="Q41" s="251"/>
      <c r="R41" s="544"/>
      <c r="S41" s="544"/>
      <c r="T41" s="544"/>
      <c r="U41" s="544"/>
      <c r="V41" s="544"/>
      <c r="W41" s="544"/>
      <c r="X41" s="544"/>
    </row>
    <row r="42" spans="1:24" ht="15" customHeight="1">
      <c r="A42" s="48" t="s">
        <v>475</v>
      </c>
      <c r="B42" s="360">
        <f t="shared" si="9"/>
        <v>0</v>
      </c>
      <c r="C42" s="384"/>
      <c r="D42" s="384"/>
      <c r="E42" s="384"/>
      <c r="F42" s="179"/>
      <c r="G42" s="179"/>
      <c r="H42" s="179"/>
      <c r="I42" s="384"/>
      <c r="J42" s="384"/>
      <c r="K42" s="384"/>
      <c r="L42" s="278">
        <f t="shared" si="10"/>
        <v>0</v>
      </c>
      <c r="M42" s="384"/>
      <c r="N42" s="179"/>
      <c r="O42" s="179"/>
      <c r="Q42" s="251"/>
      <c r="R42" s="544"/>
      <c r="S42" s="544"/>
      <c r="T42" s="544"/>
      <c r="U42" s="544"/>
      <c r="V42" s="544"/>
      <c r="W42" s="544"/>
      <c r="X42" s="544"/>
    </row>
    <row r="43" spans="1:24" ht="15.75" thickBot="1">
      <c r="A43" s="48" t="s">
        <v>476</v>
      </c>
      <c r="B43" s="360">
        <f t="shared" si="9"/>
        <v>0</v>
      </c>
      <c r="C43" s="384"/>
      <c r="D43" s="384"/>
      <c r="E43" s="384"/>
      <c r="F43" s="179"/>
      <c r="G43" s="179"/>
      <c r="H43" s="179"/>
      <c r="I43" s="384"/>
      <c r="J43" s="384"/>
      <c r="K43" s="384"/>
      <c r="L43" s="278">
        <f t="shared" si="10"/>
        <v>0</v>
      </c>
      <c r="M43" s="384"/>
      <c r="N43" s="179"/>
      <c r="O43" s="179"/>
      <c r="P43" s="251"/>
      <c r="Q43" s="251"/>
      <c r="R43" s="544"/>
      <c r="S43" s="544"/>
      <c r="T43" s="544"/>
      <c r="U43" s="544"/>
      <c r="V43" s="544"/>
      <c r="W43" s="544"/>
      <c r="X43" s="544"/>
    </row>
    <row r="44" spans="1:24" ht="15.75" thickBot="1">
      <c r="A44" s="217" t="s">
        <v>285</v>
      </c>
      <c r="B44" s="56">
        <f>SUM(B40:B43)</f>
        <v>0</v>
      </c>
      <c r="C44" s="387">
        <f>SUM(C40:C43)</f>
        <v>0</v>
      </c>
      <c r="D44" s="387">
        <f t="shared" ref="D44" si="11">SUM(D40:D43)</f>
        <v>0</v>
      </c>
      <c r="E44" s="387">
        <f t="shared" ref="E44" si="12">SUM(E40:E43)</f>
        <v>0</v>
      </c>
      <c r="F44" s="362">
        <f t="shared" ref="F44" si="13">SUM(F40:F43)</f>
        <v>0</v>
      </c>
      <c r="G44" s="362">
        <f t="shared" ref="G44" si="14">SUM(G40:G43)</f>
        <v>0</v>
      </c>
      <c r="H44" s="52">
        <f t="shared" ref="H44" si="15">SUM(H40:H43)</f>
        <v>0</v>
      </c>
      <c r="I44" s="385">
        <f t="shared" ref="I44" si="16">SUM(I40:I43)</f>
        <v>0</v>
      </c>
      <c r="J44" s="385">
        <f t="shared" ref="J44" si="17">SUM(J40:J43)</f>
        <v>0</v>
      </c>
      <c r="K44" s="385">
        <f t="shared" ref="K44" si="18">SUM(K40:K43)</f>
        <v>0</v>
      </c>
      <c r="L44" s="52">
        <f>SUM(L40:L43)</f>
        <v>0</v>
      </c>
      <c r="M44" s="385">
        <f t="shared" ref="M44" si="19">SUM(M40:M43)</f>
        <v>0</v>
      </c>
      <c r="N44" s="52">
        <f t="shared" ref="N44" si="20">SUM(N40:N43)</f>
        <v>0</v>
      </c>
      <c r="O44" s="52">
        <f t="shared" ref="O44" si="21">SUM(O40:O43)</f>
        <v>0</v>
      </c>
      <c r="P44" s="251"/>
      <c r="Q44" s="251"/>
      <c r="R44" s="544"/>
      <c r="S44" s="544"/>
      <c r="T44" s="544"/>
      <c r="U44" s="544"/>
      <c r="V44" s="544"/>
      <c r="W44" s="544"/>
      <c r="X44" s="544"/>
    </row>
    <row r="45" spans="1:24" ht="14.45" customHeight="1">
      <c r="O45" s="210"/>
      <c r="P45" s="308"/>
      <c r="R45" s="545"/>
      <c r="S45" s="545"/>
      <c r="T45" s="545"/>
      <c r="U45" s="545"/>
      <c r="V45" s="545"/>
      <c r="W45" s="545"/>
      <c r="X45" s="545"/>
    </row>
    <row r="46" spans="1:24" ht="15.75" thickBot="1">
      <c r="O46" s="210"/>
      <c r="R46" s="545"/>
      <c r="S46" s="545"/>
      <c r="T46" s="545"/>
      <c r="U46" s="545"/>
      <c r="V46" s="545"/>
      <c r="W46" s="545"/>
      <c r="X46" s="545"/>
    </row>
    <row r="47" spans="1:24" ht="15.75" thickBot="1">
      <c r="A47" s="541" t="s">
        <v>560</v>
      </c>
      <c r="B47" s="542"/>
      <c r="C47" s="542"/>
      <c r="D47" s="542"/>
      <c r="E47" s="542"/>
      <c r="F47" s="543"/>
      <c r="O47" s="210"/>
      <c r="R47" s="545"/>
      <c r="S47" s="545"/>
      <c r="T47" s="545"/>
      <c r="U47" s="545"/>
      <c r="V47" s="545"/>
      <c r="W47" s="545"/>
      <c r="X47" s="545"/>
    </row>
    <row r="48" spans="1:24" ht="15.75" thickBot="1">
      <c r="A48" s="45"/>
      <c r="B48" s="157" t="s">
        <v>326</v>
      </c>
      <c r="C48" s="158" t="s">
        <v>327</v>
      </c>
      <c r="D48" s="156" t="s">
        <v>328</v>
      </c>
      <c r="E48" s="156" t="s">
        <v>329</v>
      </c>
      <c r="F48" s="159" t="s">
        <v>285</v>
      </c>
      <c r="R48" s="545"/>
      <c r="S48" s="545"/>
      <c r="T48" s="545"/>
      <c r="U48" s="545"/>
      <c r="V48" s="545"/>
      <c r="W48" s="545"/>
      <c r="X48" s="545"/>
    </row>
    <row r="49" spans="1:24" ht="15.75" thickBot="1">
      <c r="A49" s="57" t="s">
        <v>481</v>
      </c>
      <c r="B49" s="177"/>
      <c r="C49" s="170"/>
      <c r="D49" s="309"/>
      <c r="E49" s="310"/>
      <c r="F49" s="47">
        <f t="shared" ref="F49:F50" si="22">SUM(B49:E49)</f>
        <v>0</v>
      </c>
      <c r="R49" s="271"/>
      <c r="S49" s="271"/>
      <c r="T49" s="271"/>
      <c r="U49" s="271"/>
      <c r="V49" s="271"/>
      <c r="W49" s="271"/>
      <c r="X49" s="271"/>
    </row>
    <row r="50" spans="1:24" ht="15.75" thickBot="1">
      <c r="A50" s="58" t="s">
        <v>482</v>
      </c>
      <c r="B50" s="180"/>
      <c r="C50" s="169"/>
      <c r="D50" s="311"/>
      <c r="E50" s="312"/>
      <c r="F50" s="266">
        <f t="shared" si="22"/>
        <v>0</v>
      </c>
    </row>
    <row r="51" spans="1:24" ht="15.75" thickBot="1">
      <c r="A51" s="217" t="s">
        <v>285</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algorithmName="SHA-512" hashValue="yA0Jy2y3jmX7fxGwF8FkdJnUZO/MFu/c8Zx81jpo0bR8xpfi7WBZXYmFtWYEf13AjVwUZl6gB95bmnSnokcWCw==" saltValue="czZLwy0kevq5wvG3u2BYIA==" spinCount="100000" sheet="1" objects="1" scenarios="1" selectLockedCells="1"/>
  <mergeCells count="22">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 ref="A6:L6"/>
    <mergeCell ref="A7:L8"/>
    <mergeCell ref="B11:F11"/>
    <mergeCell ref="G11:K11"/>
    <mergeCell ref="L11:P11"/>
    <mergeCell ref="A10:U10"/>
    <mergeCell ref="Q11:U11"/>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K43 C31:L34 M40:O43"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O16" sqref="O16"/>
    </sheetView>
  </sheetViews>
  <sheetFormatPr defaultRowHeight="12.75"/>
  <cols>
    <col min="1" max="1" width="32.28515625" customWidth="1"/>
  </cols>
  <sheetData>
    <row r="4" spans="1:21">
      <c r="C4" s="333" t="s">
        <v>18</v>
      </c>
      <c r="D4" s="334">
        <f>VLOOKUP(Cover!A6,Cover!B319:D335,2,FALSE)</f>
        <v>2025</v>
      </c>
      <c r="E4" s="355" t="str">
        <f>Cover!A10</f>
        <v>Avon</v>
      </c>
      <c r="F4" s="357" t="s">
        <v>483</v>
      </c>
      <c r="G4" s="357" t="s">
        <v>484</v>
      </c>
    </row>
    <row r="5" spans="1:21">
      <c r="D5" s="358" t="str">
        <f>VLOOKUP(Cover!A6,Cover!B319:D335,3,FALSE)</f>
        <v>2024/25</v>
      </c>
    </row>
    <row r="11" spans="1:21">
      <c r="B11" s="199" t="s">
        <v>464</v>
      </c>
      <c r="C11" s="199" t="s">
        <v>465</v>
      </c>
      <c r="D11" s="199" t="s">
        <v>466</v>
      </c>
      <c r="E11" s="199" t="s">
        <v>467</v>
      </c>
      <c r="F11" t="s">
        <v>285</v>
      </c>
      <c r="G11" t="s">
        <v>302</v>
      </c>
      <c r="H11" t="s">
        <v>303</v>
      </c>
      <c r="I11" t="s">
        <v>304</v>
      </c>
      <c r="J11" t="s">
        <v>305</v>
      </c>
      <c r="K11" t="s">
        <v>285</v>
      </c>
      <c r="L11" t="s">
        <v>306</v>
      </c>
      <c r="M11" t="s">
        <v>307</v>
      </c>
      <c r="N11" t="s">
        <v>308</v>
      </c>
      <c r="O11" t="s">
        <v>309</v>
      </c>
      <c r="P11" t="s">
        <v>285</v>
      </c>
      <c r="Q11" s="199" t="s">
        <v>310</v>
      </c>
      <c r="R11" t="s">
        <v>311</v>
      </c>
      <c r="S11" t="s">
        <v>312</v>
      </c>
      <c r="T11" t="s">
        <v>313</v>
      </c>
      <c r="U11" t="s">
        <v>285</v>
      </c>
    </row>
    <row r="12" spans="1:21">
      <c r="A12" t="s">
        <v>273</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56">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56">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56">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56">
        <f>SUM(Q12:T12)</f>
        <v>0</v>
      </c>
    </row>
    <row r="13" spans="1:21">
      <c r="A13" t="s">
        <v>286</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56">
        <f t="shared" ref="F13:F14" si="0">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56">
        <f t="shared" ref="K13:K14" si="1">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56">
        <f t="shared" ref="P13:P14" si="2">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56">
        <f t="shared" ref="U13:U14" si="3">SUM(Q13:T13)</f>
        <v>0</v>
      </c>
    </row>
    <row r="14" spans="1:21">
      <c r="A14" t="s">
        <v>468</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56">
        <f t="shared" si="0"/>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56">
        <f t="shared" si="1"/>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56">
        <f t="shared" si="2"/>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56">
        <f t="shared" si="3"/>
        <v>0</v>
      </c>
    </row>
    <row r="15" spans="1:21">
      <c r="A15" t="s">
        <v>285</v>
      </c>
      <c r="B15" s="356">
        <f>SUM(B12:B14)</f>
        <v>0</v>
      </c>
      <c r="C15" s="356">
        <f t="shared" ref="C15:F15" si="4">SUM(C12:C14)</f>
        <v>0</v>
      </c>
      <c r="D15" s="356">
        <f t="shared" si="4"/>
        <v>0</v>
      </c>
      <c r="E15" s="356">
        <f t="shared" si="4"/>
        <v>0</v>
      </c>
      <c r="F15" s="356">
        <f t="shared" si="4"/>
        <v>0</v>
      </c>
      <c r="G15" s="356">
        <f>SUM(G12:G14)</f>
        <v>0</v>
      </c>
      <c r="H15" s="356">
        <f t="shared" ref="H15" si="5">SUM(H12:H14)</f>
        <v>0</v>
      </c>
      <c r="I15" s="356">
        <f t="shared" ref="I15" si="6">SUM(I12:I14)</f>
        <v>0</v>
      </c>
      <c r="J15" s="356">
        <f t="shared" ref="J15" si="7">SUM(J12:J14)</f>
        <v>0</v>
      </c>
      <c r="K15" s="356">
        <f t="shared" ref="K15" si="8">SUM(K12:K14)</f>
        <v>0</v>
      </c>
      <c r="L15" s="356">
        <f>SUM(L12:L14)</f>
        <v>0</v>
      </c>
      <c r="M15" s="356">
        <f t="shared" ref="M15" si="9">SUM(M12:M14)</f>
        <v>0</v>
      </c>
      <c r="N15" s="356">
        <f t="shared" ref="N15" si="10">SUM(N12:N14)</f>
        <v>0</v>
      </c>
      <c r="O15" s="356">
        <f t="shared" ref="O15" si="11">SUM(O12:O14)</f>
        <v>0</v>
      </c>
      <c r="P15" s="356">
        <f t="shared" ref="P15" si="12">SUM(P12:P14)</f>
        <v>0</v>
      </c>
      <c r="Q15" s="356">
        <f>SUM(Q12:Q14)</f>
        <v>0</v>
      </c>
      <c r="R15" s="356">
        <f t="shared" ref="R15" si="13">SUM(R12:R14)</f>
        <v>0</v>
      </c>
      <c r="S15" s="356">
        <f t="shared" ref="S15" si="14">SUM(S12:S14)</f>
        <v>0</v>
      </c>
      <c r="T15" s="356">
        <f t="shared" ref="T15" si="15">SUM(T12:T14)</f>
        <v>0</v>
      </c>
      <c r="U15" s="356">
        <f t="shared" ref="U15" si="16">SUM(U12:U14)</f>
        <v>0</v>
      </c>
    </row>
    <row r="18" spans="1:21">
      <c r="B18" t="s">
        <v>314</v>
      </c>
      <c r="C18" t="s">
        <v>315</v>
      </c>
      <c r="D18" t="s">
        <v>316</v>
      </c>
      <c r="E18" t="s">
        <v>317</v>
      </c>
      <c r="F18" t="s">
        <v>285</v>
      </c>
      <c r="G18" t="s">
        <v>318</v>
      </c>
      <c r="H18" t="s">
        <v>319</v>
      </c>
      <c r="I18" t="s">
        <v>320</v>
      </c>
      <c r="J18" t="s">
        <v>321</v>
      </c>
      <c r="K18" t="s">
        <v>285</v>
      </c>
      <c r="L18" t="s">
        <v>322</v>
      </c>
      <c r="M18" t="s">
        <v>323</v>
      </c>
      <c r="N18" t="s">
        <v>324</v>
      </c>
      <c r="O18" t="s">
        <v>325</v>
      </c>
      <c r="P18" t="s">
        <v>285</v>
      </c>
      <c r="Q18" t="s">
        <v>326</v>
      </c>
      <c r="R18" t="s">
        <v>327</v>
      </c>
      <c r="S18" t="s">
        <v>328</v>
      </c>
      <c r="T18" t="s">
        <v>329</v>
      </c>
      <c r="U18" t="s">
        <v>285</v>
      </c>
    </row>
    <row r="19" spans="1:21">
      <c r="A19" t="s">
        <v>273</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56">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56">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56">
        <f>SUM(L19:O19)</f>
        <v>0</v>
      </c>
      <c r="Q19" s="356">
        <f>B12+G12+L12+Q12+B19+G19+L19</f>
        <v>0</v>
      </c>
      <c r="R19" s="356">
        <f t="shared" ref="R19:U19" si="17">C12+H12+M12+R12+C19+H19+M19</f>
        <v>0</v>
      </c>
      <c r="S19" s="356">
        <f t="shared" si="17"/>
        <v>0</v>
      </c>
      <c r="T19" s="356">
        <f t="shared" si="17"/>
        <v>0</v>
      </c>
      <c r="U19" s="356">
        <f t="shared" si="17"/>
        <v>0</v>
      </c>
    </row>
    <row r="20" spans="1:21">
      <c r="A20" t="s">
        <v>286</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56">
        <f t="shared" ref="F20:F21" si="18">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56">
        <f t="shared" ref="K20:K21" si="19">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56">
        <f t="shared" ref="P20:P21" si="20">SUM(L20:O20)</f>
        <v>0</v>
      </c>
      <c r="Q20" s="356">
        <f t="shared" ref="Q20:U20" si="21">B13+G13+L13+Q13+B20+G20+L20</f>
        <v>0</v>
      </c>
      <c r="R20" s="356">
        <f t="shared" si="21"/>
        <v>0</v>
      </c>
      <c r="S20" s="356">
        <f t="shared" si="21"/>
        <v>0</v>
      </c>
      <c r="T20" s="356">
        <f t="shared" si="21"/>
        <v>0</v>
      </c>
      <c r="U20" s="356">
        <f t="shared" si="21"/>
        <v>0</v>
      </c>
    </row>
    <row r="21" spans="1:21">
      <c r="A21" t="s">
        <v>468</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56">
        <f t="shared" si="18"/>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56">
        <f t="shared" si="19"/>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56">
        <f t="shared" si="20"/>
        <v>0</v>
      </c>
      <c r="Q21" s="356">
        <f t="shared" ref="Q21:U21" si="22">B14+G14+L14+Q14+B21+G21+L21</f>
        <v>0</v>
      </c>
      <c r="R21" s="356">
        <f t="shared" si="22"/>
        <v>0</v>
      </c>
      <c r="S21" s="356">
        <f t="shared" si="22"/>
        <v>0</v>
      </c>
      <c r="T21" s="356">
        <f t="shared" si="22"/>
        <v>0</v>
      </c>
      <c r="U21" s="356">
        <f t="shared" si="22"/>
        <v>0</v>
      </c>
    </row>
    <row r="22" spans="1:21">
      <c r="A22" t="s">
        <v>285</v>
      </c>
      <c r="B22" s="356">
        <f>SUM(B19:B21)</f>
        <v>0</v>
      </c>
      <c r="C22" s="356">
        <f t="shared" ref="C22" si="23">SUM(C19:C21)</f>
        <v>0</v>
      </c>
      <c r="D22" s="356">
        <f t="shared" ref="D22" si="24">SUM(D19:D21)</f>
        <v>0</v>
      </c>
      <c r="E22" s="356">
        <f t="shared" ref="E22" si="25">SUM(E19:E21)</f>
        <v>0</v>
      </c>
      <c r="F22" s="356">
        <f t="shared" ref="F22" si="26">SUM(F19:F21)</f>
        <v>0</v>
      </c>
      <c r="G22" s="356">
        <f>SUM(G19:G21)</f>
        <v>0</v>
      </c>
      <c r="H22" s="356">
        <f t="shared" ref="H22" si="27">SUM(H19:H21)</f>
        <v>0</v>
      </c>
      <c r="I22" s="356">
        <f t="shared" ref="I22" si="28">SUM(I19:I21)</f>
        <v>0</v>
      </c>
      <c r="J22" s="356">
        <f t="shared" ref="J22" si="29">SUM(J19:J21)</f>
        <v>0</v>
      </c>
      <c r="K22" s="356">
        <f t="shared" ref="K22" si="30">SUM(K19:K21)</f>
        <v>0</v>
      </c>
      <c r="L22" s="356">
        <f>SUM(L19:L21)</f>
        <v>0</v>
      </c>
      <c r="M22" s="356">
        <f t="shared" ref="M22" si="31">SUM(M19:M21)</f>
        <v>0</v>
      </c>
      <c r="N22" s="356">
        <f t="shared" ref="N22" si="32">SUM(N19:N21)</f>
        <v>0</v>
      </c>
      <c r="O22" s="356">
        <f t="shared" ref="O22" si="33">SUM(O19:O21)</f>
        <v>0</v>
      </c>
      <c r="P22" s="356">
        <f t="shared" ref="P22" si="34">SUM(P19:P21)</f>
        <v>0</v>
      </c>
      <c r="Q22" s="356">
        <f t="shared" ref="Q22:U22" si="35">B15+G15+L15+Q15+B22+G22+L22</f>
        <v>0</v>
      </c>
      <c r="R22" s="356">
        <f t="shared" si="35"/>
        <v>0</v>
      </c>
      <c r="S22" s="356">
        <f t="shared" si="35"/>
        <v>0</v>
      </c>
      <c r="T22" s="356">
        <f t="shared" si="35"/>
        <v>0</v>
      </c>
      <c r="U22" s="356">
        <f t="shared" si="35"/>
        <v>0</v>
      </c>
    </row>
    <row r="25" spans="1:21">
      <c r="B25" t="s">
        <v>330</v>
      </c>
      <c r="C25" t="s">
        <v>331</v>
      </c>
      <c r="D25" t="s">
        <v>332</v>
      </c>
      <c r="E25" t="s">
        <v>333</v>
      </c>
      <c r="F25" t="s">
        <v>334</v>
      </c>
      <c r="G25" t="s">
        <v>335</v>
      </c>
      <c r="H25" t="s">
        <v>336</v>
      </c>
      <c r="I25" t="s">
        <v>337</v>
      </c>
      <c r="J25" t="s">
        <v>338</v>
      </c>
      <c r="K25" t="s">
        <v>339</v>
      </c>
      <c r="L25" t="s">
        <v>221</v>
      </c>
      <c r="M25" s="199"/>
    </row>
    <row r="26" spans="1:21">
      <c r="A26" t="s">
        <v>273</v>
      </c>
      <c r="B26">
        <f>SUM(C26:G26)</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286</v>
      </c>
      <c r="B27">
        <f t="shared" ref="B27:B28" si="36">SUM(C27:G27)</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468</v>
      </c>
      <c r="B28">
        <f t="shared" si="36"/>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285</v>
      </c>
      <c r="B29" s="356">
        <f>SUM(B26:B28)</f>
        <v>0</v>
      </c>
      <c r="C29" s="356">
        <f t="shared" ref="C29:L29" si="37">SUM(C26:C28)</f>
        <v>0</v>
      </c>
      <c r="D29" s="356">
        <f t="shared" si="37"/>
        <v>0</v>
      </c>
      <c r="E29" s="356">
        <f t="shared" si="37"/>
        <v>0</v>
      </c>
      <c r="F29" s="356">
        <f t="shared" si="37"/>
        <v>0</v>
      </c>
      <c r="G29" s="356">
        <f t="shared" si="37"/>
        <v>0</v>
      </c>
      <c r="H29" s="356">
        <f t="shared" si="37"/>
        <v>0</v>
      </c>
      <c r="I29" s="356">
        <f t="shared" si="37"/>
        <v>0</v>
      </c>
      <c r="J29" s="356">
        <f t="shared" si="37"/>
        <v>0</v>
      </c>
      <c r="K29" s="356">
        <f t="shared" si="37"/>
        <v>0</v>
      </c>
      <c r="L29" s="356">
        <f t="shared" si="37"/>
        <v>0</v>
      </c>
    </row>
    <row r="32" spans="1:21">
      <c r="A32" t="s">
        <v>485</v>
      </c>
    </row>
    <row r="33" spans="1:21">
      <c r="B33" t="s">
        <v>340</v>
      </c>
      <c r="C33" t="s">
        <v>341</v>
      </c>
      <c r="D33" t="s">
        <v>342</v>
      </c>
      <c r="E33" t="s">
        <v>343</v>
      </c>
      <c r="F33" t="s">
        <v>226</v>
      </c>
      <c r="G33" t="s">
        <v>344</v>
      </c>
      <c r="H33" t="s">
        <v>345</v>
      </c>
      <c r="I33" t="s">
        <v>346</v>
      </c>
      <c r="J33" t="s">
        <v>347</v>
      </c>
      <c r="K33" t="s">
        <v>348</v>
      </c>
      <c r="L33" t="s">
        <v>349</v>
      </c>
      <c r="M33" t="s">
        <v>350</v>
      </c>
      <c r="N33" t="s">
        <v>234</v>
      </c>
      <c r="O33" t="s">
        <v>351</v>
      </c>
    </row>
    <row r="34" spans="1:21">
      <c r="A34" t="s">
        <v>273</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286</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468</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285</v>
      </c>
      <c r="B37" s="356">
        <f>SUM(B34:B36)</f>
        <v>0</v>
      </c>
      <c r="C37" s="356">
        <f t="shared" ref="C37" si="38">SUM(C34:C36)</f>
        <v>0</v>
      </c>
      <c r="D37" s="356">
        <f t="shared" ref="D37" si="39">SUM(D34:D36)</f>
        <v>0</v>
      </c>
      <c r="E37" s="356">
        <f t="shared" ref="E37" si="40">SUM(E34:E36)</f>
        <v>0</v>
      </c>
      <c r="F37" s="356">
        <f t="shared" ref="F37" si="41">SUM(F34:F36)</f>
        <v>0</v>
      </c>
      <c r="G37" s="356">
        <f t="shared" ref="G37" si="42">SUM(G34:G36)</f>
        <v>0</v>
      </c>
      <c r="H37" s="356">
        <f t="shared" ref="H37" si="43">SUM(H34:H36)</f>
        <v>0</v>
      </c>
      <c r="I37" s="356">
        <f t="shared" ref="I37" si="44">SUM(I34:I36)</f>
        <v>0</v>
      </c>
      <c r="J37" s="356">
        <f t="shared" ref="J37" si="45">SUM(J34:J36)</f>
        <v>0</v>
      </c>
      <c r="K37" s="356">
        <f t="shared" ref="K37" si="46">SUM(K34:K36)</f>
        <v>0</v>
      </c>
      <c r="L37" s="356">
        <f t="shared" ref="L37" si="47">SUM(L34:L36)</f>
        <v>0</v>
      </c>
      <c r="M37" s="356">
        <f>SUM(M34:M36)</f>
        <v>0</v>
      </c>
      <c r="N37" s="356">
        <f t="shared" ref="N37" si="48">SUM(N34:N36)</f>
        <v>0</v>
      </c>
      <c r="O37" s="356">
        <f t="shared" ref="O37" si="49">SUM(O34:O36)</f>
        <v>0</v>
      </c>
    </row>
    <row r="45" spans="1:21">
      <c r="B45" s="199" t="s">
        <v>464</v>
      </c>
      <c r="C45" s="199" t="s">
        <v>465</v>
      </c>
      <c r="D45" s="199" t="s">
        <v>466</v>
      </c>
      <c r="E45" s="199" t="s">
        <v>467</v>
      </c>
      <c r="F45" t="s">
        <v>285</v>
      </c>
      <c r="G45" t="s">
        <v>302</v>
      </c>
      <c r="H45" t="s">
        <v>303</v>
      </c>
      <c r="I45" t="s">
        <v>304</v>
      </c>
      <c r="J45" t="s">
        <v>305</v>
      </c>
      <c r="K45" t="s">
        <v>285</v>
      </c>
      <c r="L45" t="s">
        <v>306</v>
      </c>
      <c r="M45" t="s">
        <v>307</v>
      </c>
      <c r="N45" t="s">
        <v>308</v>
      </c>
      <c r="O45" t="s">
        <v>309</v>
      </c>
      <c r="P45" t="s">
        <v>285</v>
      </c>
      <c r="Q45" s="199" t="s">
        <v>310</v>
      </c>
      <c r="R45" t="s">
        <v>311</v>
      </c>
      <c r="S45" t="s">
        <v>312</v>
      </c>
      <c r="T45" t="s">
        <v>313</v>
      </c>
      <c r="U45" t="s">
        <v>285</v>
      </c>
    </row>
    <row r="46" spans="1:21">
      <c r="A46" t="s">
        <v>273</v>
      </c>
      <c r="B46" cm="1">
        <f t="array" ref="B46">SUMPRODUCT(('HR6and7_fy - PY data'!$A$2:$A$50000=$C$4)*('HR6and7_fy - PY data'!$B$2:$B$50000=$D$5)*('HR6and7_fy - PY data'!$C$2:$C$50000=$E$4)*('HR6and7_fy - PY data'!$D$2:$D$50000=$A46)*('HR6and7_fy - PY data'!$E$2:$E$50000=$G$4)*('HR6and7_fy - PY data'!$F$2:$F$50000=B$45)*('HR6and7_fy - PY data'!$G$2:$G$50000))</f>
        <v>0</v>
      </c>
      <c r="C46" cm="1">
        <f t="array" ref="C46">SUMPRODUCT(('HR6and7_fy - PY data'!$A$2:$A$50000=$C$4)*('HR6and7_fy - PY data'!$B$2:$B$50000=$D$5)*('HR6and7_fy - PY data'!$C$2:$C$50000=$E$4)*('HR6and7_fy - PY data'!$D$2:$D$50000=$A46)*('HR6and7_fy - PY data'!$E$2:$E$50000=$G$4)*('HR6and7_fy - PY data'!$F$2:$F$50000=C$45)*('HR6and7_fy - PY data'!$G$2:$G$50000))</f>
        <v>0</v>
      </c>
      <c r="D46" cm="1">
        <f t="array" ref="D46">SUMPRODUCT(('HR6and7_fy - PY data'!$A$2:$A$50000=$C$4)*('HR6and7_fy - PY data'!$B$2:$B$50000=$D$5)*('HR6and7_fy - PY data'!$C$2:$C$50000=$E$4)*('HR6and7_fy - PY data'!$D$2:$D$50000=$A46)*('HR6and7_fy - PY data'!$E$2:$E$50000=$G$4)*('HR6and7_fy - PY data'!$F$2:$F$50000=D$45)*('HR6and7_fy - PY data'!$G$2:$G$50000))</f>
        <v>0</v>
      </c>
      <c r="E46" cm="1">
        <f t="array" ref="E46">SUMPRODUCT(('HR6and7_fy - PY data'!$A$2:$A$50000=$C$4)*('HR6and7_fy - PY data'!$B$2:$B$50000=$D$5)*('HR6and7_fy - PY data'!$C$2:$C$50000=$E$4)*('HR6and7_fy - PY data'!$D$2:$D$50000=$A46)*('HR6and7_fy - PY data'!$E$2:$E$50000=$G$4)*('HR6and7_fy - PY data'!$F$2:$F$50000=E$45)*('HR6and7_fy - PY data'!$G$2:$G$50000))</f>
        <v>0</v>
      </c>
      <c r="F46" s="356">
        <f>SUM(B46:E46)</f>
        <v>0</v>
      </c>
      <c r="G46" cm="1">
        <f t="array" ref="G46">SUMPRODUCT(('HR6and7_fy - PY data'!$A$2:$A$50000=$C$4)*('HR6and7_fy - PY data'!$B$2:$B$50000=$D$5)*('HR6and7_fy - PY data'!$C$2:$C$50000=$E$4)*('HR6and7_fy - PY data'!$D$2:$D$50000=$A46)*('HR6and7_fy - PY data'!$E$2:$E$50000=$G$4)*('HR6and7_fy - PY data'!$F$2:$F$50000=G$45)*('HR6and7_fy - PY data'!$G$2:$G$50000))</f>
        <v>0</v>
      </c>
      <c r="H46" cm="1">
        <f t="array" ref="H46">SUMPRODUCT(('HR6and7_fy - PY data'!$A$2:$A$50000=$C$4)*('HR6and7_fy - PY data'!$B$2:$B$50000=$D$5)*('HR6and7_fy - PY data'!$C$2:$C$50000=$E$4)*('HR6and7_fy - PY data'!$D$2:$D$50000=$A46)*('HR6and7_fy - PY data'!$E$2:$E$50000=$G$4)*('HR6and7_fy - PY data'!$F$2:$F$50000=H$45)*('HR6and7_fy - PY data'!$G$2:$G$50000))</f>
        <v>0</v>
      </c>
      <c r="I46" cm="1">
        <f t="array" ref="I46">SUMPRODUCT(('HR6and7_fy - PY data'!$A$2:$A$50000=$C$4)*('HR6and7_fy - PY data'!$B$2:$B$50000=$D$5)*('HR6and7_fy - PY data'!$C$2:$C$50000=$E$4)*('HR6and7_fy - PY data'!$D$2:$D$50000=$A46)*('HR6and7_fy - PY data'!$E$2:$E$50000=$G$4)*('HR6and7_fy - PY data'!$F$2:$F$50000=I$45)*('HR6and7_fy - PY data'!$G$2:$G$50000))</f>
        <v>0</v>
      </c>
      <c r="J46" cm="1">
        <f t="array" ref="J46">SUMPRODUCT(('HR6and7_fy - PY data'!$A$2:$A$50000=$C$4)*('HR6and7_fy - PY data'!$B$2:$B$50000=$D$5)*('HR6and7_fy - PY data'!$C$2:$C$50000=$E$4)*('HR6and7_fy - PY data'!$D$2:$D$50000=$A46)*('HR6and7_fy - PY data'!$E$2:$E$50000=$G$4)*('HR6and7_fy - PY data'!$F$2:$F$50000=J$45)*('HR6and7_fy - PY data'!$G$2:$G$50000))</f>
        <v>0</v>
      </c>
      <c r="K46" s="356">
        <f>SUM(G46:J46)</f>
        <v>0</v>
      </c>
      <c r="L46" cm="1">
        <f t="array" ref="L46">SUMPRODUCT(('HR6and7_fy - PY data'!$A$2:$A$50000=$C$4)*('HR6and7_fy - PY data'!$B$2:$B$50000=$D$5)*('HR6and7_fy - PY data'!$C$2:$C$50000=$E$4)*('HR6and7_fy - PY data'!$D$2:$D$50000=$A46)*('HR6and7_fy - PY data'!$E$2:$E$50000=$G$4)*('HR6and7_fy - PY data'!$F$2:$F$50000=L$45)*('HR6and7_fy - PY data'!$G$2:$G$50000))</f>
        <v>0</v>
      </c>
      <c r="M46" cm="1">
        <f t="array" ref="M46">SUMPRODUCT(('HR6and7_fy - PY data'!$A$2:$A$50000=$C$4)*('HR6and7_fy - PY data'!$B$2:$B$50000=$D$5)*('HR6and7_fy - PY data'!$C$2:$C$50000=$E$4)*('HR6and7_fy - PY data'!$D$2:$D$50000=$A46)*('HR6and7_fy - PY data'!$E$2:$E$50000=$G$4)*('HR6and7_fy - PY data'!$F$2:$F$50000=M$45)*('HR6and7_fy - PY data'!$G$2:$G$50000))</f>
        <v>0</v>
      </c>
      <c r="N46" cm="1">
        <f t="array" ref="N46">SUMPRODUCT(('HR6and7_fy - PY data'!$A$2:$A$50000=$C$4)*('HR6and7_fy - PY data'!$B$2:$B$50000=$D$5)*('HR6and7_fy - PY data'!$C$2:$C$50000=$E$4)*('HR6and7_fy - PY data'!$D$2:$D$50000=$A46)*('HR6and7_fy - PY data'!$E$2:$E$50000=$G$4)*('HR6and7_fy - PY data'!$F$2:$F$50000=N$45)*('HR6and7_fy - PY data'!$G$2:$G$50000))</f>
        <v>0</v>
      </c>
      <c r="O46" cm="1">
        <f t="array" ref="O46">SUMPRODUCT(('HR6and7_fy - PY data'!$A$2:$A$50000=$C$4)*('HR6and7_fy - PY data'!$B$2:$B$50000=$D$5)*('HR6and7_fy - PY data'!$C$2:$C$50000=$E$4)*('HR6and7_fy - PY data'!$D$2:$D$50000=$A46)*('HR6and7_fy - PY data'!$E$2:$E$50000=$G$4)*('HR6and7_fy - PY data'!$F$2:$F$50000=O$45)*('HR6and7_fy - PY data'!$G$2:$G$50000))</f>
        <v>0</v>
      </c>
      <c r="P46" s="356">
        <f>SUM(L46:O46)</f>
        <v>0</v>
      </c>
      <c r="Q46" cm="1">
        <f t="array" ref="Q46">SUMPRODUCT(('HR6and7_fy - PY data'!$A$2:$A$50000=$C$4)*('HR6and7_fy - PY data'!$B$2:$B$50000=$D$5)*('HR6and7_fy - PY data'!$C$2:$C$50000=$E$4)*('HR6and7_fy - PY data'!$D$2:$D$50000=$A46)*('HR6and7_fy - PY data'!$E$2:$E$50000=$G$4)*('HR6and7_fy - PY data'!$F$2:$F$50000=Q$45)*('HR6and7_fy - PY data'!$G$2:$G$50000))</f>
        <v>0</v>
      </c>
      <c r="R46" cm="1">
        <f t="array" ref="R46">SUMPRODUCT(('HR6and7_fy - PY data'!$A$2:$A$50000=$C$4)*('HR6and7_fy - PY data'!$B$2:$B$50000=$D$5)*('HR6and7_fy - PY data'!$C$2:$C$50000=$E$4)*('HR6and7_fy - PY data'!$D$2:$D$50000=$A46)*('HR6and7_fy - PY data'!$E$2:$E$50000=$G$4)*('HR6and7_fy - PY data'!$F$2:$F$50000=R$45)*('HR6and7_fy - PY data'!$G$2:$G$50000))</f>
        <v>0</v>
      </c>
      <c r="S46" cm="1">
        <f t="array" ref="S46">SUMPRODUCT(('HR6and7_fy - PY data'!$A$2:$A$50000=$C$4)*('HR6and7_fy - PY data'!$B$2:$B$50000=$D$5)*('HR6and7_fy - PY data'!$C$2:$C$50000=$E$4)*('HR6and7_fy - PY data'!$D$2:$D$50000=$A46)*('HR6and7_fy - PY data'!$E$2:$E$50000=$G$4)*('HR6and7_fy - PY data'!$F$2:$F$50000=S$45)*('HR6and7_fy - PY data'!$G$2:$G$50000))</f>
        <v>0</v>
      </c>
      <c r="T46" cm="1">
        <f t="array" ref="T46">SUMPRODUCT(('HR6and7_fy - PY data'!$A$2:$A$50000=$C$4)*('HR6and7_fy - PY data'!$B$2:$B$50000=$D$5)*('HR6and7_fy - PY data'!$C$2:$C$50000=$E$4)*('HR6and7_fy - PY data'!$D$2:$D$50000=$A46)*('HR6and7_fy - PY data'!$E$2:$E$50000=$G$4)*('HR6and7_fy - PY data'!$F$2:$F$50000=T$45)*('HR6and7_fy - PY data'!$G$2:$G$50000))</f>
        <v>0</v>
      </c>
      <c r="U46" s="356">
        <f>SUM(Q46:T46)</f>
        <v>0</v>
      </c>
    </row>
    <row r="47" spans="1:21">
      <c r="A47" t="s">
        <v>286</v>
      </c>
      <c r="B47" cm="1">
        <f t="array" ref="B47">SUMPRODUCT(('HR6and7_fy - PY data'!$A$2:$A$50000=$C$4)*('HR6and7_fy - PY data'!$B$2:$B$50000=$D$5)*('HR6and7_fy - PY data'!$C$2:$C$50000=$E$4)*('HR6and7_fy - PY data'!$D$2:$D$50000=$A47)*('HR6and7_fy - PY data'!$E$2:$E$50000=$G$4)*('HR6and7_fy - PY data'!$F$2:$F$50000=B$45)*('HR6and7_fy - PY data'!$G$2:$G$50000))</f>
        <v>0</v>
      </c>
      <c r="C47" cm="1">
        <f t="array" ref="C47">SUMPRODUCT(('HR6and7_fy - PY data'!$A$2:$A$50000=$C$4)*('HR6and7_fy - PY data'!$B$2:$B$50000=$D$5)*('HR6and7_fy - PY data'!$C$2:$C$50000=$E$4)*('HR6and7_fy - PY data'!$D$2:$D$50000=$A47)*('HR6and7_fy - PY data'!$E$2:$E$50000=$G$4)*('HR6and7_fy - PY data'!$F$2:$F$50000=C$45)*('HR6and7_fy - PY data'!$G$2:$G$50000))</f>
        <v>0</v>
      </c>
      <c r="D47" cm="1">
        <f t="array" ref="D47">SUMPRODUCT(('HR6and7_fy - PY data'!$A$2:$A$50000=$C$4)*('HR6and7_fy - PY data'!$B$2:$B$50000=$D$5)*('HR6and7_fy - PY data'!$C$2:$C$50000=$E$4)*('HR6and7_fy - PY data'!$D$2:$D$50000=$A47)*('HR6and7_fy - PY data'!$E$2:$E$50000=$G$4)*('HR6and7_fy - PY data'!$F$2:$F$50000=D$45)*('HR6and7_fy - PY data'!$G$2:$G$50000))</f>
        <v>0</v>
      </c>
      <c r="E47" cm="1">
        <f t="array" ref="E47">SUMPRODUCT(('HR6and7_fy - PY data'!$A$2:$A$50000=$C$4)*('HR6and7_fy - PY data'!$B$2:$B$50000=$D$5)*('HR6and7_fy - PY data'!$C$2:$C$50000=$E$4)*('HR6and7_fy - PY data'!$D$2:$D$50000=$A47)*('HR6and7_fy - PY data'!$E$2:$E$50000=$G$4)*('HR6and7_fy - PY data'!$F$2:$F$50000=E$45)*('HR6and7_fy - PY data'!$G$2:$G$50000))</f>
        <v>0</v>
      </c>
      <c r="F47" s="356">
        <f t="shared" ref="F47:F48" si="50">SUM(B47:E47)</f>
        <v>0</v>
      </c>
      <c r="G47" cm="1">
        <f t="array" ref="G47">SUMPRODUCT(('HR6and7_fy - PY data'!$A$2:$A$50000=$C$4)*('HR6and7_fy - PY data'!$B$2:$B$50000=$D$5)*('HR6and7_fy - PY data'!$C$2:$C$50000=$E$4)*('HR6and7_fy - PY data'!$D$2:$D$50000=$A47)*('HR6and7_fy - PY data'!$E$2:$E$50000=$G$4)*('HR6and7_fy - PY data'!$F$2:$F$50000=G$45)*('HR6and7_fy - PY data'!$G$2:$G$50000))</f>
        <v>0</v>
      </c>
      <c r="H47" cm="1">
        <f t="array" ref="H47">SUMPRODUCT(('HR6and7_fy - PY data'!$A$2:$A$50000=$C$4)*('HR6and7_fy - PY data'!$B$2:$B$50000=$D$5)*('HR6and7_fy - PY data'!$C$2:$C$50000=$E$4)*('HR6and7_fy - PY data'!$D$2:$D$50000=$A47)*('HR6and7_fy - PY data'!$E$2:$E$50000=$G$4)*('HR6and7_fy - PY data'!$F$2:$F$50000=H$45)*('HR6and7_fy - PY data'!$G$2:$G$50000))</f>
        <v>0</v>
      </c>
      <c r="I47" cm="1">
        <f t="array" ref="I47">SUMPRODUCT(('HR6and7_fy - PY data'!$A$2:$A$50000=$C$4)*('HR6and7_fy - PY data'!$B$2:$B$50000=$D$5)*('HR6and7_fy - PY data'!$C$2:$C$50000=$E$4)*('HR6and7_fy - PY data'!$D$2:$D$50000=$A47)*('HR6and7_fy - PY data'!$E$2:$E$50000=$G$4)*('HR6and7_fy - PY data'!$F$2:$F$50000=I$45)*('HR6and7_fy - PY data'!$G$2:$G$50000))</f>
        <v>0</v>
      </c>
      <c r="J47" cm="1">
        <f t="array" ref="J47">SUMPRODUCT(('HR6and7_fy - PY data'!$A$2:$A$50000=$C$4)*('HR6and7_fy - PY data'!$B$2:$B$50000=$D$5)*('HR6and7_fy - PY data'!$C$2:$C$50000=$E$4)*('HR6and7_fy - PY data'!$D$2:$D$50000=$A47)*('HR6and7_fy - PY data'!$E$2:$E$50000=$G$4)*('HR6and7_fy - PY data'!$F$2:$F$50000=J$45)*('HR6and7_fy - PY data'!$G$2:$G$50000))</f>
        <v>0</v>
      </c>
      <c r="K47" s="356">
        <f t="shared" ref="K47:K48" si="51">SUM(G47:J47)</f>
        <v>0</v>
      </c>
      <c r="L47" cm="1">
        <f t="array" ref="L47">SUMPRODUCT(('HR6and7_fy - PY data'!$A$2:$A$50000=$C$4)*('HR6and7_fy - PY data'!$B$2:$B$50000=$D$5)*('HR6and7_fy - PY data'!$C$2:$C$50000=$E$4)*('HR6and7_fy - PY data'!$D$2:$D$50000=$A47)*('HR6and7_fy - PY data'!$E$2:$E$50000=$G$4)*('HR6and7_fy - PY data'!$F$2:$F$50000=L$45)*('HR6and7_fy - PY data'!$G$2:$G$50000))</f>
        <v>0</v>
      </c>
      <c r="M47" cm="1">
        <f t="array" ref="M47">SUMPRODUCT(('HR6and7_fy - PY data'!$A$2:$A$50000=$C$4)*('HR6and7_fy - PY data'!$B$2:$B$50000=$D$5)*('HR6and7_fy - PY data'!$C$2:$C$50000=$E$4)*('HR6and7_fy - PY data'!$D$2:$D$50000=$A47)*('HR6and7_fy - PY data'!$E$2:$E$50000=$G$4)*('HR6and7_fy - PY data'!$F$2:$F$50000=M$45)*('HR6and7_fy - PY data'!$G$2:$G$50000))</f>
        <v>0</v>
      </c>
      <c r="N47" cm="1">
        <f t="array" ref="N47">SUMPRODUCT(('HR6and7_fy - PY data'!$A$2:$A$50000=$C$4)*('HR6and7_fy - PY data'!$B$2:$B$50000=$D$5)*('HR6and7_fy - PY data'!$C$2:$C$50000=$E$4)*('HR6and7_fy - PY data'!$D$2:$D$50000=$A47)*('HR6and7_fy - PY data'!$E$2:$E$50000=$G$4)*('HR6and7_fy - PY data'!$F$2:$F$50000=N$45)*('HR6and7_fy - PY data'!$G$2:$G$50000))</f>
        <v>0</v>
      </c>
      <c r="O47" cm="1">
        <f t="array" ref="O47">SUMPRODUCT(('HR6and7_fy - PY data'!$A$2:$A$50000=$C$4)*('HR6and7_fy - PY data'!$B$2:$B$50000=$D$5)*('HR6and7_fy - PY data'!$C$2:$C$50000=$E$4)*('HR6and7_fy - PY data'!$D$2:$D$50000=$A47)*('HR6and7_fy - PY data'!$E$2:$E$50000=$G$4)*('HR6and7_fy - PY data'!$F$2:$F$50000=O$45)*('HR6and7_fy - PY data'!$G$2:$G$50000))</f>
        <v>0</v>
      </c>
      <c r="P47" s="356">
        <f t="shared" ref="P47:P48" si="52">SUM(L47:O47)</f>
        <v>0</v>
      </c>
      <c r="Q47" cm="1">
        <f t="array" ref="Q47">SUMPRODUCT(('HR6and7_fy - PY data'!$A$2:$A$50000=$C$4)*('HR6and7_fy - PY data'!$B$2:$B$50000=$D$5)*('HR6and7_fy - PY data'!$C$2:$C$50000=$E$4)*('HR6and7_fy - PY data'!$D$2:$D$50000=$A47)*('HR6and7_fy - PY data'!$E$2:$E$50000=$G$4)*('HR6and7_fy - PY data'!$F$2:$F$50000=Q$45)*('HR6and7_fy - PY data'!$G$2:$G$50000))</f>
        <v>0</v>
      </c>
      <c r="R47" cm="1">
        <f t="array" ref="R47">SUMPRODUCT(('HR6and7_fy - PY data'!$A$2:$A$50000=$C$4)*('HR6and7_fy - PY data'!$B$2:$B$50000=$D$5)*('HR6and7_fy - PY data'!$C$2:$C$50000=$E$4)*('HR6and7_fy - PY data'!$D$2:$D$50000=$A47)*('HR6and7_fy - PY data'!$E$2:$E$50000=$G$4)*('HR6and7_fy - PY data'!$F$2:$F$50000=R$45)*('HR6and7_fy - PY data'!$G$2:$G$50000))</f>
        <v>0</v>
      </c>
      <c r="S47" cm="1">
        <f t="array" ref="S47">SUMPRODUCT(('HR6and7_fy - PY data'!$A$2:$A$50000=$C$4)*('HR6and7_fy - PY data'!$B$2:$B$50000=$D$5)*('HR6and7_fy - PY data'!$C$2:$C$50000=$E$4)*('HR6and7_fy - PY data'!$D$2:$D$50000=$A47)*('HR6and7_fy - PY data'!$E$2:$E$50000=$G$4)*('HR6and7_fy - PY data'!$F$2:$F$50000=S$45)*('HR6and7_fy - PY data'!$G$2:$G$50000))</f>
        <v>0</v>
      </c>
      <c r="T47" cm="1">
        <f t="array" ref="T47">SUMPRODUCT(('HR6and7_fy - PY data'!$A$2:$A$50000=$C$4)*('HR6and7_fy - PY data'!$B$2:$B$50000=$D$5)*('HR6and7_fy - PY data'!$C$2:$C$50000=$E$4)*('HR6and7_fy - PY data'!$D$2:$D$50000=$A47)*('HR6and7_fy - PY data'!$E$2:$E$50000=$G$4)*('HR6and7_fy - PY data'!$F$2:$F$50000=T$45)*('HR6and7_fy - PY data'!$G$2:$G$50000))</f>
        <v>0</v>
      </c>
      <c r="U47" s="356">
        <f t="shared" ref="U47:U48" si="53">SUM(Q47:T47)</f>
        <v>0</v>
      </c>
    </row>
    <row r="48" spans="1:21">
      <c r="A48" t="s">
        <v>468</v>
      </c>
      <c r="B48" cm="1">
        <f t="array" ref="B48">SUMPRODUCT(('HR6and7_fy - PY data'!$A$2:$A$50000=$C$4)*('HR6and7_fy - PY data'!$B$2:$B$50000=$D$5)*('HR6and7_fy - PY data'!$C$2:$C$50000=$E$4)*('HR6and7_fy - PY data'!$D$2:$D$50000=$A48)*('HR6and7_fy - PY data'!$E$2:$E$50000=$G$4)*('HR6and7_fy - PY data'!$F$2:$F$50000=B$45)*('HR6and7_fy - PY data'!$G$2:$G$50000))</f>
        <v>0</v>
      </c>
      <c r="C48" cm="1">
        <f t="array" ref="C48">SUMPRODUCT(('HR6and7_fy - PY data'!$A$2:$A$50000=$C$4)*('HR6and7_fy - PY data'!$B$2:$B$50000=$D$5)*('HR6and7_fy - PY data'!$C$2:$C$50000=$E$4)*('HR6and7_fy - PY data'!$D$2:$D$50000=$A48)*('HR6and7_fy - PY data'!$E$2:$E$50000=$G$4)*('HR6and7_fy - PY data'!$F$2:$F$50000=C$45)*('HR6and7_fy - PY data'!$G$2:$G$50000))</f>
        <v>0</v>
      </c>
      <c r="D48" cm="1">
        <f t="array" ref="D48">SUMPRODUCT(('HR6and7_fy - PY data'!$A$2:$A$50000=$C$4)*('HR6and7_fy - PY data'!$B$2:$B$50000=$D$5)*('HR6and7_fy - PY data'!$C$2:$C$50000=$E$4)*('HR6and7_fy - PY data'!$D$2:$D$50000=$A48)*('HR6and7_fy - PY data'!$E$2:$E$50000=$G$4)*('HR6and7_fy - PY data'!$F$2:$F$50000=D$45)*('HR6and7_fy - PY data'!$G$2:$G$50000))</f>
        <v>0</v>
      </c>
      <c r="E48" cm="1">
        <f t="array" ref="E48">SUMPRODUCT(('HR6and7_fy - PY data'!$A$2:$A$50000=$C$4)*('HR6and7_fy - PY data'!$B$2:$B$50000=$D$5)*('HR6and7_fy - PY data'!$C$2:$C$50000=$E$4)*('HR6and7_fy - PY data'!$D$2:$D$50000=$A48)*('HR6and7_fy - PY data'!$E$2:$E$50000=$G$4)*('HR6and7_fy - PY data'!$F$2:$F$50000=E$45)*('HR6and7_fy - PY data'!$G$2:$G$50000))</f>
        <v>0</v>
      </c>
      <c r="F48" s="356">
        <f t="shared" si="50"/>
        <v>0</v>
      </c>
      <c r="G48" cm="1">
        <f t="array" ref="G48">SUMPRODUCT(('HR6and7_fy - PY data'!$A$2:$A$50000=$C$4)*('HR6and7_fy - PY data'!$B$2:$B$50000=$D$5)*('HR6and7_fy - PY data'!$C$2:$C$50000=$E$4)*('HR6and7_fy - PY data'!$D$2:$D$50000=$A48)*('HR6and7_fy - PY data'!$E$2:$E$50000=$G$4)*('HR6and7_fy - PY data'!$F$2:$F$50000=G$45)*('HR6and7_fy - PY data'!$G$2:$G$50000))</f>
        <v>0</v>
      </c>
      <c r="H48" cm="1">
        <f t="array" ref="H48">SUMPRODUCT(('HR6and7_fy - PY data'!$A$2:$A$50000=$C$4)*('HR6and7_fy - PY data'!$B$2:$B$50000=$D$5)*('HR6and7_fy - PY data'!$C$2:$C$50000=$E$4)*('HR6and7_fy - PY data'!$D$2:$D$50000=$A48)*('HR6and7_fy - PY data'!$E$2:$E$50000=$G$4)*('HR6and7_fy - PY data'!$F$2:$F$50000=H$45)*('HR6and7_fy - PY data'!$G$2:$G$50000))</f>
        <v>0</v>
      </c>
      <c r="I48" cm="1">
        <f t="array" ref="I48">SUMPRODUCT(('HR6and7_fy - PY data'!$A$2:$A$50000=$C$4)*('HR6and7_fy - PY data'!$B$2:$B$50000=$D$5)*('HR6and7_fy - PY data'!$C$2:$C$50000=$E$4)*('HR6and7_fy - PY data'!$D$2:$D$50000=$A48)*('HR6and7_fy - PY data'!$E$2:$E$50000=$G$4)*('HR6and7_fy - PY data'!$F$2:$F$50000=I$45)*('HR6and7_fy - PY data'!$G$2:$G$50000))</f>
        <v>0</v>
      </c>
      <c r="J48" cm="1">
        <f t="array" ref="J48">SUMPRODUCT(('HR6and7_fy - PY data'!$A$2:$A$50000=$C$4)*('HR6and7_fy - PY data'!$B$2:$B$50000=$D$5)*('HR6and7_fy - PY data'!$C$2:$C$50000=$E$4)*('HR6and7_fy - PY data'!$D$2:$D$50000=$A48)*('HR6and7_fy - PY data'!$E$2:$E$50000=$G$4)*('HR6and7_fy - PY data'!$F$2:$F$50000=J$45)*('HR6and7_fy - PY data'!$G$2:$G$50000))</f>
        <v>0</v>
      </c>
      <c r="K48" s="356">
        <f t="shared" si="51"/>
        <v>0</v>
      </c>
      <c r="L48" cm="1">
        <f t="array" ref="L48">SUMPRODUCT(('HR6and7_fy - PY data'!$A$2:$A$50000=$C$4)*('HR6and7_fy - PY data'!$B$2:$B$50000=$D$5)*('HR6and7_fy - PY data'!$C$2:$C$50000=$E$4)*('HR6and7_fy - PY data'!$D$2:$D$50000=$A48)*('HR6and7_fy - PY data'!$E$2:$E$50000=$G$4)*('HR6and7_fy - PY data'!$F$2:$F$50000=L$45)*('HR6and7_fy - PY data'!$G$2:$G$50000))</f>
        <v>0</v>
      </c>
      <c r="M48" cm="1">
        <f t="array" ref="M48">SUMPRODUCT(('HR6and7_fy - PY data'!$A$2:$A$50000=$C$4)*('HR6and7_fy - PY data'!$B$2:$B$50000=$D$5)*('HR6and7_fy - PY data'!$C$2:$C$50000=$E$4)*('HR6and7_fy - PY data'!$D$2:$D$50000=$A48)*('HR6and7_fy - PY data'!$E$2:$E$50000=$G$4)*('HR6and7_fy - PY data'!$F$2:$F$50000=M$45)*('HR6and7_fy - PY data'!$G$2:$G$50000))</f>
        <v>0</v>
      </c>
      <c r="N48" cm="1">
        <f t="array" ref="N48">SUMPRODUCT(('HR6and7_fy - PY data'!$A$2:$A$50000=$C$4)*('HR6and7_fy - PY data'!$B$2:$B$50000=$D$5)*('HR6and7_fy - PY data'!$C$2:$C$50000=$E$4)*('HR6and7_fy - PY data'!$D$2:$D$50000=$A48)*('HR6and7_fy - PY data'!$E$2:$E$50000=$G$4)*('HR6and7_fy - PY data'!$F$2:$F$50000=N$45)*('HR6and7_fy - PY data'!$G$2:$G$50000))</f>
        <v>0</v>
      </c>
      <c r="O48" cm="1">
        <f t="array" ref="O48">SUMPRODUCT(('HR6and7_fy - PY data'!$A$2:$A$50000=$C$4)*('HR6and7_fy - PY data'!$B$2:$B$50000=$D$5)*('HR6and7_fy - PY data'!$C$2:$C$50000=$E$4)*('HR6and7_fy - PY data'!$D$2:$D$50000=$A48)*('HR6and7_fy - PY data'!$E$2:$E$50000=$G$4)*('HR6and7_fy - PY data'!$F$2:$F$50000=O$45)*('HR6and7_fy - PY data'!$G$2:$G$50000))</f>
        <v>0</v>
      </c>
      <c r="P48" s="356">
        <f t="shared" si="52"/>
        <v>0</v>
      </c>
      <c r="Q48" cm="1">
        <f t="array" ref="Q48">SUMPRODUCT(('HR6and7_fy - PY data'!$A$2:$A$50000=$C$4)*('HR6and7_fy - PY data'!$B$2:$B$50000=$D$5)*('HR6and7_fy - PY data'!$C$2:$C$50000=$E$4)*('HR6and7_fy - PY data'!$D$2:$D$50000=$A48)*('HR6and7_fy - PY data'!$E$2:$E$50000=$G$4)*('HR6and7_fy - PY data'!$F$2:$F$50000=Q$45)*('HR6and7_fy - PY data'!$G$2:$G$50000))</f>
        <v>0</v>
      </c>
      <c r="R48" cm="1">
        <f t="array" ref="R48">SUMPRODUCT(('HR6and7_fy - PY data'!$A$2:$A$50000=$C$4)*('HR6and7_fy - PY data'!$B$2:$B$50000=$D$5)*('HR6and7_fy - PY data'!$C$2:$C$50000=$E$4)*('HR6and7_fy - PY data'!$D$2:$D$50000=$A48)*('HR6and7_fy - PY data'!$E$2:$E$50000=$G$4)*('HR6and7_fy - PY data'!$F$2:$F$50000=R$45)*('HR6and7_fy - PY data'!$G$2:$G$50000))</f>
        <v>0</v>
      </c>
      <c r="S48" cm="1">
        <f t="array" ref="S48">SUMPRODUCT(('HR6and7_fy - PY data'!$A$2:$A$50000=$C$4)*('HR6and7_fy - PY data'!$B$2:$B$50000=$D$5)*('HR6and7_fy - PY data'!$C$2:$C$50000=$E$4)*('HR6and7_fy - PY data'!$D$2:$D$50000=$A48)*('HR6and7_fy - PY data'!$E$2:$E$50000=$G$4)*('HR6and7_fy - PY data'!$F$2:$F$50000=S$45)*('HR6and7_fy - PY data'!$G$2:$G$50000))</f>
        <v>0</v>
      </c>
      <c r="T48" cm="1">
        <f t="array" ref="T48">SUMPRODUCT(('HR6and7_fy - PY data'!$A$2:$A$50000=$C$4)*('HR6and7_fy - PY data'!$B$2:$B$50000=$D$5)*('HR6and7_fy - PY data'!$C$2:$C$50000=$E$4)*('HR6and7_fy - PY data'!$D$2:$D$50000=$A48)*('HR6and7_fy - PY data'!$E$2:$E$50000=$G$4)*('HR6and7_fy - PY data'!$F$2:$F$50000=T$45)*('HR6and7_fy - PY data'!$G$2:$G$50000))</f>
        <v>0</v>
      </c>
      <c r="U48" s="356">
        <f t="shared" si="53"/>
        <v>0</v>
      </c>
    </row>
    <row r="49" spans="1:21">
      <c r="A49" t="s">
        <v>285</v>
      </c>
      <c r="B49" s="356">
        <f>SUM(B46:B48)</f>
        <v>0</v>
      </c>
      <c r="C49" s="356">
        <f t="shared" ref="C49:U49" si="54">SUM(C46:C48)</f>
        <v>0</v>
      </c>
      <c r="D49" s="356">
        <f t="shared" si="54"/>
        <v>0</v>
      </c>
      <c r="E49" s="356">
        <f t="shared" si="54"/>
        <v>0</v>
      </c>
      <c r="F49" s="356">
        <f t="shared" si="54"/>
        <v>0</v>
      </c>
      <c r="G49" s="356">
        <f t="shared" si="54"/>
        <v>0</v>
      </c>
      <c r="H49" s="356">
        <f t="shared" si="54"/>
        <v>0</v>
      </c>
      <c r="I49" s="356">
        <f t="shared" si="54"/>
        <v>0</v>
      </c>
      <c r="J49" s="356">
        <f t="shared" si="54"/>
        <v>0</v>
      </c>
      <c r="K49" s="356">
        <f t="shared" si="54"/>
        <v>0</v>
      </c>
      <c r="L49" s="356">
        <f t="shared" si="54"/>
        <v>0</v>
      </c>
      <c r="M49" s="356">
        <f t="shared" si="54"/>
        <v>0</v>
      </c>
      <c r="N49" s="356">
        <f t="shared" si="54"/>
        <v>0</v>
      </c>
      <c r="O49" s="356">
        <f t="shared" si="54"/>
        <v>0</v>
      </c>
      <c r="P49" s="356">
        <f t="shared" si="54"/>
        <v>0</v>
      </c>
      <c r="Q49" s="356">
        <f t="shared" si="54"/>
        <v>0</v>
      </c>
      <c r="R49" s="356">
        <f t="shared" si="54"/>
        <v>0</v>
      </c>
      <c r="S49" s="356">
        <f t="shared" si="54"/>
        <v>0</v>
      </c>
      <c r="T49" s="356">
        <f t="shared" si="54"/>
        <v>0</v>
      </c>
      <c r="U49" s="356">
        <f t="shared" si="54"/>
        <v>0</v>
      </c>
    </row>
    <row r="52" spans="1:21">
      <c r="B52" t="s">
        <v>314</v>
      </c>
      <c r="C52" t="s">
        <v>315</v>
      </c>
      <c r="D52" t="s">
        <v>316</v>
      </c>
      <c r="E52" t="s">
        <v>317</v>
      </c>
      <c r="F52" t="s">
        <v>285</v>
      </c>
      <c r="G52" t="s">
        <v>318</v>
      </c>
      <c r="H52" t="s">
        <v>319</v>
      </c>
      <c r="I52" t="s">
        <v>320</v>
      </c>
      <c r="J52" t="s">
        <v>321</v>
      </c>
      <c r="K52" t="s">
        <v>285</v>
      </c>
      <c r="L52" t="s">
        <v>322</v>
      </c>
      <c r="M52" t="s">
        <v>323</v>
      </c>
      <c r="N52" t="s">
        <v>324</v>
      </c>
      <c r="O52" t="s">
        <v>325</v>
      </c>
      <c r="P52" t="s">
        <v>285</v>
      </c>
      <c r="Q52" t="s">
        <v>326</v>
      </c>
      <c r="R52" t="s">
        <v>327</v>
      </c>
      <c r="S52" t="s">
        <v>328</v>
      </c>
      <c r="T52" t="s">
        <v>329</v>
      </c>
      <c r="U52" t="s">
        <v>285</v>
      </c>
    </row>
    <row r="53" spans="1:21">
      <c r="A53" t="s">
        <v>273</v>
      </c>
      <c r="B53" cm="1">
        <f t="array" ref="B53">SUMPRODUCT(('HR6and7_fy - PY data'!$A$2:$A$50000=$C$4)*('HR6and7_fy - PY data'!$B$2:$B$50000=$D$5)*('HR6and7_fy - PY data'!$C$2:$C$50000=$E$4)*('HR6and7_fy - PY data'!$D$2:$D$50000=$A53)*('HR6and7_fy - PY data'!$E$2:$E$50000=$G$4)*('HR6and7_fy - PY data'!$F$2:$F$50000=B$52)*('HR6and7_fy - PY data'!$G$2:$G$50000))</f>
        <v>0</v>
      </c>
      <c r="C53" cm="1">
        <f t="array" ref="C53">SUMPRODUCT(('HR6and7_fy - PY data'!$A$2:$A$50000=$C$4)*('HR6and7_fy - PY data'!$B$2:$B$50000=$D$5)*('HR6and7_fy - PY data'!$C$2:$C$50000=$E$4)*('HR6and7_fy - PY data'!$D$2:$D$50000=$A53)*('HR6and7_fy - PY data'!$E$2:$E$50000=$G$4)*('HR6and7_fy - PY data'!$F$2:$F$50000=C$52)*('HR6and7_fy - PY data'!$G$2:$G$50000))</f>
        <v>0</v>
      </c>
      <c r="D53" cm="1">
        <f t="array" ref="D53">SUMPRODUCT(('HR6and7_fy - PY data'!$A$2:$A$50000=$C$4)*('HR6and7_fy - PY data'!$B$2:$B$50000=$D$5)*('HR6and7_fy - PY data'!$C$2:$C$50000=$E$4)*('HR6and7_fy - PY data'!$D$2:$D$50000=$A53)*('HR6and7_fy - PY data'!$E$2:$E$50000=$G$4)*('HR6and7_fy - PY data'!$F$2:$F$50000=D$52)*('HR6and7_fy - PY data'!$G$2:$G$50000))</f>
        <v>0</v>
      </c>
      <c r="E53" cm="1">
        <f t="array" ref="E53">SUMPRODUCT(('HR6and7_fy - PY data'!$A$2:$A$50000=$C$4)*('HR6and7_fy - PY data'!$B$2:$B$50000=$D$5)*('HR6and7_fy - PY data'!$C$2:$C$50000=$E$4)*('HR6and7_fy - PY data'!$D$2:$D$50000=$A53)*('HR6and7_fy - PY data'!$E$2:$E$50000=$G$4)*('HR6and7_fy - PY data'!$F$2:$F$50000=E$52)*('HR6and7_fy - PY data'!$G$2:$G$50000))</f>
        <v>0</v>
      </c>
      <c r="F53" s="356">
        <f t="shared" ref="F53:F55" si="55">SUM(B53:E53)</f>
        <v>0</v>
      </c>
      <c r="G53" cm="1">
        <f t="array" ref="G53">SUMPRODUCT(('HR6and7_fy - PY data'!$A$2:$A$50000=$C$4)*('HR6and7_fy - PY data'!$B$2:$B$50000=$D$5)*('HR6and7_fy - PY data'!$C$2:$C$50000=$E$4)*('HR6and7_fy - PY data'!$D$2:$D$50000=$A53)*('HR6and7_fy - PY data'!$E$2:$E$50000=$G$4)*('HR6and7_fy - PY data'!$F$2:$F$50000=G$52)*('HR6and7_fy - PY data'!$G$2:$G$50000))</f>
        <v>0</v>
      </c>
      <c r="H53" cm="1">
        <f t="array" ref="H53">SUMPRODUCT(('HR6and7_fy - PY data'!$A$2:$A$50000=$C$4)*('HR6and7_fy - PY data'!$B$2:$B$50000=$D$5)*('HR6and7_fy - PY data'!$C$2:$C$50000=$E$4)*('HR6and7_fy - PY data'!$D$2:$D$50000=$A53)*('HR6and7_fy - PY data'!$E$2:$E$50000=$G$4)*('HR6and7_fy - PY data'!$F$2:$F$50000=H$52)*('HR6and7_fy - PY data'!$G$2:$G$50000))</f>
        <v>0</v>
      </c>
      <c r="I53" cm="1">
        <f t="array" ref="I53">SUMPRODUCT(('HR6and7_fy - PY data'!$A$2:$A$50000=$C$4)*('HR6and7_fy - PY data'!$B$2:$B$50000=$D$5)*('HR6and7_fy - PY data'!$C$2:$C$50000=$E$4)*('HR6and7_fy - PY data'!$D$2:$D$50000=$A53)*('HR6and7_fy - PY data'!$E$2:$E$50000=$G$4)*('HR6and7_fy - PY data'!$F$2:$F$50000=I$52)*('HR6and7_fy - PY data'!$G$2:$G$50000))</f>
        <v>0</v>
      </c>
      <c r="J53" cm="1">
        <f t="array" ref="J53">SUMPRODUCT(('HR6and7_fy - PY data'!$A$2:$A$50000=$C$4)*('HR6and7_fy - PY data'!$B$2:$B$50000=$D$5)*('HR6and7_fy - PY data'!$C$2:$C$50000=$E$4)*('HR6and7_fy - PY data'!$D$2:$D$50000=$A53)*('HR6and7_fy - PY data'!$E$2:$E$50000=$G$4)*('HR6and7_fy - PY data'!$F$2:$F$50000=J$52)*('HR6and7_fy - PY data'!$G$2:$G$50000))</f>
        <v>0</v>
      </c>
      <c r="K53" s="356">
        <f t="shared" ref="K53:K55" si="56">SUM(G53:J53)</f>
        <v>0</v>
      </c>
      <c r="L53" cm="1">
        <f t="array" ref="L53">SUMPRODUCT(('HR6and7_fy - PY data'!$A$2:$A$50000=$C$4)*('HR6and7_fy - PY data'!$B$2:$B$50000=$D$5)*('HR6and7_fy - PY data'!$C$2:$C$50000=$E$4)*('HR6and7_fy - PY data'!$D$2:$D$50000=$A53)*('HR6and7_fy - PY data'!$E$2:$E$50000=$G$4)*('HR6and7_fy - PY data'!$F$2:$F$50000=L$52)*('HR6and7_fy - PY data'!$G$2:$G$50000))</f>
        <v>0</v>
      </c>
      <c r="M53" cm="1">
        <f t="array" ref="M53">SUMPRODUCT(('HR6and7_fy - PY data'!$A$2:$A$50000=$C$4)*('HR6and7_fy - PY data'!$B$2:$B$50000=$D$5)*('HR6and7_fy - PY data'!$C$2:$C$50000=$E$4)*('HR6and7_fy - PY data'!$D$2:$D$50000=$A53)*('HR6and7_fy - PY data'!$E$2:$E$50000=$G$4)*('HR6and7_fy - PY data'!$F$2:$F$50000=M$52)*('HR6and7_fy - PY data'!$G$2:$G$50000))</f>
        <v>0</v>
      </c>
      <c r="N53" cm="1">
        <f t="array" ref="N53">SUMPRODUCT(('HR6and7_fy - PY data'!$A$2:$A$50000=$C$4)*('HR6and7_fy - PY data'!$B$2:$B$50000=$D$5)*('HR6and7_fy - PY data'!$C$2:$C$50000=$E$4)*('HR6and7_fy - PY data'!$D$2:$D$50000=$A53)*('HR6and7_fy - PY data'!$E$2:$E$50000=$G$4)*('HR6and7_fy - PY data'!$F$2:$F$50000=N$52)*('HR6and7_fy - PY data'!$G$2:$G$50000))</f>
        <v>0</v>
      </c>
      <c r="O53" cm="1">
        <f t="array" ref="O53">SUMPRODUCT(('HR6and7_fy - PY data'!$A$2:$A$50000=$C$4)*('HR6and7_fy - PY data'!$B$2:$B$50000=$D$5)*('HR6and7_fy - PY data'!$C$2:$C$50000=$E$4)*('HR6and7_fy - PY data'!$D$2:$D$50000=$A53)*('HR6and7_fy - PY data'!$E$2:$E$50000=$G$4)*('HR6and7_fy - PY data'!$F$2:$F$50000=O$52)*('HR6and7_fy - PY data'!$G$2:$G$50000))</f>
        <v>0</v>
      </c>
      <c r="P53" s="356">
        <f>SUM(L53:O53)</f>
        <v>0</v>
      </c>
      <c r="Q53" s="356">
        <f>B46+G46+L46+Q46+B53+G53+L53</f>
        <v>0</v>
      </c>
      <c r="R53" s="356">
        <f t="shared" ref="R53:T53" si="57">C46+H46+M46+R46+C53+H53+M53</f>
        <v>0</v>
      </c>
      <c r="S53" s="356">
        <f t="shared" si="57"/>
        <v>0</v>
      </c>
      <c r="T53" s="356">
        <f t="shared" si="57"/>
        <v>0</v>
      </c>
      <c r="U53" s="356">
        <f>SUM(Q53:T53)</f>
        <v>0</v>
      </c>
    </row>
    <row r="54" spans="1:21">
      <c r="A54" t="s">
        <v>286</v>
      </c>
      <c r="B54" cm="1">
        <f t="array" ref="B54">SUMPRODUCT(('HR6and7_fy - PY data'!$A$2:$A$50000=$C$4)*('HR6and7_fy - PY data'!$B$2:$B$50000=$D$5)*('HR6and7_fy - PY data'!$C$2:$C$50000=$E$4)*('HR6and7_fy - PY data'!$D$2:$D$50000=$A54)*('HR6and7_fy - PY data'!$E$2:$E$50000=$G$4)*('HR6and7_fy - PY data'!$F$2:$F$50000=B$52)*('HR6and7_fy - PY data'!$G$2:$G$50000))</f>
        <v>0</v>
      </c>
      <c r="C54" cm="1">
        <f t="array" ref="C54">SUMPRODUCT(('HR6and7_fy - PY data'!$A$2:$A$50000=$C$4)*('HR6and7_fy - PY data'!$B$2:$B$50000=$D$5)*('HR6and7_fy - PY data'!$C$2:$C$50000=$E$4)*('HR6and7_fy - PY data'!$D$2:$D$50000=$A54)*('HR6and7_fy - PY data'!$E$2:$E$50000=$G$4)*('HR6and7_fy - PY data'!$F$2:$F$50000=C$52)*('HR6and7_fy - PY data'!$G$2:$G$50000))</f>
        <v>0</v>
      </c>
      <c r="D54" cm="1">
        <f t="array" ref="D54">SUMPRODUCT(('HR6and7_fy - PY data'!$A$2:$A$50000=$C$4)*('HR6and7_fy - PY data'!$B$2:$B$50000=$D$5)*('HR6and7_fy - PY data'!$C$2:$C$50000=$E$4)*('HR6and7_fy - PY data'!$D$2:$D$50000=$A54)*('HR6and7_fy - PY data'!$E$2:$E$50000=$G$4)*('HR6and7_fy - PY data'!$F$2:$F$50000=D$52)*('HR6and7_fy - PY data'!$G$2:$G$50000))</f>
        <v>0</v>
      </c>
      <c r="E54" cm="1">
        <f t="array" ref="E54">SUMPRODUCT(('HR6and7_fy - PY data'!$A$2:$A$50000=$C$4)*('HR6and7_fy - PY data'!$B$2:$B$50000=$D$5)*('HR6and7_fy - PY data'!$C$2:$C$50000=$E$4)*('HR6and7_fy - PY data'!$D$2:$D$50000=$A54)*('HR6and7_fy - PY data'!$E$2:$E$50000=$G$4)*('HR6and7_fy - PY data'!$F$2:$F$50000=E$52)*('HR6and7_fy - PY data'!$G$2:$G$50000))</f>
        <v>0</v>
      </c>
      <c r="F54" s="356">
        <f t="shared" si="55"/>
        <v>0</v>
      </c>
      <c r="G54" cm="1">
        <f t="array" ref="G54">SUMPRODUCT(('HR6and7_fy - PY data'!$A$2:$A$50000=$C$4)*('HR6and7_fy - PY data'!$B$2:$B$50000=$D$5)*('HR6and7_fy - PY data'!$C$2:$C$50000=$E$4)*('HR6and7_fy - PY data'!$D$2:$D$50000=$A54)*('HR6and7_fy - PY data'!$E$2:$E$50000=$G$4)*('HR6and7_fy - PY data'!$F$2:$F$50000=G$52)*('HR6and7_fy - PY data'!$G$2:$G$50000))</f>
        <v>0</v>
      </c>
      <c r="H54" cm="1">
        <f t="array" ref="H54">SUMPRODUCT(('HR6and7_fy - PY data'!$A$2:$A$50000=$C$4)*('HR6and7_fy - PY data'!$B$2:$B$50000=$D$5)*('HR6and7_fy - PY data'!$C$2:$C$50000=$E$4)*('HR6and7_fy - PY data'!$D$2:$D$50000=$A54)*('HR6and7_fy - PY data'!$E$2:$E$50000=$G$4)*('HR6and7_fy - PY data'!$F$2:$F$50000=H$52)*('HR6and7_fy - PY data'!$G$2:$G$50000))</f>
        <v>0</v>
      </c>
      <c r="I54" cm="1">
        <f t="array" ref="I54">SUMPRODUCT(('HR6and7_fy - PY data'!$A$2:$A$50000=$C$4)*('HR6and7_fy - PY data'!$B$2:$B$50000=$D$5)*('HR6and7_fy - PY data'!$C$2:$C$50000=$E$4)*('HR6and7_fy - PY data'!$D$2:$D$50000=$A54)*('HR6and7_fy - PY data'!$E$2:$E$50000=$G$4)*('HR6and7_fy - PY data'!$F$2:$F$50000=I$52)*('HR6and7_fy - PY data'!$G$2:$G$50000))</f>
        <v>0</v>
      </c>
      <c r="J54" cm="1">
        <f t="array" ref="J54">SUMPRODUCT(('HR6and7_fy - PY data'!$A$2:$A$50000=$C$4)*('HR6and7_fy - PY data'!$B$2:$B$50000=$D$5)*('HR6and7_fy - PY data'!$C$2:$C$50000=$E$4)*('HR6and7_fy - PY data'!$D$2:$D$50000=$A54)*('HR6and7_fy - PY data'!$E$2:$E$50000=$G$4)*('HR6and7_fy - PY data'!$F$2:$F$50000=J$52)*('HR6and7_fy - PY data'!$G$2:$G$50000))</f>
        <v>0</v>
      </c>
      <c r="K54" s="356">
        <f t="shared" si="56"/>
        <v>0</v>
      </c>
      <c r="L54" cm="1">
        <f t="array" ref="L54">SUMPRODUCT(('HR6and7_fy - PY data'!$A$2:$A$50000=$C$4)*('HR6and7_fy - PY data'!$B$2:$B$50000=$D$5)*('HR6and7_fy - PY data'!$C$2:$C$50000=$E$4)*('HR6and7_fy - PY data'!$D$2:$D$50000=$A54)*('HR6and7_fy - PY data'!$E$2:$E$50000=$G$4)*('HR6and7_fy - PY data'!$F$2:$F$50000=L$52)*('HR6and7_fy - PY data'!$G$2:$G$50000))</f>
        <v>0</v>
      </c>
      <c r="M54" cm="1">
        <f t="array" ref="M54">SUMPRODUCT(('HR6and7_fy - PY data'!$A$2:$A$50000=$C$4)*('HR6and7_fy - PY data'!$B$2:$B$50000=$D$5)*('HR6and7_fy - PY data'!$C$2:$C$50000=$E$4)*('HR6and7_fy - PY data'!$D$2:$D$50000=$A54)*('HR6and7_fy - PY data'!$E$2:$E$50000=$G$4)*('HR6and7_fy - PY data'!$F$2:$F$50000=M$52)*('HR6and7_fy - PY data'!$G$2:$G$50000))</f>
        <v>0</v>
      </c>
      <c r="N54" cm="1">
        <f t="array" ref="N54">SUMPRODUCT(('HR6and7_fy - PY data'!$A$2:$A$50000=$C$4)*('HR6and7_fy - PY data'!$B$2:$B$50000=$D$5)*('HR6and7_fy - PY data'!$C$2:$C$50000=$E$4)*('HR6and7_fy - PY data'!$D$2:$D$50000=$A54)*('HR6and7_fy - PY data'!$E$2:$E$50000=$G$4)*('HR6and7_fy - PY data'!$F$2:$F$50000=N$52)*('HR6and7_fy - PY data'!$G$2:$G$50000))</f>
        <v>0</v>
      </c>
      <c r="O54" cm="1">
        <f t="array" ref="O54">SUMPRODUCT(('HR6and7_fy - PY data'!$A$2:$A$50000=$C$4)*('HR6and7_fy - PY data'!$B$2:$B$50000=$D$5)*('HR6and7_fy - PY data'!$C$2:$C$50000=$E$4)*('HR6and7_fy - PY data'!$D$2:$D$50000=$A54)*('HR6and7_fy - PY data'!$E$2:$E$50000=$G$4)*('HR6and7_fy - PY data'!$F$2:$F$50000=O$52)*('HR6and7_fy - PY data'!$G$2:$G$50000))</f>
        <v>0</v>
      </c>
      <c r="P54" s="356">
        <f t="shared" ref="P54:P55" si="58">SUM(L54:O54)</f>
        <v>0</v>
      </c>
      <c r="Q54" s="356">
        <f t="shared" ref="Q54:Q55" si="59">B47+G47+L47+Q47+B54+G54+L54</f>
        <v>0</v>
      </c>
      <c r="R54" s="356">
        <f t="shared" ref="R54:R55" si="60">C47+H47+M47+R47+C54+H54+M54</f>
        <v>0</v>
      </c>
      <c r="S54" s="356">
        <f t="shared" ref="S54:S55" si="61">D47+I47+N47+S47+D54+I54+N54</f>
        <v>0</v>
      </c>
      <c r="T54" s="356">
        <f t="shared" ref="T54:T55" si="62">E47+J47+O47+T47+E54+J54+O54</f>
        <v>0</v>
      </c>
      <c r="U54" s="356">
        <f t="shared" ref="U54:U55" si="63">SUM(Q54:T54)</f>
        <v>0</v>
      </c>
    </row>
    <row r="55" spans="1:21">
      <c r="A55" t="s">
        <v>468</v>
      </c>
      <c r="B55" cm="1">
        <f t="array" ref="B55">SUMPRODUCT(('HR6and7_fy - PY data'!$A$2:$A$50000=$C$4)*('HR6and7_fy - PY data'!$B$2:$B$50000=$D$5)*('HR6and7_fy - PY data'!$C$2:$C$50000=$E$4)*('HR6and7_fy - PY data'!$D$2:$D$50000=$A55)*('HR6and7_fy - PY data'!$E$2:$E$50000=$G$4)*('HR6and7_fy - PY data'!$F$2:$F$50000=B$52)*('HR6and7_fy - PY data'!$G$2:$G$50000))</f>
        <v>0</v>
      </c>
      <c r="C55" cm="1">
        <f t="array" ref="C55">SUMPRODUCT(('HR6and7_fy - PY data'!$A$2:$A$50000=$C$4)*('HR6and7_fy - PY data'!$B$2:$B$50000=$D$5)*('HR6and7_fy - PY data'!$C$2:$C$50000=$E$4)*('HR6and7_fy - PY data'!$D$2:$D$50000=$A55)*('HR6and7_fy - PY data'!$E$2:$E$50000=$G$4)*('HR6and7_fy - PY data'!$F$2:$F$50000=C$52)*('HR6and7_fy - PY data'!$G$2:$G$50000))</f>
        <v>0</v>
      </c>
      <c r="D55" cm="1">
        <f t="array" ref="D55">SUMPRODUCT(('HR6and7_fy - PY data'!$A$2:$A$50000=$C$4)*('HR6and7_fy - PY data'!$B$2:$B$50000=$D$5)*('HR6and7_fy - PY data'!$C$2:$C$50000=$E$4)*('HR6and7_fy - PY data'!$D$2:$D$50000=$A55)*('HR6and7_fy - PY data'!$E$2:$E$50000=$G$4)*('HR6and7_fy - PY data'!$F$2:$F$50000=D$52)*('HR6and7_fy - PY data'!$G$2:$G$50000))</f>
        <v>0</v>
      </c>
      <c r="E55" cm="1">
        <f t="array" ref="E55">SUMPRODUCT(('HR6and7_fy - PY data'!$A$2:$A$50000=$C$4)*('HR6and7_fy - PY data'!$B$2:$B$50000=$D$5)*('HR6and7_fy - PY data'!$C$2:$C$50000=$E$4)*('HR6and7_fy - PY data'!$D$2:$D$50000=$A55)*('HR6and7_fy - PY data'!$E$2:$E$50000=$G$4)*('HR6and7_fy - PY data'!$F$2:$F$50000=E$52)*('HR6and7_fy - PY data'!$G$2:$G$50000))</f>
        <v>0</v>
      </c>
      <c r="F55" s="356">
        <f t="shared" si="55"/>
        <v>0</v>
      </c>
      <c r="G55" cm="1">
        <f t="array" ref="G55">SUMPRODUCT(('HR6and7_fy - PY data'!$A$2:$A$50000=$C$4)*('HR6and7_fy - PY data'!$B$2:$B$50000=$D$5)*('HR6and7_fy - PY data'!$C$2:$C$50000=$E$4)*('HR6and7_fy - PY data'!$D$2:$D$50000=$A55)*('HR6and7_fy - PY data'!$E$2:$E$50000=$G$4)*('HR6and7_fy - PY data'!$F$2:$F$50000=G$52)*('HR6and7_fy - PY data'!$G$2:$G$50000))</f>
        <v>0</v>
      </c>
      <c r="H55" cm="1">
        <f t="array" ref="H55">SUMPRODUCT(('HR6and7_fy - PY data'!$A$2:$A$50000=$C$4)*('HR6and7_fy - PY data'!$B$2:$B$50000=$D$5)*('HR6and7_fy - PY data'!$C$2:$C$50000=$E$4)*('HR6and7_fy - PY data'!$D$2:$D$50000=$A55)*('HR6and7_fy - PY data'!$E$2:$E$50000=$G$4)*('HR6and7_fy - PY data'!$F$2:$F$50000=H$52)*('HR6and7_fy - PY data'!$G$2:$G$50000))</f>
        <v>0</v>
      </c>
      <c r="I55" cm="1">
        <f t="array" ref="I55">SUMPRODUCT(('HR6and7_fy - PY data'!$A$2:$A$50000=$C$4)*('HR6and7_fy - PY data'!$B$2:$B$50000=$D$5)*('HR6and7_fy - PY data'!$C$2:$C$50000=$E$4)*('HR6and7_fy - PY data'!$D$2:$D$50000=$A55)*('HR6and7_fy - PY data'!$E$2:$E$50000=$G$4)*('HR6and7_fy - PY data'!$F$2:$F$50000=I$52)*('HR6and7_fy - PY data'!$G$2:$G$50000))</f>
        <v>0</v>
      </c>
      <c r="J55" cm="1">
        <f t="array" ref="J55">SUMPRODUCT(('HR6and7_fy - PY data'!$A$2:$A$50000=$C$4)*('HR6and7_fy - PY data'!$B$2:$B$50000=$D$5)*('HR6and7_fy - PY data'!$C$2:$C$50000=$E$4)*('HR6and7_fy - PY data'!$D$2:$D$50000=$A55)*('HR6and7_fy - PY data'!$E$2:$E$50000=$G$4)*('HR6and7_fy - PY data'!$F$2:$F$50000=J$52)*('HR6and7_fy - PY data'!$G$2:$G$50000))</f>
        <v>0</v>
      </c>
      <c r="K55" s="356">
        <f t="shared" si="56"/>
        <v>0</v>
      </c>
      <c r="L55" cm="1">
        <f t="array" ref="L55">SUMPRODUCT(('HR6and7_fy - PY data'!$A$2:$A$50000=$C$4)*('HR6and7_fy - PY data'!$B$2:$B$50000=$D$5)*('HR6and7_fy - PY data'!$C$2:$C$50000=$E$4)*('HR6and7_fy - PY data'!$D$2:$D$50000=$A55)*('HR6and7_fy - PY data'!$E$2:$E$50000=$G$4)*('HR6and7_fy - PY data'!$F$2:$F$50000=L$52)*('HR6and7_fy - PY data'!$G$2:$G$50000))</f>
        <v>0</v>
      </c>
      <c r="M55" cm="1">
        <f t="array" ref="M55">SUMPRODUCT(('HR6and7_fy - PY data'!$A$2:$A$50000=$C$4)*('HR6and7_fy - PY data'!$B$2:$B$50000=$D$5)*('HR6and7_fy - PY data'!$C$2:$C$50000=$E$4)*('HR6and7_fy - PY data'!$D$2:$D$50000=$A55)*('HR6and7_fy - PY data'!$E$2:$E$50000=$G$4)*('HR6and7_fy - PY data'!$F$2:$F$50000=M$52)*('HR6and7_fy - PY data'!$G$2:$G$50000))</f>
        <v>0</v>
      </c>
      <c r="N55" cm="1">
        <f t="array" ref="N55">SUMPRODUCT(('HR6and7_fy - PY data'!$A$2:$A$50000=$C$4)*('HR6and7_fy - PY data'!$B$2:$B$50000=$D$5)*('HR6and7_fy - PY data'!$C$2:$C$50000=$E$4)*('HR6and7_fy - PY data'!$D$2:$D$50000=$A55)*('HR6and7_fy - PY data'!$E$2:$E$50000=$G$4)*('HR6and7_fy - PY data'!$F$2:$F$50000=N$52)*('HR6and7_fy - PY data'!$G$2:$G$50000))</f>
        <v>0</v>
      </c>
      <c r="O55" cm="1">
        <f t="array" ref="O55">SUMPRODUCT(('HR6and7_fy - PY data'!$A$2:$A$50000=$C$4)*('HR6and7_fy - PY data'!$B$2:$B$50000=$D$5)*('HR6and7_fy - PY data'!$C$2:$C$50000=$E$4)*('HR6and7_fy - PY data'!$D$2:$D$50000=$A55)*('HR6and7_fy - PY data'!$E$2:$E$50000=$G$4)*('HR6and7_fy - PY data'!$F$2:$F$50000=O$52)*('HR6and7_fy - PY data'!$G$2:$G$50000))</f>
        <v>0</v>
      </c>
      <c r="P55" s="356">
        <f t="shared" si="58"/>
        <v>0</v>
      </c>
      <c r="Q55" s="356">
        <f t="shared" si="59"/>
        <v>0</v>
      </c>
      <c r="R55" s="356">
        <f t="shared" si="60"/>
        <v>0</v>
      </c>
      <c r="S55" s="356">
        <f t="shared" si="61"/>
        <v>0</v>
      </c>
      <c r="T55" s="356">
        <f t="shared" si="62"/>
        <v>0</v>
      </c>
      <c r="U55" s="356">
        <f t="shared" si="63"/>
        <v>0</v>
      </c>
    </row>
    <row r="56" spans="1:21">
      <c r="A56" t="s">
        <v>285</v>
      </c>
      <c r="B56" s="356">
        <f>SUM(B53:B55)</f>
        <v>0</v>
      </c>
      <c r="C56" s="356">
        <f t="shared" ref="C56:U56" si="64">SUM(C53:C55)</f>
        <v>0</v>
      </c>
      <c r="D56" s="356">
        <f t="shared" si="64"/>
        <v>0</v>
      </c>
      <c r="E56" s="356">
        <f t="shared" si="64"/>
        <v>0</v>
      </c>
      <c r="F56" s="356">
        <f t="shared" si="64"/>
        <v>0</v>
      </c>
      <c r="G56" s="356">
        <f t="shared" si="64"/>
        <v>0</v>
      </c>
      <c r="H56" s="356">
        <f t="shared" si="64"/>
        <v>0</v>
      </c>
      <c r="I56" s="356">
        <f t="shared" si="64"/>
        <v>0</v>
      </c>
      <c r="J56" s="356">
        <f t="shared" si="64"/>
        <v>0</v>
      </c>
      <c r="K56" s="356">
        <f t="shared" si="64"/>
        <v>0</v>
      </c>
      <c r="L56" s="356">
        <f t="shared" si="64"/>
        <v>0</v>
      </c>
      <c r="M56" s="356">
        <f t="shared" si="64"/>
        <v>0</v>
      </c>
      <c r="N56" s="356">
        <f t="shared" si="64"/>
        <v>0</v>
      </c>
      <c r="O56" s="356">
        <f t="shared" si="64"/>
        <v>0</v>
      </c>
      <c r="P56" s="356">
        <f t="shared" si="64"/>
        <v>0</v>
      </c>
      <c r="Q56" s="356">
        <f t="shared" si="64"/>
        <v>0</v>
      </c>
      <c r="R56" s="356">
        <f t="shared" si="64"/>
        <v>0</v>
      </c>
      <c r="S56" s="356">
        <f t="shared" si="64"/>
        <v>0</v>
      </c>
      <c r="T56" s="356">
        <f t="shared" si="64"/>
        <v>0</v>
      </c>
      <c r="U56" s="356">
        <f t="shared" si="64"/>
        <v>0</v>
      </c>
    </row>
    <row r="59" spans="1:21">
      <c r="B59" t="s">
        <v>330</v>
      </c>
      <c r="C59" t="s">
        <v>331</v>
      </c>
      <c r="D59" t="s">
        <v>332</v>
      </c>
      <c r="E59" t="s">
        <v>333</v>
      </c>
      <c r="F59" t="s">
        <v>334</v>
      </c>
      <c r="G59" t="s">
        <v>335</v>
      </c>
      <c r="H59" t="s">
        <v>336</v>
      </c>
      <c r="I59" t="s">
        <v>337</v>
      </c>
      <c r="J59" t="s">
        <v>338</v>
      </c>
      <c r="K59" t="s">
        <v>339</v>
      </c>
      <c r="L59" t="s">
        <v>221</v>
      </c>
      <c r="M59" s="199"/>
    </row>
    <row r="60" spans="1:21">
      <c r="A60" t="s">
        <v>273</v>
      </c>
      <c r="B60">
        <f>SUM(C60:G60)</f>
        <v>0</v>
      </c>
      <c r="C60" cm="1">
        <f t="array" ref="C60">SUMPRODUCT(('HR6and7_fy - PY data'!$A$2:$A$50000=$C$4)*('HR6and7_fy - PY data'!$B$2:$B$50000=$D$5)*('HR6and7_fy - PY data'!$C$2:$C$50000=$E$4)*('HR6and7_fy - PY data'!$D$2:$D$50000=$A60)*('HR6and7_fy - PY data'!$E$2:$E$50000=$G$4)*('HR6and7_fy - PY data'!$F$2:$F$50000=C$59)*('HR6and7_fy - PY data'!$G$2:$G$50000))</f>
        <v>0</v>
      </c>
      <c r="G60" cm="1">
        <f t="array" ref="G60">SUMPRODUCT(('HR6and7_fy - PY data'!$A$2:$A$50000=$C$4)*('HR6and7_fy - PY data'!$B$2:$B$50000=$D$5)*('HR6and7_fy - PY data'!$C$2:$C$50000=$E$4)*('HR6and7_fy - PY data'!$D$2:$D$50000=$A60)*('HR6and7_fy - PY data'!$E$2:$E$50000=$G$4)*('HR6and7_fy - PY data'!$F$2:$F$50000=G$59)*('HR6and7_fy - PY data'!$G$2:$G$50000))</f>
        <v>0</v>
      </c>
      <c r="H60" cm="1">
        <f t="array" ref="H60">SUMPRODUCT(('HR6and7_fy - PY data'!$A$2:$A$50000=$C$4)*('HR6and7_fy - PY data'!$B$2:$B$50000=$D$5)*('HR6and7_fy - PY data'!$C$2:$C$50000=$E$4)*('HR6and7_fy - PY data'!$D$2:$D$50000=$A60)*('HR6and7_fy - PY data'!$E$2:$E$50000=$G$4)*('HR6and7_fy - PY data'!$F$2:$F$50000=H$59)*('HR6and7_fy - PY data'!$G$2:$G$50000))</f>
        <v>0</v>
      </c>
    </row>
    <row r="61" spans="1:21">
      <c r="A61" t="s">
        <v>286</v>
      </c>
      <c r="B61">
        <f t="shared" ref="B61:B62" si="65">SUM(C61:G61)</f>
        <v>0</v>
      </c>
      <c r="C61" cm="1">
        <f t="array" ref="C61">SUMPRODUCT(('HR6and7_fy - PY data'!$A$2:$A$50000=$C$4)*('HR6and7_fy - PY data'!$B$2:$B$50000=$D$5)*('HR6and7_fy - PY data'!$C$2:$C$50000=$E$4)*('HR6and7_fy - PY data'!$D$2:$D$50000=$A61)*('HR6and7_fy - PY data'!$E$2:$E$50000=$G$4)*('HR6and7_fy - PY data'!$F$2:$F$50000=C$59)*('HR6and7_fy - PY data'!$G$2:$G$50000))</f>
        <v>0</v>
      </c>
      <c r="G61" cm="1">
        <f t="array" ref="G61">SUMPRODUCT(('HR6and7_fy - PY data'!$A$2:$A$50000=$C$4)*('HR6and7_fy - PY data'!$B$2:$B$50000=$D$5)*('HR6and7_fy - PY data'!$C$2:$C$50000=$E$4)*('HR6and7_fy - PY data'!$D$2:$D$50000=$A61)*('HR6and7_fy - PY data'!$E$2:$E$50000=$G$4)*('HR6and7_fy - PY data'!$F$2:$F$50000=G$59)*('HR6and7_fy - PY data'!$G$2:$G$50000))</f>
        <v>0</v>
      </c>
      <c r="H61" cm="1">
        <f t="array" ref="H61">SUMPRODUCT(('HR6and7_fy - PY data'!$A$2:$A$50000=$C$4)*('HR6and7_fy - PY data'!$B$2:$B$50000=$D$5)*('HR6and7_fy - PY data'!$C$2:$C$50000=$E$4)*('HR6and7_fy - PY data'!$D$2:$D$50000=$A61)*('HR6and7_fy - PY data'!$E$2:$E$50000=$G$4)*('HR6and7_fy - PY data'!$F$2:$F$50000=H$59)*('HR6and7_fy - PY data'!$G$2:$G$50000))</f>
        <v>0</v>
      </c>
    </row>
    <row r="62" spans="1:21">
      <c r="A62" t="s">
        <v>468</v>
      </c>
      <c r="B62">
        <f t="shared" si="65"/>
        <v>0</v>
      </c>
      <c r="C62" cm="1">
        <f t="array" ref="C62">SUMPRODUCT(('HR6and7_fy - PY data'!$A$2:$A$50000=$C$4)*('HR6and7_fy - PY data'!$B$2:$B$50000=$D$5)*('HR6and7_fy - PY data'!$C$2:$C$50000=$E$4)*('HR6and7_fy - PY data'!$D$2:$D$50000=$A62)*('HR6and7_fy - PY data'!$E$2:$E$50000=$G$4)*('HR6and7_fy - PY data'!$F$2:$F$50000=C$59)*('HR6and7_fy - PY data'!$G$2:$G$50000))</f>
        <v>0</v>
      </c>
      <c r="G62" cm="1">
        <f t="array" ref="G62">SUMPRODUCT(('HR6and7_fy - PY data'!$A$2:$A$50000=$C$4)*('HR6and7_fy - PY data'!$B$2:$B$50000=$D$5)*('HR6and7_fy - PY data'!$C$2:$C$50000=$E$4)*('HR6and7_fy - PY data'!$D$2:$D$50000=$A62)*('HR6and7_fy - PY data'!$E$2:$E$50000=$G$4)*('HR6and7_fy - PY data'!$F$2:$F$50000=G$59)*('HR6and7_fy - PY data'!$G$2:$G$50000))</f>
        <v>0</v>
      </c>
      <c r="H62" cm="1">
        <f t="array" ref="H62">SUMPRODUCT(('HR6and7_fy - PY data'!$A$2:$A$50000=$C$4)*('HR6and7_fy - PY data'!$B$2:$B$50000=$D$5)*('HR6and7_fy - PY data'!$C$2:$C$50000=$E$4)*('HR6and7_fy - PY data'!$D$2:$D$50000=$A62)*('HR6and7_fy - PY data'!$E$2:$E$50000=$G$4)*('HR6and7_fy - PY data'!$F$2:$F$50000=H$59)*('HR6and7_fy - PY data'!$G$2:$G$50000))</f>
        <v>0</v>
      </c>
    </row>
    <row r="63" spans="1:21">
      <c r="A63" t="s">
        <v>285</v>
      </c>
      <c r="B63" s="356">
        <f>SUM(B60:B62)</f>
        <v>0</v>
      </c>
      <c r="C63" s="356">
        <f t="shared" ref="C63:L63" si="66">SUM(C60:C62)</f>
        <v>0</v>
      </c>
      <c r="D63" s="356">
        <f t="shared" si="66"/>
        <v>0</v>
      </c>
      <c r="E63" s="356">
        <f t="shared" si="66"/>
        <v>0</v>
      </c>
      <c r="F63" s="356">
        <f t="shared" si="66"/>
        <v>0</v>
      </c>
      <c r="G63" s="356">
        <f t="shared" si="66"/>
        <v>0</v>
      </c>
      <c r="H63" s="356">
        <f t="shared" si="66"/>
        <v>0</v>
      </c>
      <c r="I63" s="356">
        <f t="shared" si="66"/>
        <v>0</v>
      </c>
      <c r="J63" s="356">
        <f t="shared" si="66"/>
        <v>0</v>
      </c>
      <c r="K63" s="356">
        <f t="shared" si="66"/>
        <v>0</v>
      </c>
      <c r="L63" s="356">
        <f t="shared" si="66"/>
        <v>0</v>
      </c>
    </row>
    <row r="67" spans="1:15">
      <c r="B67" t="s">
        <v>340</v>
      </c>
      <c r="C67" t="s">
        <v>341</v>
      </c>
      <c r="D67" t="s">
        <v>342</v>
      </c>
      <c r="E67" t="s">
        <v>343</v>
      </c>
      <c r="F67" t="s">
        <v>226</v>
      </c>
      <c r="G67" t="s">
        <v>344</v>
      </c>
      <c r="H67" t="s">
        <v>345</v>
      </c>
      <c r="I67" t="s">
        <v>346</v>
      </c>
      <c r="J67" t="s">
        <v>347</v>
      </c>
      <c r="K67" t="s">
        <v>348</v>
      </c>
      <c r="L67" t="s">
        <v>349</v>
      </c>
      <c r="M67" t="s">
        <v>350</v>
      </c>
      <c r="N67" t="s">
        <v>234</v>
      </c>
      <c r="O67" t="s">
        <v>351</v>
      </c>
    </row>
    <row r="68" spans="1:15">
      <c r="A68" t="s">
        <v>273</v>
      </c>
      <c r="B68" cm="1">
        <f t="array" ref="B68">SUMPRODUCT(('HR6and7_fy - PY data'!$A$2:$A$50000=$C$4)*('HR6and7_fy - PY data'!$B$2:$B$50000=$D$5)*('HR6and7_fy - PY data'!$C$2:$C$50000=$E$4)*('HR6and7_fy - PY data'!$D$2:$D$50000=$A68)*('HR6and7_fy - PY data'!$E$2:$E$50000=$G$4)*('HR6and7_fy - PY data'!$F$2:$F$50000=B$67)*('HR6and7_fy - PY data'!$G$2:$G$50000))</f>
        <v>0</v>
      </c>
      <c r="F68" cm="1">
        <f t="array" ref="F68">SUMPRODUCT(('HR6and7_fy - PY data'!$A$2:$A$50000=$C$4)*('HR6and7_fy - PY data'!$B$2:$B$50000=$D$5)*('HR6and7_fy - PY data'!$C$2:$C$50000=$E$4)*('HR6and7_fy - PY data'!$D$2:$D$50000=$A68)*('HR6and7_fy - PY data'!$E$2:$E$50000=$G$4)*('HR6and7_fy - PY data'!$F$2:$F$50000=F$67)*('HR6and7_fy - PY data'!$G$2:$G$50000))</f>
        <v>0</v>
      </c>
      <c r="H68" cm="1">
        <f t="array" ref="H68">SUMPRODUCT(('HR6and7_fy - PY data'!$A$2:$A$50000=$C$4)*('HR6and7_fy - PY data'!$B$2:$B$50000=$D$5)*('HR6and7_fy - PY data'!$C$2:$C$50000=$E$4)*('HR6and7_fy - PY data'!$D$2:$D$50000=$A68)*('HR6and7_fy - PY data'!$E$2:$E$50000=$G$4)*('HR6and7_fy - PY data'!$F$2:$F$50000=H$67)*('HR6and7_fy - PY data'!$G$2:$G$50000))</f>
        <v>0</v>
      </c>
      <c r="L68" cm="1">
        <f t="array" ref="L68">SUMPRODUCT(('HR6and7_fy - PY data'!$A$2:$A$50000=$C$4)*('HR6and7_fy - PY data'!$B$2:$B$50000=$D$5)*('HR6and7_fy - PY data'!$C$2:$C$50000=$E$4)*('HR6and7_fy - PY data'!$D$2:$D$50000=$A68)*('HR6and7_fy - PY data'!$E$2:$E$50000=$G$4)*('HR6and7_fy - PY data'!$F$2:$F$50000=L$67)*('HR6and7_fy - PY data'!$G$2:$G$50000))</f>
        <v>0</v>
      </c>
      <c r="O68" cm="1">
        <f t="array" ref="O68">SUMPRODUCT(('HR6and7_fy - PY data'!$A$2:$A$50000=$C$4)*('HR6and7_fy - PY data'!$B$2:$B$50000=$D$5)*('HR6and7_fy - PY data'!$C$2:$C$50000=$E$4)*('HR6and7_fy - PY data'!$D$2:$D$50000=$A68)*('HR6and7_fy - PY data'!$E$2:$E$50000=$G$4)*('HR6and7_fy - PY data'!$F$2:$F$50000=O$67)*('HR6and7_fy - PY data'!$G$2:$G$50000))</f>
        <v>0</v>
      </c>
    </row>
    <row r="69" spans="1:15">
      <c r="A69" t="s">
        <v>286</v>
      </c>
      <c r="B69" cm="1">
        <f t="array" ref="B69">SUMPRODUCT(('HR6and7_fy - PY data'!$A$2:$A$50000=$C$4)*('HR6and7_fy - PY data'!$B$2:$B$50000=$D$5)*('HR6and7_fy - PY data'!$C$2:$C$50000=$E$4)*('HR6and7_fy - PY data'!$D$2:$D$50000=$A69)*('HR6and7_fy - PY data'!$E$2:$E$50000=$G$4)*('HR6and7_fy - PY data'!$F$2:$F$50000=B$59)*('HR6and7_fy - PY data'!$G$2:$G$50000))</f>
        <v>0</v>
      </c>
      <c r="F69" cm="1">
        <f t="array" ref="F69">SUMPRODUCT(('HR6and7_fy - PY data'!$A$2:$A$50000=$C$4)*('HR6and7_fy - PY data'!$B$2:$B$50000=$D$5)*('HR6and7_fy - PY data'!$C$2:$C$50000=$E$4)*('HR6and7_fy - PY data'!$D$2:$D$50000=$A69)*('HR6and7_fy - PY data'!$E$2:$E$50000=$G$4)*('HR6and7_fy - PY data'!$F$2:$F$50000=F$59)*('HR6and7_fy - PY data'!$G$2:$G$50000))</f>
        <v>0</v>
      </c>
      <c r="H69" cm="1">
        <f t="array" ref="H69">SUMPRODUCT(('HR6and7_fy - PY data'!$A$2:$A$50000=$C$4)*('HR6and7_fy - PY data'!$B$2:$B$50000=$D$5)*('HR6and7_fy - PY data'!$C$2:$C$50000=$E$4)*('HR6and7_fy - PY data'!$D$2:$D$50000=$A69)*('HR6and7_fy - PY data'!$E$2:$E$50000=$G$4)*('HR6and7_fy - PY data'!$F$2:$F$50000=H$59)*('HR6and7_fy - PY data'!$G$2:$G$50000))</f>
        <v>0</v>
      </c>
      <c r="L69" cm="1">
        <f t="array" ref="L69">SUMPRODUCT(('HR6and7_fy - PY data'!$A$2:$A$50000=$C$4)*('HR6and7_fy - PY data'!$B$2:$B$50000=$D$5)*('HR6and7_fy - PY data'!$C$2:$C$50000=$E$4)*('HR6and7_fy - PY data'!$D$2:$D$50000=$A69)*('HR6and7_fy - PY data'!$E$2:$E$50000=$G$4)*('HR6and7_fy - PY data'!$F$2:$F$50000=L$59)*('HR6and7_fy - PY data'!$G$2:$G$50000))</f>
        <v>0</v>
      </c>
      <c r="O69" cm="1">
        <f t="array" ref="O69">SUMPRODUCT(('HR6and7_fy - PY data'!$A$2:$A$50000=$C$4)*('HR6and7_fy - PY data'!$B$2:$B$50000=$D$5)*('HR6and7_fy - PY data'!$C$2:$C$50000=$E$4)*('HR6and7_fy - PY data'!$D$2:$D$50000=$A69)*('HR6and7_fy - PY data'!$E$2:$E$50000=$G$4)*('HR6and7_fy - PY data'!$F$2:$F$50000=O$67)*('HR6and7_fy - PY data'!$G$2:$G$50000))</f>
        <v>0</v>
      </c>
    </row>
    <row r="70" spans="1:15">
      <c r="A70" t="s">
        <v>468</v>
      </c>
      <c r="B70" cm="1">
        <f t="array" ref="B70">SUMPRODUCT(('HR6and7_fy - PY data'!$A$2:$A$50000=$C$4)*('HR6and7_fy - PY data'!$B$2:$B$50000=$D$5)*('HR6and7_fy - PY data'!$C$2:$C$50000=$E$4)*('HR6and7_fy - PY data'!$D$2:$D$50000=$A70)*('HR6and7_fy - PY data'!$E$2:$E$50000=$G$4)*('HR6and7_fy - PY data'!$F$2:$F$50000=B$59)*('HR6and7_fy - PY data'!$G$2:$G$50000))</f>
        <v>0</v>
      </c>
      <c r="F70" cm="1">
        <f t="array" ref="F70">SUMPRODUCT(('HR6and7_fy - PY data'!$A$2:$A$50000=$C$4)*('HR6and7_fy - PY data'!$B$2:$B$50000=$D$5)*('HR6and7_fy - PY data'!$C$2:$C$50000=$E$4)*('HR6and7_fy - PY data'!$D$2:$D$50000=$A70)*('HR6and7_fy - PY data'!$E$2:$E$50000=$G$4)*('HR6and7_fy - PY data'!$F$2:$F$50000=F$59)*('HR6and7_fy - PY data'!$G$2:$G$50000))</f>
        <v>0</v>
      </c>
      <c r="H70" cm="1">
        <f t="array" ref="H70">SUMPRODUCT(('HR6and7_fy - PY data'!$A$2:$A$50000=$C$4)*('HR6and7_fy - PY data'!$B$2:$B$50000=$D$5)*('HR6and7_fy - PY data'!$C$2:$C$50000=$E$4)*('HR6and7_fy - PY data'!$D$2:$D$50000=$A70)*('HR6and7_fy - PY data'!$E$2:$E$50000=$G$4)*('HR6and7_fy - PY data'!$F$2:$F$50000=H$59)*('HR6and7_fy - PY data'!$G$2:$G$50000))</f>
        <v>0</v>
      </c>
      <c r="L70" cm="1">
        <f t="array" ref="L70">SUMPRODUCT(('HR6and7_fy - PY data'!$A$2:$A$50000=$C$4)*('HR6and7_fy - PY data'!$B$2:$B$50000=$D$5)*('HR6and7_fy - PY data'!$C$2:$C$50000=$E$4)*('HR6and7_fy - PY data'!$D$2:$D$50000=$A70)*('HR6and7_fy - PY data'!$E$2:$E$50000=$G$4)*('HR6and7_fy - PY data'!$F$2:$F$50000=L$59)*('HR6and7_fy - PY data'!$G$2:$G$50000))</f>
        <v>0</v>
      </c>
      <c r="O70" cm="1">
        <f t="array" ref="O70">SUMPRODUCT(('HR6and7_fy - PY data'!$A$2:$A$50000=$C$4)*('HR6and7_fy - PY data'!$B$2:$B$50000=$D$5)*('HR6and7_fy - PY data'!$C$2:$C$50000=$E$4)*('HR6and7_fy - PY data'!$D$2:$D$50000=$A70)*('HR6and7_fy - PY data'!$E$2:$E$50000=$G$4)*('HR6and7_fy - PY data'!$F$2:$F$50000=O$67)*('HR6and7_fy - PY data'!$G$2:$G$50000))</f>
        <v>0</v>
      </c>
    </row>
    <row r="71" spans="1:15">
      <c r="A71" t="s">
        <v>285</v>
      </c>
      <c r="B71" s="356">
        <f>SUM(B68:B70)</f>
        <v>0</v>
      </c>
      <c r="C71" s="356">
        <f t="shared" ref="C71:O71" si="67">SUM(C68:C70)</f>
        <v>0</v>
      </c>
      <c r="D71" s="356">
        <f t="shared" si="67"/>
        <v>0</v>
      </c>
      <c r="E71" s="356">
        <f t="shared" si="67"/>
        <v>0</v>
      </c>
      <c r="F71" s="356">
        <f t="shared" si="67"/>
        <v>0</v>
      </c>
      <c r="G71" s="356">
        <f t="shared" si="67"/>
        <v>0</v>
      </c>
      <c r="H71" s="356">
        <f t="shared" si="67"/>
        <v>0</v>
      </c>
      <c r="I71" s="356">
        <f t="shared" si="67"/>
        <v>0</v>
      </c>
      <c r="J71" s="356">
        <f t="shared" si="67"/>
        <v>0</v>
      </c>
      <c r="K71" s="356">
        <f t="shared" si="67"/>
        <v>0</v>
      </c>
      <c r="L71" s="356">
        <f t="shared" si="67"/>
        <v>0</v>
      </c>
      <c r="M71" s="356">
        <f t="shared" si="67"/>
        <v>0</v>
      </c>
      <c r="N71" s="356">
        <f t="shared" si="67"/>
        <v>0</v>
      </c>
      <c r="O71" s="356">
        <f t="shared" si="6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43" zoomScale="80" zoomScaleNormal="80" workbookViewId="0">
      <selection activeCell="C68" sqref="C68"/>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29" t="s">
        <v>486</v>
      </c>
      <c r="B6" s="530"/>
      <c r="C6" s="530"/>
      <c r="D6" s="530"/>
      <c r="E6" s="530"/>
      <c r="F6" s="530"/>
      <c r="G6" s="530"/>
      <c r="H6" s="530"/>
      <c r="I6" s="530"/>
      <c r="J6" s="530"/>
      <c r="K6" s="530"/>
      <c r="L6" s="531"/>
      <c r="M6" s="67"/>
    </row>
    <row r="7" spans="1:26" s="75" customFormat="1" ht="18" customHeight="1" thickBot="1">
      <c r="A7" s="559" t="s">
        <v>561</v>
      </c>
      <c r="B7" s="560"/>
      <c r="C7" s="560"/>
      <c r="D7" s="560"/>
      <c r="E7" s="560"/>
      <c r="F7" s="560"/>
      <c r="G7" s="560"/>
      <c r="H7" s="560"/>
      <c r="I7" s="560"/>
      <c r="J7" s="560"/>
      <c r="K7" s="560"/>
      <c r="L7" s="561"/>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41" t="s">
        <v>562</v>
      </c>
      <c r="B9" s="542"/>
      <c r="C9" s="542"/>
      <c r="D9" s="542"/>
      <c r="E9" s="542"/>
      <c r="F9" s="542"/>
      <c r="G9" s="542"/>
      <c r="H9" s="542"/>
      <c r="I9" s="542"/>
      <c r="J9" s="542"/>
      <c r="K9" s="542"/>
      <c r="L9" s="542"/>
      <c r="M9" s="542"/>
      <c r="N9" s="542"/>
      <c r="O9" s="542"/>
      <c r="P9" s="542"/>
      <c r="Q9" s="542"/>
      <c r="R9" s="542"/>
      <c r="S9" s="542"/>
      <c r="T9" s="542"/>
      <c r="U9" s="543"/>
    </row>
    <row r="10" spans="1:26" s="69" customFormat="1" ht="15.6" customHeight="1" thickBot="1">
      <c r="A10" s="148"/>
      <c r="B10" s="562" t="s">
        <v>472</v>
      </c>
      <c r="C10" s="563"/>
      <c r="D10" s="563"/>
      <c r="E10" s="563"/>
      <c r="F10" s="564"/>
      <c r="G10" s="562" t="s">
        <v>372</v>
      </c>
      <c r="H10" s="563"/>
      <c r="I10" s="563"/>
      <c r="J10" s="563"/>
      <c r="K10" s="564"/>
      <c r="L10" s="562" t="s">
        <v>373</v>
      </c>
      <c r="M10" s="563"/>
      <c r="N10" s="563"/>
      <c r="O10" s="563"/>
      <c r="P10" s="564"/>
      <c r="Q10" s="562" t="s">
        <v>374</v>
      </c>
      <c r="R10" s="563"/>
      <c r="S10" s="563"/>
      <c r="T10" s="563"/>
      <c r="U10" s="564"/>
    </row>
    <row r="11" spans="1:26" s="70" customFormat="1" ht="15.6" customHeight="1" thickBot="1">
      <c r="A11" s="54"/>
      <c r="B11" s="157" t="s">
        <v>326</v>
      </c>
      <c r="C11" s="158" t="s">
        <v>327</v>
      </c>
      <c r="D11" s="160" t="s">
        <v>328</v>
      </c>
      <c r="E11" s="160" t="s">
        <v>329</v>
      </c>
      <c r="F11" s="160" t="s">
        <v>285</v>
      </c>
      <c r="G11" s="157" t="s">
        <v>326</v>
      </c>
      <c r="H11" s="158" t="s">
        <v>327</v>
      </c>
      <c r="I11" s="160" t="s">
        <v>328</v>
      </c>
      <c r="J11" s="160" t="s">
        <v>329</v>
      </c>
      <c r="K11" s="160" t="s">
        <v>285</v>
      </c>
      <c r="L11" s="157" t="s">
        <v>326</v>
      </c>
      <c r="M11" s="158" t="s">
        <v>327</v>
      </c>
      <c r="N11" s="160" t="s">
        <v>328</v>
      </c>
      <c r="O11" s="160" t="s">
        <v>329</v>
      </c>
      <c r="P11" s="160" t="s">
        <v>285</v>
      </c>
      <c r="Q11" s="157" t="s">
        <v>326</v>
      </c>
      <c r="R11" s="158" t="s">
        <v>327</v>
      </c>
      <c r="S11" s="160" t="s">
        <v>328</v>
      </c>
      <c r="T11" s="160" t="s">
        <v>329</v>
      </c>
      <c r="U11" s="160" t="s">
        <v>285</v>
      </c>
    </row>
    <row r="12" spans="1:26" s="71" customFormat="1" ht="15.6" customHeight="1">
      <c r="A12" s="59" t="s">
        <v>487</v>
      </c>
      <c r="B12" s="177"/>
      <c r="C12" s="171"/>
      <c r="D12" s="174"/>
      <c r="E12" s="174"/>
      <c r="F12" s="60">
        <f t="shared" ref="F12:F14" si="0">SUM(B12:E12)</f>
        <v>0</v>
      </c>
      <c r="G12" s="177"/>
      <c r="H12" s="171"/>
      <c r="I12" s="174"/>
      <c r="J12" s="174"/>
      <c r="K12" s="60">
        <f t="shared" ref="K12:K14" si="1">SUM(G12:J12)</f>
        <v>0</v>
      </c>
      <c r="L12" s="177"/>
      <c r="M12" s="171"/>
      <c r="N12" s="174"/>
      <c r="O12" s="174"/>
      <c r="P12" s="60">
        <f t="shared" ref="P12:P14" si="2">SUM(L12:O12)</f>
        <v>0</v>
      </c>
      <c r="Q12" s="177"/>
      <c r="R12" s="171"/>
      <c r="S12" s="174"/>
      <c r="T12" s="174"/>
      <c r="U12" s="60">
        <f t="shared" ref="U12:U14" si="3">SUM(Q12:T12)</f>
        <v>0</v>
      </c>
      <c r="V12" s="73"/>
      <c r="W12" s="73"/>
      <c r="X12" s="73"/>
      <c r="Y12" s="73"/>
      <c r="Z12" s="73"/>
    </row>
    <row r="13" spans="1:26" s="71" customFormat="1" ht="15.6" customHeight="1">
      <c r="A13" s="48" t="s">
        <v>488</v>
      </c>
      <c r="B13" s="178"/>
      <c r="C13" s="172"/>
      <c r="D13" s="175"/>
      <c r="E13" s="174"/>
      <c r="F13" s="60">
        <f t="shared" si="0"/>
        <v>0</v>
      </c>
      <c r="G13" s="178"/>
      <c r="H13" s="172"/>
      <c r="I13" s="175"/>
      <c r="J13" s="174"/>
      <c r="K13" s="60">
        <f t="shared" si="1"/>
        <v>0</v>
      </c>
      <c r="L13" s="178"/>
      <c r="M13" s="172"/>
      <c r="N13" s="175"/>
      <c r="O13" s="174"/>
      <c r="P13" s="60">
        <f t="shared" si="2"/>
        <v>0</v>
      </c>
      <c r="Q13" s="178"/>
      <c r="R13" s="172"/>
      <c r="S13" s="175"/>
      <c r="T13" s="174"/>
      <c r="U13" s="60">
        <f t="shared" si="3"/>
        <v>0</v>
      </c>
      <c r="V13" s="73"/>
      <c r="W13" s="73"/>
      <c r="X13" s="73"/>
      <c r="Y13" s="73"/>
      <c r="Z13" s="73"/>
    </row>
    <row r="14" spans="1:26" s="71" customFormat="1" ht="15.6" customHeight="1" thickBot="1">
      <c r="A14" s="49" t="s">
        <v>489</v>
      </c>
      <c r="B14" s="180"/>
      <c r="C14" s="173"/>
      <c r="D14" s="176"/>
      <c r="E14" s="263"/>
      <c r="F14" s="60">
        <f t="shared" si="0"/>
        <v>0</v>
      </c>
      <c r="G14" s="180"/>
      <c r="H14" s="173"/>
      <c r="I14" s="176"/>
      <c r="J14" s="263"/>
      <c r="K14" s="60">
        <f t="shared" si="1"/>
        <v>0</v>
      </c>
      <c r="L14" s="180"/>
      <c r="M14" s="173"/>
      <c r="N14" s="176"/>
      <c r="O14" s="263"/>
      <c r="P14" s="60">
        <f t="shared" si="2"/>
        <v>0</v>
      </c>
      <c r="Q14" s="180"/>
      <c r="R14" s="173"/>
      <c r="S14" s="176"/>
      <c r="T14" s="263"/>
      <c r="U14" s="60">
        <f t="shared" si="3"/>
        <v>0</v>
      </c>
      <c r="V14" s="73"/>
      <c r="W14" s="73"/>
      <c r="X14" s="73"/>
      <c r="Y14" s="73"/>
      <c r="Z14" s="73"/>
    </row>
    <row r="15" spans="1:26" s="71" customFormat="1" ht="15.6" customHeight="1" thickBot="1">
      <c r="A15" s="217" t="s">
        <v>285</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65"/>
      <c r="O16" s="147"/>
      <c r="P16" s="147"/>
      <c r="Q16" s="147"/>
    </row>
    <row r="17" spans="1:26" s="71" customFormat="1" ht="15.6" customHeight="1" thickBot="1">
      <c r="A17" s="153"/>
      <c r="B17" s="562" t="s">
        <v>376</v>
      </c>
      <c r="C17" s="563"/>
      <c r="D17" s="563"/>
      <c r="E17" s="563"/>
      <c r="F17" s="564"/>
      <c r="G17" s="562" t="s">
        <v>377</v>
      </c>
      <c r="H17" s="563"/>
      <c r="I17" s="563"/>
      <c r="J17" s="563"/>
      <c r="K17" s="563"/>
      <c r="L17" s="562" t="s">
        <v>477</v>
      </c>
      <c r="M17" s="563"/>
      <c r="N17" s="563"/>
      <c r="O17" s="563"/>
      <c r="P17" s="564"/>
      <c r="Q17" s="218"/>
      <c r="R17" s="204" t="s">
        <v>379</v>
      </c>
    </row>
    <row r="18" spans="1:26" s="71" customFormat="1" ht="15.6" customHeight="1" thickBot="1">
      <c r="A18" s="54"/>
      <c r="B18" s="157" t="s">
        <v>326</v>
      </c>
      <c r="C18" s="158" t="s">
        <v>327</v>
      </c>
      <c r="D18" s="160" t="s">
        <v>328</v>
      </c>
      <c r="E18" s="160" t="s">
        <v>329</v>
      </c>
      <c r="F18" s="160" t="s">
        <v>285</v>
      </c>
      <c r="G18" s="157" t="s">
        <v>326</v>
      </c>
      <c r="H18" s="158" t="s">
        <v>327</v>
      </c>
      <c r="I18" s="160" t="s">
        <v>328</v>
      </c>
      <c r="J18" s="160" t="s">
        <v>329</v>
      </c>
      <c r="K18" s="160" t="s">
        <v>285</v>
      </c>
      <c r="L18" s="157" t="s">
        <v>326</v>
      </c>
      <c r="M18" s="158" t="s">
        <v>327</v>
      </c>
      <c r="N18" s="160" t="s">
        <v>328</v>
      </c>
      <c r="O18" s="160" t="s">
        <v>329</v>
      </c>
      <c r="P18" s="160" t="s">
        <v>285</v>
      </c>
      <c r="Q18" s="73"/>
      <c r="R18" s="558" t="s">
        <v>490</v>
      </c>
      <c r="S18" s="558"/>
      <c r="T18" s="558"/>
      <c r="U18" s="201">
        <f>SUM($F$15,$K$15,$P$15,$U$15,$F$22,$K$22,$P$22)</f>
        <v>0</v>
      </c>
    </row>
    <row r="19" spans="1:26" s="71" customFormat="1" ht="15.6" customHeight="1">
      <c r="A19" s="59" t="s">
        <v>487</v>
      </c>
      <c r="B19" s="177"/>
      <c r="C19" s="171"/>
      <c r="D19" s="174"/>
      <c r="E19" s="174"/>
      <c r="F19" s="60">
        <f t="shared" ref="F19:F21" si="4">SUM(B19:E19)</f>
        <v>0</v>
      </c>
      <c r="G19" s="8"/>
      <c r="H19" s="9"/>
      <c r="I19" s="142"/>
      <c r="J19" s="142"/>
      <c r="K19" s="60">
        <f t="shared" ref="K19:K21" si="5">SUM(G19:J19)</f>
        <v>0</v>
      </c>
      <c r="L19" s="8"/>
      <c r="M19" s="9"/>
      <c r="N19" s="142"/>
      <c r="O19" s="142"/>
      <c r="P19" s="60">
        <f t="shared" ref="P19:P21" si="6">SUM(L19:O19)</f>
        <v>0</v>
      </c>
      <c r="Q19" s="73"/>
      <c r="R19" s="558" t="s">
        <v>491</v>
      </c>
      <c r="S19" s="558"/>
      <c r="T19" s="558"/>
      <c r="U19" s="201">
        <f>SUM(B29,H29,B37,H37,L37,O37)</f>
        <v>0</v>
      </c>
    </row>
    <row r="20" spans="1:26" s="71" customFormat="1" ht="15.6" customHeight="1">
      <c r="A20" s="48" t="s">
        <v>488</v>
      </c>
      <c r="B20" s="178"/>
      <c r="C20" s="172"/>
      <c r="D20" s="175"/>
      <c r="E20" s="174"/>
      <c r="F20" s="60">
        <f t="shared" si="4"/>
        <v>0</v>
      </c>
      <c r="G20" s="10"/>
      <c r="H20" s="11"/>
      <c r="I20" s="143"/>
      <c r="J20" s="142"/>
      <c r="K20" s="60">
        <f t="shared" si="5"/>
        <v>0</v>
      </c>
      <c r="L20" s="10"/>
      <c r="M20" s="11"/>
      <c r="N20" s="143"/>
      <c r="O20" s="142"/>
      <c r="P20" s="60">
        <f t="shared" si="6"/>
        <v>0</v>
      </c>
      <c r="Q20" s="73"/>
      <c r="R20" s="558" t="s">
        <v>385</v>
      </c>
      <c r="S20" s="558"/>
      <c r="T20" s="558"/>
      <c r="U20" s="202" t="str">
        <f>IF(U18=U19, "Yes", "No")</f>
        <v>Yes</v>
      </c>
    </row>
    <row r="21" spans="1:26" s="71" customFormat="1" ht="15.6" customHeight="1" thickBot="1">
      <c r="A21" s="49" t="s">
        <v>489</v>
      </c>
      <c r="B21" s="180"/>
      <c r="C21" s="173"/>
      <c r="D21" s="176"/>
      <c r="E21" s="263"/>
      <c r="F21" s="60">
        <f t="shared" si="4"/>
        <v>0</v>
      </c>
      <c r="G21" s="13"/>
      <c r="H21" s="14"/>
      <c r="I21" s="144"/>
      <c r="J21" s="264"/>
      <c r="K21" s="60">
        <f t="shared" si="5"/>
        <v>0</v>
      </c>
      <c r="L21" s="13"/>
      <c r="M21" s="14"/>
      <c r="N21" s="144"/>
      <c r="O21" s="264"/>
      <c r="P21" s="60">
        <f t="shared" si="6"/>
        <v>0</v>
      </c>
      <c r="Q21" s="73"/>
    </row>
    <row r="22" spans="1:26" s="71" customFormat="1" ht="15.6" customHeight="1" thickBot="1">
      <c r="A22" s="217" t="s">
        <v>285</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65"/>
      <c r="H23" s="565"/>
      <c r="I23" s="565"/>
      <c r="J23" s="565"/>
      <c r="K23" s="565"/>
      <c r="L23" s="565"/>
      <c r="M23" s="565"/>
      <c r="N23" s="74"/>
      <c r="O23" s="210"/>
      <c r="P23" s="210"/>
      <c r="Q23" s="210"/>
      <c r="R23" s="210"/>
    </row>
    <row r="24" spans="1:26" s="71" customFormat="1" ht="15.6" customHeight="1" thickBot="1">
      <c r="A24" s="501" t="s">
        <v>563</v>
      </c>
      <c r="B24" s="502"/>
      <c r="C24" s="502"/>
      <c r="D24" s="502"/>
      <c r="E24" s="502"/>
      <c r="F24" s="502"/>
      <c r="G24" s="502"/>
      <c r="H24" s="502"/>
      <c r="I24" s="502"/>
      <c r="J24" s="502"/>
      <c r="K24" s="502"/>
      <c r="L24" s="503"/>
      <c r="M24" s="308"/>
      <c r="N24" s="63"/>
      <c r="O24" s="63"/>
      <c r="P24" s="218"/>
      <c r="Q24" s="207"/>
      <c r="R24" s="568" t="s">
        <v>492</v>
      </c>
      <c r="S24" s="568"/>
      <c r="T24" s="568"/>
      <c r="U24" s="568"/>
      <c r="V24" s="210"/>
      <c r="W24" s="210"/>
    </row>
    <row r="25" spans="1:26" s="71" customFormat="1" ht="89.45" customHeight="1" thickBot="1">
      <c r="A25" s="54"/>
      <c r="B25" s="275" t="s">
        <v>330</v>
      </c>
      <c r="C25" s="361" t="s">
        <v>387</v>
      </c>
      <c r="D25" s="388" t="s">
        <v>388</v>
      </c>
      <c r="E25" s="388" t="s">
        <v>389</v>
      </c>
      <c r="F25" s="388" t="s">
        <v>390</v>
      </c>
      <c r="G25" s="361" t="s">
        <v>391</v>
      </c>
      <c r="H25" s="372" t="s">
        <v>392</v>
      </c>
      <c r="I25" s="377" t="s">
        <v>393</v>
      </c>
      <c r="J25" s="377" t="s">
        <v>394</v>
      </c>
      <c r="K25" s="377" t="s">
        <v>395</v>
      </c>
      <c r="L25" s="377" t="s">
        <v>396</v>
      </c>
      <c r="M25" s="63"/>
      <c r="N25" s="390" t="s">
        <v>397</v>
      </c>
      <c r="O25" s="63"/>
      <c r="P25" s="205"/>
      <c r="Q25" s="207"/>
      <c r="R25" s="568"/>
      <c r="S25" s="568"/>
      <c r="T25" s="568"/>
      <c r="U25" s="568"/>
      <c r="V25" s="210"/>
      <c r="W25" s="210"/>
      <c r="X25" s="210"/>
      <c r="Y25" s="210"/>
      <c r="Z25" s="210"/>
    </row>
    <row r="26" spans="1:26" s="71" customFormat="1" ht="15.6" customHeight="1" thickBot="1">
      <c r="A26" s="59" t="s">
        <v>487</v>
      </c>
      <c r="B26" s="359">
        <f>SUM(C26:G26)</f>
        <v>0</v>
      </c>
      <c r="C26" s="179"/>
      <c r="D26" s="384"/>
      <c r="E26" s="384"/>
      <c r="F26" s="384"/>
      <c r="G26" s="179"/>
      <c r="H26" s="179"/>
      <c r="I26" s="384"/>
      <c r="J26" s="384"/>
      <c r="K26" s="384"/>
      <c r="L26" s="384"/>
      <c r="M26" s="63"/>
      <c r="N26" s="391" t="s">
        <v>398</v>
      </c>
      <c r="O26" s="63"/>
      <c r="P26" s="218"/>
      <c r="Q26" s="218"/>
      <c r="R26" s="569"/>
      <c r="S26" s="570"/>
      <c r="T26" s="570"/>
      <c r="U26" s="571"/>
      <c r="V26" s="210"/>
      <c r="W26" s="210"/>
    </row>
    <row r="27" spans="1:26" s="71" customFormat="1" ht="15.6" customHeight="1">
      <c r="A27" s="48" t="s">
        <v>488</v>
      </c>
      <c r="B27" s="359">
        <f>SUM(C27:G27)</f>
        <v>0</v>
      </c>
      <c r="C27" s="179"/>
      <c r="D27" s="384"/>
      <c r="E27" s="384"/>
      <c r="F27" s="384"/>
      <c r="G27" s="179"/>
      <c r="H27" s="179"/>
      <c r="I27" s="384"/>
      <c r="J27" s="384"/>
      <c r="K27" s="384"/>
      <c r="L27" s="384"/>
      <c r="M27" s="63"/>
      <c r="N27" s="201" t="s">
        <v>399</v>
      </c>
      <c r="O27" s="63"/>
      <c r="P27" s="255"/>
      <c r="Q27" s="255"/>
      <c r="R27" s="572"/>
      <c r="S27" s="573"/>
      <c r="T27" s="573"/>
      <c r="U27" s="574"/>
      <c r="V27" s="268"/>
      <c r="W27" s="268"/>
    </row>
    <row r="28" spans="1:26" s="71" customFormat="1" ht="15.6" customHeight="1" thickBot="1">
      <c r="A28" s="49" t="s">
        <v>489</v>
      </c>
      <c r="B28" s="360">
        <f t="shared" ref="B28" si="7">SUM(C28:G28)</f>
        <v>0</v>
      </c>
      <c r="C28" s="179"/>
      <c r="D28" s="384"/>
      <c r="E28" s="384"/>
      <c r="F28" s="384"/>
      <c r="G28" s="179"/>
      <c r="H28" s="179"/>
      <c r="I28" s="384"/>
      <c r="J28" s="384"/>
      <c r="K28" s="384"/>
      <c r="L28" s="384"/>
      <c r="M28" s="63"/>
      <c r="N28" s="201" t="s">
        <v>400</v>
      </c>
      <c r="O28" s="63"/>
      <c r="P28" s="558"/>
      <c r="Q28" s="558"/>
      <c r="R28" s="572"/>
      <c r="S28" s="573"/>
      <c r="T28" s="573"/>
      <c r="U28" s="574"/>
      <c r="V28" s="268"/>
      <c r="W28" s="268"/>
    </row>
    <row r="29" spans="1:26" s="71" customFormat="1" ht="15.6" customHeight="1" thickBot="1">
      <c r="A29" s="217" t="s">
        <v>285</v>
      </c>
      <c r="B29" s="56">
        <f t="shared" ref="B29:L29" si="8">SUM(B26:B28)</f>
        <v>0</v>
      </c>
      <c r="C29" s="362">
        <f t="shared" si="8"/>
        <v>0</v>
      </c>
      <c r="D29" s="387">
        <f t="shared" si="8"/>
        <v>0</v>
      </c>
      <c r="E29" s="387">
        <f t="shared" si="8"/>
        <v>0</v>
      </c>
      <c r="F29" s="387">
        <f t="shared" si="8"/>
        <v>0</v>
      </c>
      <c r="G29" s="362">
        <f t="shared" si="8"/>
        <v>0</v>
      </c>
      <c r="H29" s="52">
        <f t="shared" si="8"/>
        <v>0</v>
      </c>
      <c r="I29" s="385">
        <f t="shared" si="8"/>
        <v>0</v>
      </c>
      <c r="J29" s="385">
        <f t="shared" si="8"/>
        <v>0</v>
      </c>
      <c r="K29" s="385">
        <f t="shared" si="8"/>
        <v>0</v>
      </c>
      <c r="L29" s="385">
        <f t="shared" si="8"/>
        <v>0</v>
      </c>
      <c r="M29" s="63"/>
      <c r="N29" s="381"/>
      <c r="O29" s="63"/>
      <c r="R29" s="575"/>
      <c r="S29" s="576"/>
      <c r="T29" s="576"/>
      <c r="U29" s="577"/>
      <c r="V29" s="268"/>
      <c r="W29" s="268"/>
    </row>
    <row r="30" spans="1:26" s="71" customFormat="1" ht="12.4" customHeight="1">
      <c r="A30" s="63"/>
      <c r="B30" s="63"/>
      <c r="C30" s="63"/>
      <c r="D30" s="63"/>
      <c r="E30" s="63"/>
      <c r="F30" s="63"/>
      <c r="G30" s="63"/>
      <c r="H30" s="63"/>
      <c r="I30" s="63"/>
      <c r="J30" s="63"/>
      <c r="K30" s="63"/>
      <c r="L30" s="63"/>
      <c r="M30" s="63"/>
      <c r="N30" s="201" t="s">
        <v>401</v>
      </c>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501" t="s">
        <v>563</v>
      </c>
      <c r="B32" s="502"/>
      <c r="C32" s="502"/>
      <c r="D32" s="502"/>
      <c r="E32" s="502"/>
      <c r="F32" s="502"/>
      <c r="G32" s="502"/>
      <c r="H32" s="502"/>
      <c r="I32" s="502"/>
      <c r="J32" s="502"/>
      <c r="K32" s="502"/>
      <c r="L32" s="502"/>
      <c r="M32" s="502"/>
      <c r="N32" s="502"/>
      <c r="O32" s="503"/>
    </row>
    <row r="33" spans="1:26" s="71" customFormat="1" ht="75.599999999999994" customHeight="1" thickBot="1">
      <c r="A33" s="54"/>
      <c r="B33" s="275" t="s">
        <v>433</v>
      </c>
      <c r="C33" s="380" t="s">
        <v>404</v>
      </c>
      <c r="D33" s="380" t="s">
        <v>405</v>
      </c>
      <c r="E33" s="380" t="s">
        <v>406</v>
      </c>
      <c r="F33" s="130" t="s">
        <v>407</v>
      </c>
      <c r="G33" s="130" t="s">
        <v>408</v>
      </c>
      <c r="H33" s="372" t="s">
        <v>409</v>
      </c>
      <c r="I33" s="377" t="s">
        <v>410</v>
      </c>
      <c r="J33" s="377" t="s">
        <v>411</v>
      </c>
      <c r="K33" s="377" t="s">
        <v>412</v>
      </c>
      <c r="L33" s="275" t="s">
        <v>328</v>
      </c>
      <c r="M33" s="377" t="s">
        <v>414</v>
      </c>
      <c r="N33" s="130" t="s">
        <v>415</v>
      </c>
      <c r="O33" s="372" t="s">
        <v>416</v>
      </c>
      <c r="Q33" s="566"/>
      <c r="R33" s="566"/>
      <c r="S33" s="566"/>
      <c r="T33" s="566"/>
      <c r="U33" s="566"/>
      <c r="V33" s="566"/>
    </row>
    <row r="34" spans="1:26" s="71" customFormat="1" ht="12.4" customHeight="1">
      <c r="A34" s="59" t="s">
        <v>487</v>
      </c>
      <c r="B34" s="307">
        <f t="shared" ref="B34:B36" si="9">SUM(C34:G34)</f>
        <v>0</v>
      </c>
      <c r="C34" s="384"/>
      <c r="D34" s="384"/>
      <c r="E34" s="384"/>
      <c r="F34" s="179"/>
      <c r="G34" s="179"/>
      <c r="H34" s="179"/>
      <c r="I34" s="384"/>
      <c r="J34" s="384"/>
      <c r="K34" s="384"/>
      <c r="L34" s="307">
        <f t="shared" ref="L34:L36" si="10">SUM(M34:N34)</f>
        <v>0</v>
      </c>
      <c r="M34" s="384"/>
      <c r="N34" s="179"/>
      <c r="O34" s="179"/>
      <c r="Q34" s="567"/>
      <c r="R34" s="567"/>
      <c r="S34" s="567"/>
      <c r="T34" s="567"/>
      <c r="U34" s="567"/>
      <c r="V34" s="567"/>
    </row>
    <row r="35" spans="1:26" s="71" customFormat="1" ht="12.4" customHeight="1">
      <c r="A35" s="48" t="s">
        <v>488</v>
      </c>
      <c r="B35" s="278">
        <f t="shared" si="9"/>
        <v>0</v>
      </c>
      <c r="C35" s="384"/>
      <c r="D35" s="384"/>
      <c r="E35" s="384"/>
      <c r="F35" s="179"/>
      <c r="G35" s="179"/>
      <c r="H35" s="179"/>
      <c r="I35" s="384"/>
      <c r="J35" s="384"/>
      <c r="K35" s="384"/>
      <c r="L35" s="278">
        <f t="shared" si="10"/>
        <v>0</v>
      </c>
      <c r="M35" s="384"/>
      <c r="N35" s="179"/>
      <c r="O35" s="179"/>
      <c r="Q35" s="567"/>
      <c r="R35" s="567"/>
      <c r="S35" s="567"/>
      <c r="T35" s="567"/>
      <c r="U35" s="567"/>
      <c r="V35" s="567"/>
    </row>
    <row r="36" spans="1:26" s="71" customFormat="1" ht="12.4" customHeight="1" thickBot="1">
      <c r="A36" s="49" t="s">
        <v>489</v>
      </c>
      <c r="B36" s="278">
        <f t="shared" si="9"/>
        <v>0</v>
      </c>
      <c r="C36" s="384"/>
      <c r="D36" s="384"/>
      <c r="E36" s="384"/>
      <c r="F36" s="179"/>
      <c r="G36" s="179"/>
      <c r="H36" s="179"/>
      <c r="I36" s="384"/>
      <c r="J36" s="384"/>
      <c r="K36" s="384"/>
      <c r="L36" s="278">
        <f t="shared" si="10"/>
        <v>0</v>
      </c>
      <c r="M36" s="384"/>
      <c r="N36" s="179"/>
      <c r="O36" s="179"/>
      <c r="Q36" s="567"/>
      <c r="R36" s="567"/>
      <c r="S36" s="567"/>
      <c r="T36" s="567"/>
      <c r="U36" s="567"/>
      <c r="V36" s="567"/>
    </row>
    <row r="37" spans="1:26" s="71" customFormat="1" ht="12.4" customHeight="1" thickBot="1">
      <c r="A37" s="217" t="s">
        <v>285</v>
      </c>
      <c r="B37" s="56">
        <f t="shared" ref="B37:O37" si="11">SUM(B34:B36)</f>
        <v>0</v>
      </c>
      <c r="C37" s="385">
        <f t="shared" si="11"/>
        <v>0</v>
      </c>
      <c r="D37" s="385">
        <f t="shared" si="11"/>
        <v>0</v>
      </c>
      <c r="E37" s="385">
        <f t="shared" si="11"/>
        <v>0</v>
      </c>
      <c r="F37" s="52">
        <f t="shared" si="11"/>
        <v>0</v>
      </c>
      <c r="G37" s="52">
        <f t="shared" si="11"/>
        <v>0</v>
      </c>
      <c r="H37" s="52">
        <f t="shared" si="11"/>
        <v>0</v>
      </c>
      <c r="I37" s="385">
        <f t="shared" si="11"/>
        <v>0</v>
      </c>
      <c r="J37" s="385">
        <f t="shared" si="11"/>
        <v>0</v>
      </c>
      <c r="K37" s="385">
        <f t="shared" si="11"/>
        <v>0</v>
      </c>
      <c r="L37" s="52">
        <f t="shared" si="11"/>
        <v>0</v>
      </c>
      <c r="M37" s="385">
        <f t="shared" si="11"/>
        <v>0</v>
      </c>
      <c r="N37" s="52">
        <f t="shared" si="11"/>
        <v>0</v>
      </c>
      <c r="O37" s="52">
        <f t="shared" si="11"/>
        <v>0</v>
      </c>
      <c r="Q37" s="567"/>
      <c r="R37" s="567"/>
      <c r="S37" s="567"/>
      <c r="T37" s="567"/>
      <c r="U37" s="567"/>
      <c r="V37" s="567"/>
    </row>
    <row r="38" spans="1:26" s="71" customFormat="1" ht="12.4" customHeight="1">
      <c r="A38" s="68"/>
      <c r="B38" s="216"/>
      <c r="C38" s="216"/>
      <c r="D38" s="216"/>
      <c r="E38" s="216"/>
      <c r="F38" s="216"/>
      <c r="G38" s="216"/>
      <c r="H38" s="216"/>
      <c r="I38" s="216"/>
      <c r="J38" s="216"/>
      <c r="K38" s="216"/>
      <c r="L38" s="216"/>
      <c r="M38" s="216"/>
      <c r="N38" s="74"/>
      <c r="O38" s="73"/>
      <c r="Q38" s="268"/>
      <c r="R38" s="268"/>
      <c r="S38" s="268"/>
      <c r="T38" s="268"/>
      <c r="U38" s="268"/>
      <c r="V38" s="268"/>
    </row>
    <row r="39" spans="1:26" s="71" customFormat="1" ht="12.75" customHeight="1">
      <c r="A39" s="68"/>
      <c r="B39" s="216"/>
      <c r="C39" s="216"/>
      <c r="D39" s="216"/>
      <c r="E39" s="216"/>
      <c r="F39" s="216"/>
      <c r="G39" s="216"/>
      <c r="H39" s="216"/>
      <c r="I39" s="216"/>
      <c r="J39" s="216"/>
      <c r="K39" s="216"/>
      <c r="L39" s="216"/>
      <c r="M39" s="216"/>
      <c r="N39" s="74"/>
      <c r="O39" s="73"/>
      <c r="Q39" s="268"/>
      <c r="R39" s="268"/>
      <c r="S39" s="268"/>
      <c r="T39" s="268"/>
      <c r="U39" s="268"/>
      <c r="V39" s="268"/>
    </row>
    <row r="40" spans="1:26" ht="15.75" thickBot="1"/>
    <row r="41" spans="1:26" s="75" customFormat="1" ht="18" customHeight="1" thickBot="1">
      <c r="A41" s="559" t="s">
        <v>564</v>
      </c>
      <c r="B41" s="560"/>
      <c r="C41" s="560"/>
      <c r="D41" s="560"/>
      <c r="E41" s="560"/>
      <c r="F41" s="560"/>
      <c r="G41" s="560"/>
      <c r="H41" s="560"/>
      <c r="I41" s="560"/>
      <c r="J41" s="560"/>
      <c r="K41" s="560"/>
      <c r="L41" s="561"/>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41" t="s">
        <v>565</v>
      </c>
      <c r="B43" s="542"/>
      <c r="C43" s="542"/>
      <c r="D43" s="542"/>
      <c r="E43" s="542"/>
      <c r="F43" s="542"/>
      <c r="G43" s="542"/>
      <c r="H43" s="542"/>
      <c r="I43" s="542"/>
      <c r="J43" s="542"/>
      <c r="K43" s="542"/>
      <c r="L43" s="542"/>
      <c r="M43" s="542"/>
      <c r="N43" s="542"/>
      <c r="O43" s="542"/>
      <c r="P43" s="542"/>
      <c r="Q43" s="542"/>
      <c r="R43" s="542"/>
      <c r="S43" s="542"/>
      <c r="T43" s="542"/>
      <c r="U43" s="543"/>
    </row>
    <row r="44" spans="1:26" s="69" customFormat="1" ht="15.6" customHeight="1" thickBot="1">
      <c r="A44" s="154"/>
      <c r="B44" s="562" t="s">
        <v>472</v>
      </c>
      <c r="C44" s="563"/>
      <c r="D44" s="563"/>
      <c r="E44" s="563"/>
      <c r="F44" s="564"/>
      <c r="G44" s="562" t="s">
        <v>372</v>
      </c>
      <c r="H44" s="563"/>
      <c r="I44" s="563"/>
      <c r="J44" s="563"/>
      <c r="K44" s="564"/>
      <c r="L44" s="562" t="s">
        <v>373</v>
      </c>
      <c r="M44" s="563"/>
      <c r="N44" s="563"/>
      <c r="O44" s="563"/>
      <c r="P44" s="564"/>
      <c r="Q44" s="562" t="s">
        <v>374</v>
      </c>
      <c r="R44" s="563"/>
      <c r="S44" s="563"/>
      <c r="T44" s="563"/>
      <c r="U44" s="564"/>
    </row>
    <row r="45" spans="1:26" s="70" customFormat="1" ht="15.6" customHeight="1" thickBot="1">
      <c r="A45" s="54"/>
      <c r="B45" s="161" t="s">
        <v>326</v>
      </c>
      <c r="C45" s="162" t="s">
        <v>327</v>
      </c>
      <c r="D45" s="163" t="s">
        <v>328</v>
      </c>
      <c r="E45" s="163" t="s">
        <v>329</v>
      </c>
      <c r="F45" s="163" t="s">
        <v>285</v>
      </c>
      <c r="G45" s="161" t="s">
        <v>326</v>
      </c>
      <c r="H45" s="162" t="s">
        <v>327</v>
      </c>
      <c r="I45" s="163" t="s">
        <v>328</v>
      </c>
      <c r="J45" s="163" t="s">
        <v>329</v>
      </c>
      <c r="K45" s="163" t="s">
        <v>285</v>
      </c>
      <c r="L45" s="161" t="s">
        <v>326</v>
      </c>
      <c r="M45" s="162" t="s">
        <v>327</v>
      </c>
      <c r="N45" s="163" t="s">
        <v>328</v>
      </c>
      <c r="O45" s="163" t="s">
        <v>329</v>
      </c>
      <c r="P45" s="163" t="s">
        <v>285</v>
      </c>
      <c r="Q45" s="161" t="s">
        <v>326</v>
      </c>
      <c r="R45" s="162" t="s">
        <v>327</v>
      </c>
      <c r="S45" s="163" t="s">
        <v>328</v>
      </c>
      <c r="T45" s="163" t="s">
        <v>329</v>
      </c>
      <c r="U45" s="163" t="s">
        <v>285</v>
      </c>
    </row>
    <row r="46" spans="1:26" s="71" customFormat="1" ht="15.6" customHeight="1">
      <c r="A46" s="59" t="s">
        <v>474</v>
      </c>
      <c r="B46" s="8"/>
      <c r="C46" s="9"/>
      <c r="D46" s="142"/>
      <c r="E46" s="142"/>
      <c r="F46" s="60">
        <f t="shared" ref="F46:F48" si="12">SUM(B46:E46)</f>
        <v>0</v>
      </c>
      <c r="G46" s="8"/>
      <c r="H46" s="9"/>
      <c r="I46" s="142"/>
      <c r="J46" s="142"/>
      <c r="K46" s="60">
        <f t="shared" ref="K46:K48" si="13">SUM(G46:J46)</f>
        <v>0</v>
      </c>
      <c r="L46" s="177"/>
      <c r="M46" s="171"/>
      <c r="N46" s="174"/>
      <c r="O46" s="174"/>
      <c r="P46" s="60">
        <f t="shared" ref="P46:P48" si="14">SUM(L46:O46)</f>
        <v>0</v>
      </c>
      <c r="Q46" s="177"/>
      <c r="R46" s="171"/>
      <c r="S46" s="174"/>
      <c r="T46" s="174"/>
      <c r="U46" s="60">
        <f t="shared" ref="U46:U48" si="15">SUM(Q46:T46)</f>
        <v>0</v>
      </c>
      <c r="V46" s="73"/>
      <c r="W46" s="73"/>
      <c r="X46" s="73"/>
      <c r="Y46" s="73"/>
      <c r="Z46" s="73"/>
    </row>
    <row r="47" spans="1:26" s="71" customFormat="1" ht="15.6" customHeight="1">
      <c r="A47" s="48" t="s">
        <v>493</v>
      </c>
      <c r="B47" s="10"/>
      <c r="C47" s="11"/>
      <c r="D47" s="143"/>
      <c r="E47" s="142"/>
      <c r="F47" s="60">
        <f t="shared" si="12"/>
        <v>0</v>
      </c>
      <c r="G47" s="10"/>
      <c r="H47" s="11"/>
      <c r="I47" s="143"/>
      <c r="J47" s="142"/>
      <c r="K47" s="60">
        <f t="shared" si="13"/>
        <v>0</v>
      </c>
      <c r="L47" s="178"/>
      <c r="M47" s="172"/>
      <c r="N47" s="175"/>
      <c r="O47" s="174"/>
      <c r="P47" s="60">
        <f t="shared" si="14"/>
        <v>0</v>
      </c>
      <c r="Q47" s="178"/>
      <c r="R47" s="172"/>
      <c r="S47" s="175"/>
      <c r="T47" s="174"/>
      <c r="U47" s="60">
        <f t="shared" si="15"/>
        <v>0</v>
      </c>
      <c r="V47" s="73"/>
      <c r="W47" s="73"/>
      <c r="X47" s="73"/>
      <c r="Y47" s="73"/>
      <c r="Z47" s="73"/>
    </row>
    <row r="48" spans="1:26" s="71" customFormat="1" ht="15.6" customHeight="1" thickBot="1">
      <c r="A48" s="49" t="s">
        <v>494</v>
      </c>
      <c r="B48" s="13"/>
      <c r="C48" s="14"/>
      <c r="D48" s="144"/>
      <c r="E48" s="264"/>
      <c r="F48" s="60">
        <f t="shared" si="12"/>
        <v>0</v>
      </c>
      <c r="G48" s="13"/>
      <c r="H48" s="14"/>
      <c r="I48" s="144"/>
      <c r="J48" s="264"/>
      <c r="K48" s="60">
        <f t="shared" si="13"/>
        <v>0</v>
      </c>
      <c r="L48" s="180"/>
      <c r="M48" s="173"/>
      <c r="N48" s="176"/>
      <c r="O48" s="263"/>
      <c r="P48" s="60">
        <f t="shared" si="14"/>
        <v>0</v>
      </c>
      <c r="Q48" s="180"/>
      <c r="R48" s="173"/>
      <c r="S48" s="176"/>
      <c r="T48" s="263"/>
      <c r="U48" s="60">
        <f t="shared" si="15"/>
        <v>0</v>
      </c>
      <c r="V48" s="73"/>
      <c r="W48" s="73"/>
      <c r="X48" s="73"/>
      <c r="Y48" s="73"/>
      <c r="Z48" s="73"/>
    </row>
    <row r="49" spans="1:28" s="71" customFormat="1" ht="15.6" customHeight="1" thickBot="1">
      <c r="A49" s="217" t="s">
        <v>285</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62" t="s">
        <v>376</v>
      </c>
      <c r="C51" s="563"/>
      <c r="D51" s="563"/>
      <c r="E51" s="563"/>
      <c r="F51" s="564"/>
      <c r="G51" s="563" t="s">
        <v>377</v>
      </c>
      <c r="H51" s="563"/>
      <c r="I51" s="563"/>
      <c r="J51" s="563"/>
      <c r="K51" s="564"/>
      <c r="L51" s="562" t="s">
        <v>477</v>
      </c>
      <c r="M51" s="563"/>
      <c r="N51" s="563"/>
      <c r="O51" s="563"/>
      <c r="P51" s="564"/>
      <c r="Q51" s="218"/>
      <c r="R51" s="204" t="s">
        <v>379</v>
      </c>
    </row>
    <row r="52" spans="1:28" s="71" customFormat="1" ht="15.6" customHeight="1" thickBot="1">
      <c r="A52" s="54"/>
      <c r="B52" s="161" t="s">
        <v>326</v>
      </c>
      <c r="C52" s="162" t="s">
        <v>327</v>
      </c>
      <c r="D52" s="163" t="s">
        <v>328</v>
      </c>
      <c r="E52" s="163" t="s">
        <v>329</v>
      </c>
      <c r="F52" s="163" t="s">
        <v>285</v>
      </c>
      <c r="G52" s="161" t="s">
        <v>326</v>
      </c>
      <c r="H52" s="162" t="s">
        <v>327</v>
      </c>
      <c r="I52" s="163" t="s">
        <v>328</v>
      </c>
      <c r="J52" s="163" t="s">
        <v>329</v>
      </c>
      <c r="K52" s="163" t="s">
        <v>285</v>
      </c>
      <c r="L52" s="161" t="s">
        <v>326</v>
      </c>
      <c r="M52" s="162" t="s">
        <v>327</v>
      </c>
      <c r="N52" s="163" t="s">
        <v>328</v>
      </c>
      <c r="O52" s="163" t="s">
        <v>329</v>
      </c>
      <c r="P52" s="163" t="s">
        <v>285</v>
      </c>
      <c r="Q52" s="147"/>
      <c r="R52" s="558" t="s">
        <v>495</v>
      </c>
      <c r="S52" s="558"/>
      <c r="T52" s="558"/>
      <c r="U52" s="201">
        <f>SUM($F$49,$K$49,$P$49,$U$49,$F$56,$K$56,$P$56)</f>
        <v>0</v>
      </c>
      <c r="W52" s="547"/>
      <c r="X52" s="547"/>
      <c r="Y52" s="547"/>
      <c r="Z52" s="547"/>
      <c r="AA52" s="547"/>
      <c r="AB52" s="547"/>
    </row>
    <row r="53" spans="1:28" s="71" customFormat="1" ht="15.6" customHeight="1">
      <c r="A53" s="59" t="s">
        <v>474</v>
      </c>
      <c r="B53" s="8"/>
      <c r="C53" s="9"/>
      <c r="D53" s="142"/>
      <c r="E53" s="142"/>
      <c r="F53" s="60">
        <f t="shared" ref="F53:F55" si="16">SUM(B53:E53)</f>
        <v>0</v>
      </c>
      <c r="G53" s="8"/>
      <c r="H53" s="9"/>
      <c r="I53" s="142"/>
      <c r="J53" s="142"/>
      <c r="K53" s="60">
        <f t="shared" ref="K53:K55" si="17">SUM(G53:J53)</f>
        <v>0</v>
      </c>
      <c r="L53" s="8"/>
      <c r="M53" s="9"/>
      <c r="N53" s="142"/>
      <c r="O53" s="142"/>
      <c r="P53" s="60">
        <f t="shared" ref="P53:P55" si="18">SUM(L53:O53)</f>
        <v>0</v>
      </c>
      <c r="Q53" s="147"/>
      <c r="R53" s="558" t="s">
        <v>496</v>
      </c>
      <c r="S53" s="558"/>
      <c r="T53" s="558"/>
      <c r="U53" s="201">
        <f>SUM(B63,H63,B71,H71,L71,O71)</f>
        <v>0</v>
      </c>
      <c r="W53" s="547"/>
      <c r="X53" s="547"/>
      <c r="Y53" s="547"/>
      <c r="Z53" s="547"/>
      <c r="AA53" s="547"/>
      <c r="AB53" s="547"/>
    </row>
    <row r="54" spans="1:28" s="71" customFormat="1" ht="15.6" customHeight="1">
      <c r="A54" s="48" t="s">
        <v>493</v>
      </c>
      <c r="B54" s="10"/>
      <c r="C54" s="11"/>
      <c r="D54" s="143"/>
      <c r="E54" s="142"/>
      <c r="F54" s="60">
        <f t="shared" si="16"/>
        <v>0</v>
      </c>
      <c r="G54" s="10"/>
      <c r="H54" s="11"/>
      <c r="I54" s="143"/>
      <c r="J54" s="142"/>
      <c r="K54" s="60">
        <f t="shared" si="17"/>
        <v>0</v>
      </c>
      <c r="L54" s="10"/>
      <c r="M54" s="11"/>
      <c r="N54" s="143"/>
      <c r="O54" s="142"/>
      <c r="P54" s="60">
        <f t="shared" si="18"/>
        <v>0</v>
      </c>
      <c r="Q54" s="147"/>
      <c r="R54" s="558" t="s">
        <v>385</v>
      </c>
      <c r="S54" s="558"/>
      <c r="T54" s="558"/>
      <c r="U54" s="202" t="str">
        <f>IF(U52=U53, "Yes", "No")</f>
        <v>Yes</v>
      </c>
      <c r="W54" s="547"/>
      <c r="X54" s="547"/>
      <c r="Y54" s="547"/>
      <c r="Z54" s="547"/>
      <c r="AA54" s="547"/>
      <c r="AB54" s="547"/>
    </row>
    <row r="55" spans="1:28" s="71" customFormat="1" ht="15.6" customHeight="1" thickBot="1">
      <c r="A55" s="49" t="s">
        <v>494</v>
      </c>
      <c r="B55" s="13"/>
      <c r="C55" s="14"/>
      <c r="D55" s="144"/>
      <c r="E55" s="264"/>
      <c r="F55" s="60">
        <f t="shared" si="16"/>
        <v>0</v>
      </c>
      <c r="G55" s="13"/>
      <c r="H55" s="14"/>
      <c r="I55" s="144"/>
      <c r="J55" s="264"/>
      <c r="K55" s="60">
        <f t="shared" si="17"/>
        <v>0</v>
      </c>
      <c r="L55" s="13"/>
      <c r="M55" s="14"/>
      <c r="N55" s="144"/>
      <c r="O55" s="264"/>
      <c r="P55" s="60">
        <f t="shared" si="18"/>
        <v>0</v>
      </c>
      <c r="Q55" s="147"/>
      <c r="W55" s="330"/>
      <c r="X55" s="330"/>
      <c r="Y55" s="330"/>
      <c r="Z55" s="330"/>
      <c r="AA55" s="330"/>
      <c r="AB55" s="330"/>
    </row>
    <row r="56" spans="1:28" s="71" customFormat="1" ht="15.6" customHeight="1" thickBot="1">
      <c r="A56" s="217" t="s">
        <v>285</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30"/>
      <c r="AA56" s="330"/>
      <c r="AB56" s="330"/>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30"/>
      <c r="X57" s="330"/>
      <c r="Y57" s="330"/>
      <c r="Z57" s="330"/>
      <c r="AA57" s="330"/>
      <c r="AB57" s="330"/>
    </row>
    <row r="58" spans="1:28" s="71" customFormat="1" ht="15.6" customHeight="1" thickBot="1">
      <c r="A58" s="501" t="s">
        <v>566</v>
      </c>
      <c r="B58" s="502"/>
      <c r="C58" s="502"/>
      <c r="D58" s="502"/>
      <c r="E58" s="502"/>
      <c r="F58" s="502"/>
      <c r="G58" s="502"/>
      <c r="H58" s="502"/>
      <c r="I58" s="502"/>
      <c r="J58" s="502"/>
      <c r="K58" s="502"/>
      <c r="L58" s="503"/>
      <c r="M58" s="308"/>
      <c r="N58" s="63"/>
      <c r="O58" s="63"/>
      <c r="P58" s="218"/>
    </row>
    <row r="59" spans="1:28" s="71" customFormat="1" ht="96.6" customHeight="1" thickBot="1">
      <c r="A59" s="54"/>
      <c r="B59" s="275" t="s">
        <v>330</v>
      </c>
      <c r="C59" s="361" t="s">
        <v>387</v>
      </c>
      <c r="D59" s="388" t="s">
        <v>388</v>
      </c>
      <c r="E59" s="388" t="s">
        <v>389</v>
      </c>
      <c r="F59" s="388" t="s">
        <v>390</v>
      </c>
      <c r="G59" s="361" t="s">
        <v>391</v>
      </c>
      <c r="H59" s="372" t="s">
        <v>392</v>
      </c>
      <c r="I59" s="377" t="s">
        <v>393</v>
      </c>
      <c r="J59" s="377" t="s">
        <v>394</v>
      </c>
      <c r="K59" s="377" t="s">
        <v>395</v>
      </c>
      <c r="L59" s="377" t="s">
        <v>396</v>
      </c>
      <c r="M59" s="63"/>
      <c r="N59" s="390" t="s">
        <v>397</v>
      </c>
      <c r="O59" s="63"/>
      <c r="P59" s="205"/>
      <c r="Q59" s="207"/>
      <c r="R59" s="578" t="s">
        <v>492</v>
      </c>
      <c r="S59" s="578"/>
      <c r="T59" s="578"/>
      <c r="U59" s="578"/>
      <c r="V59" s="210"/>
      <c r="W59" s="210"/>
      <c r="X59" s="210"/>
      <c r="Y59" s="210"/>
    </row>
    <row r="60" spans="1:28" s="71" customFormat="1" ht="15.6" customHeight="1" thickBot="1">
      <c r="A60" s="59" t="s">
        <v>474</v>
      </c>
      <c r="B60" s="359">
        <f>SUM(C60:G60)</f>
        <v>0</v>
      </c>
      <c r="C60" s="12"/>
      <c r="D60" s="389"/>
      <c r="E60" s="389"/>
      <c r="F60" s="389"/>
      <c r="G60" s="12"/>
      <c r="H60" s="12"/>
      <c r="I60" s="389"/>
      <c r="J60" s="389"/>
      <c r="K60" s="389"/>
      <c r="L60" s="389"/>
      <c r="M60" s="63"/>
      <c r="N60" s="391" t="s">
        <v>398</v>
      </c>
      <c r="O60" s="63"/>
      <c r="P60" s="216"/>
      <c r="Q60" s="218"/>
      <c r="R60" s="579"/>
      <c r="S60" s="580"/>
      <c r="T60" s="580"/>
      <c r="U60" s="581"/>
      <c r="V60" s="208"/>
    </row>
    <row r="61" spans="1:28" s="71" customFormat="1" ht="15.6" customHeight="1">
      <c r="A61" s="48" t="s">
        <v>475</v>
      </c>
      <c r="B61" s="359">
        <f>SUM(C61:G61)</f>
        <v>0</v>
      </c>
      <c r="C61" s="12"/>
      <c r="D61" s="389"/>
      <c r="E61" s="389"/>
      <c r="F61" s="389"/>
      <c r="G61" s="12"/>
      <c r="H61" s="12"/>
      <c r="I61" s="389"/>
      <c r="J61" s="389"/>
      <c r="K61" s="389"/>
      <c r="L61" s="389"/>
      <c r="M61" s="63"/>
      <c r="N61" s="201" t="s">
        <v>399</v>
      </c>
      <c r="O61" s="63"/>
      <c r="P61" s="218"/>
      <c r="Q61" s="218"/>
      <c r="R61" s="582"/>
      <c r="S61" s="583"/>
      <c r="T61" s="583"/>
      <c r="U61" s="584"/>
      <c r="V61" s="209"/>
    </row>
    <row r="62" spans="1:28" s="71" customFormat="1" ht="15.6" customHeight="1" thickBot="1">
      <c r="A62" s="49" t="s">
        <v>476</v>
      </c>
      <c r="B62" s="360">
        <f t="shared" ref="B62" si="19">SUM(C62:G62)</f>
        <v>0</v>
      </c>
      <c r="C62" s="12"/>
      <c r="D62" s="389"/>
      <c r="E62" s="389"/>
      <c r="F62" s="389"/>
      <c r="G62" s="12"/>
      <c r="H62" s="12"/>
      <c r="I62" s="389"/>
      <c r="J62" s="389"/>
      <c r="K62" s="389"/>
      <c r="L62" s="389"/>
      <c r="M62" s="63"/>
      <c r="N62" s="201" t="s">
        <v>400</v>
      </c>
      <c r="O62" s="63"/>
      <c r="P62" s="218"/>
      <c r="Q62" s="218"/>
      <c r="R62" s="585"/>
      <c r="S62" s="586"/>
      <c r="T62" s="586"/>
      <c r="U62" s="587"/>
      <c r="V62" s="209"/>
    </row>
    <row r="63" spans="1:28" s="71" customFormat="1" ht="12.75" customHeight="1" thickBot="1">
      <c r="A63" s="217" t="s">
        <v>285</v>
      </c>
      <c r="B63" s="56">
        <f t="shared" ref="B63:L63" si="20">SUM(B60:B62)</f>
        <v>0</v>
      </c>
      <c r="C63" s="362">
        <f t="shared" si="20"/>
        <v>0</v>
      </c>
      <c r="D63" s="387">
        <f t="shared" si="20"/>
        <v>0</v>
      </c>
      <c r="E63" s="387">
        <f t="shared" si="20"/>
        <v>0</v>
      </c>
      <c r="F63" s="387">
        <f t="shared" si="20"/>
        <v>0</v>
      </c>
      <c r="G63" s="362">
        <f t="shared" si="20"/>
        <v>0</v>
      </c>
      <c r="H63" s="52">
        <f t="shared" si="20"/>
        <v>0</v>
      </c>
      <c r="I63" s="385">
        <f t="shared" si="20"/>
        <v>0</v>
      </c>
      <c r="J63" s="385">
        <f t="shared" si="20"/>
        <v>0</v>
      </c>
      <c r="K63" s="385">
        <f t="shared" si="20"/>
        <v>0</v>
      </c>
      <c r="L63" s="385">
        <f t="shared" si="20"/>
        <v>0</v>
      </c>
      <c r="M63" s="63"/>
      <c r="N63" s="381"/>
      <c r="O63" s="63"/>
    </row>
    <row r="64" spans="1:28" s="71" customFormat="1" ht="12.75" customHeight="1">
      <c r="A64" s="63"/>
      <c r="B64" s="63"/>
      <c r="C64" s="63"/>
      <c r="D64" s="63"/>
      <c r="E64" s="63"/>
      <c r="F64" s="63"/>
      <c r="G64" s="63"/>
      <c r="H64" s="63"/>
      <c r="I64" s="63"/>
      <c r="J64" s="63"/>
      <c r="K64" s="63"/>
      <c r="L64" s="63"/>
      <c r="M64" s="63"/>
      <c r="N64" s="201" t="s">
        <v>401</v>
      </c>
      <c r="O64" s="63"/>
    </row>
    <row r="65" spans="1:22" ht="15.75" thickBot="1"/>
    <row r="66" spans="1:22" ht="15.75" thickBot="1">
      <c r="A66" s="501" t="s">
        <v>566</v>
      </c>
      <c r="B66" s="502"/>
      <c r="C66" s="502"/>
      <c r="D66" s="502"/>
      <c r="E66" s="502"/>
      <c r="F66" s="502"/>
      <c r="G66" s="502"/>
      <c r="H66" s="502"/>
      <c r="I66" s="502"/>
      <c r="J66" s="502"/>
      <c r="K66" s="502"/>
      <c r="L66" s="502"/>
      <c r="M66" s="502"/>
      <c r="N66" s="502"/>
      <c r="O66" s="503"/>
    </row>
    <row r="67" spans="1:22" ht="72" customHeight="1" thickBot="1">
      <c r="A67" s="54"/>
      <c r="B67" s="275" t="s">
        <v>433</v>
      </c>
      <c r="C67" s="380" t="s">
        <v>404</v>
      </c>
      <c r="D67" s="380" t="s">
        <v>405</v>
      </c>
      <c r="E67" s="380" t="s">
        <v>406</v>
      </c>
      <c r="F67" s="130" t="s">
        <v>407</v>
      </c>
      <c r="G67" s="130" t="s">
        <v>408</v>
      </c>
      <c r="H67" s="372" t="s">
        <v>409</v>
      </c>
      <c r="I67" s="377" t="s">
        <v>410</v>
      </c>
      <c r="J67" s="377" t="s">
        <v>411</v>
      </c>
      <c r="K67" s="377" t="s">
        <v>412</v>
      </c>
      <c r="L67" s="275" t="s">
        <v>328</v>
      </c>
      <c r="M67" s="377" t="s">
        <v>414</v>
      </c>
      <c r="N67" s="130" t="s">
        <v>415</v>
      </c>
      <c r="O67" s="275" t="s">
        <v>416</v>
      </c>
      <c r="Q67" s="566"/>
      <c r="R67" s="566"/>
      <c r="S67" s="566"/>
      <c r="T67" s="566"/>
      <c r="U67" s="566"/>
      <c r="V67" s="566"/>
    </row>
    <row r="68" spans="1:22">
      <c r="A68" s="49" t="s">
        <v>474</v>
      </c>
      <c r="B68" s="307">
        <f t="shared" ref="B68:B70" si="21">SUM(C68:G68)</f>
        <v>0</v>
      </c>
      <c r="C68" s="389"/>
      <c r="D68" s="389"/>
      <c r="E68" s="389"/>
      <c r="F68" s="12"/>
      <c r="G68" s="12"/>
      <c r="H68" s="12"/>
      <c r="I68" s="389"/>
      <c r="J68" s="389"/>
      <c r="K68" s="389"/>
      <c r="L68" s="307">
        <f t="shared" ref="L68:L70" si="22">SUM(M68:N68)</f>
        <v>0</v>
      </c>
      <c r="M68" s="389"/>
      <c r="N68" s="12"/>
      <c r="O68" s="12"/>
      <c r="Q68" s="567"/>
      <c r="R68" s="567"/>
      <c r="S68" s="567"/>
      <c r="T68" s="567"/>
      <c r="U68" s="567"/>
      <c r="V68" s="567"/>
    </row>
    <row r="69" spans="1:22">
      <c r="A69" s="48" t="s">
        <v>475</v>
      </c>
      <c r="B69" s="278">
        <f t="shared" si="21"/>
        <v>0</v>
      </c>
      <c r="C69" s="389"/>
      <c r="D69" s="389"/>
      <c r="E69" s="389"/>
      <c r="F69" s="12"/>
      <c r="G69" s="12"/>
      <c r="H69" s="12"/>
      <c r="I69" s="389"/>
      <c r="J69" s="389"/>
      <c r="K69" s="389"/>
      <c r="L69" s="278">
        <f t="shared" si="22"/>
        <v>0</v>
      </c>
      <c r="M69" s="389"/>
      <c r="N69" s="12"/>
      <c r="O69" s="12"/>
      <c r="Q69" s="567"/>
      <c r="R69" s="567"/>
      <c r="S69" s="567"/>
      <c r="T69" s="567"/>
      <c r="U69" s="567"/>
      <c r="V69" s="567"/>
    </row>
    <row r="70" spans="1:22" ht="15.75" thickBot="1">
      <c r="A70" s="48" t="s">
        <v>476</v>
      </c>
      <c r="B70" s="278">
        <f t="shared" si="21"/>
        <v>0</v>
      </c>
      <c r="C70" s="389"/>
      <c r="D70" s="389"/>
      <c r="E70" s="389"/>
      <c r="F70" s="12"/>
      <c r="G70" s="12"/>
      <c r="H70" s="12"/>
      <c r="I70" s="389"/>
      <c r="J70" s="389"/>
      <c r="K70" s="389"/>
      <c r="L70" s="278">
        <f t="shared" si="22"/>
        <v>0</v>
      </c>
      <c r="M70" s="389"/>
      <c r="N70" s="12"/>
      <c r="O70" s="12"/>
      <c r="Q70" s="567"/>
      <c r="R70" s="567"/>
      <c r="S70" s="567"/>
      <c r="T70" s="567"/>
      <c r="U70" s="567"/>
      <c r="V70" s="567"/>
    </row>
    <row r="71" spans="1:22" ht="15.75" thickBot="1">
      <c r="A71" s="217" t="s">
        <v>285</v>
      </c>
      <c r="B71" s="56">
        <f t="shared" ref="B71:O71" si="23">SUM(B68:B70)</f>
        <v>0</v>
      </c>
      <c r="C71" s="385">
        <f t="shared" si="23"/>
        <v>0</v>
      </c>
      <c r="D71" s="385">
        <f t="shared" si="23"/>
        <v>0</v>
      </c>
      <c r="E71" s="385">
        <f t="shared" si="23"/>
        <v>0</v>
      </c>
      <c r="F71" s="52">
        <f t="shared" si="23"/>
        <v>0</v>
      </c>
      <c r="G71" s="52">
        <f t="shared" si="23"/>
        <v>0</v>
      </c>
      <c r="H71" s="52">
        <f t="shared" si="23"/>
        <v>0</v>
      </c>
      <c r="I71" s="385">
        <f t="shared" si="23"/>
        <v>0</v>
      </c>
      <c r="J71" s="385">
        <f t="shared" si="23"/>
        <v>0</v>
      </c>
      <c r="K71" s="385">
        <f t="shared" si="23"/>
        <v>0</v>
      </c>
      <c r="L71" s="52">
        <f t="shared" si="23"/>
        <v>0</v>
      </c>
      <c r="M71" s="385">
        <f t="shared" si="23"/>
        <v>0</v>
      </c>
      <c r="N71" s="52">
        <f t="shared" si="23"/>
        <v>0</v>
      </c>
      <c r="O71" s="52">
        <f t="shared" si="23"/>
        <v>0</v>
      </c>
      <c r="Q71" s="567"/>
      <c r="R71" s="567"/>
      <c r="S71" s="567"/>
      <c r="T71" s="567"/>
      <c r="U71" s="567"/>
      <c r="V71" s="567"/>
    </row>
    <row r="72" spans="1:22">
      <c r="M72" s="147"/>
      <c r="N72" s="147"/>
      <c r="O72" s="147"/>
      <c r="Q72" s="268"/>
      <c r="R72" s="268"/>
      <c r="S72" s="268"/>
      <c r="T72" s="268"/>
      <c r="U72" s="268"/>
      <c r="V72" s="268"/>
    </row>
    <row r="73" spans="1:22">
      <c r="Q73" s="268"/>
      <c r="R73" s="268"/>
      <c r="S73" s="268"/>
      <c r="T73" s="268"/>
      <c r="U73" s="268"/>
      <c r="V73" s="268"/>
    </row>
    <row r="74" spans="1:22">
      <c r="Q74" s="268"/>
      <c r="R74" s="268"/>
      <c r="S74" s="268"/>
      <c r="T74" s="268"/>
      <c r="U74" s="268"/>
      <c r="V74" s="268"/>
    </row>
  </sheetData>
  <sheetProtection algorithmName="SHA-512" hashValue="+lQMUl+1zxseC1MznaZaMFaH3Ewr0FLhOshanIaLFBY0LHL9oKwOeo8HIVSvb4ucqUuXjj9JbuksGZCmkGcIcA==" saltValue="va4OV/F+WB30rN0Tu0goTg==" spinCount="100000" sheet="1" objects="1" scenarios="1" selectLockedCells="1"/>
  <mergeCells count="40">
    <mergeCell ref="A58:L58"/>
    <mergeCell ref="A66:O66"/>
    <mergeCell ref="A24:L24"/>
    <mergeCell ref="A32:O32"/>
    <mergeCell ref="R52:T52"/>
    <mergeCell ref="Q33:V33"/>
    <mergeCell ref="Q34:V37"/>
    <mergeCell ref="R24:U25"/>
    <mergeCell ref="R26:U29"/>
    <mergeCell ref="R59:U59"/>
    <mergeCell ref="R60:U62"/>
    <mergeCell ref="W52:AB54"/>
    <mergeCell ref="R53:T53"/>
    <mergeCell ref="R54:T54"/>
    <mergeCell ref="Q67:V67"/>
    <mergeCell ref="Q68:V71"/>
    <mergeCell ref="R20:T20"/>
    <mergeCell ref="A41:L41"/>
    <mergeCell ref="L51:P51"/>
    <mergeCell ref="G23:M23"/>
    <mergeCell ref="G51:K51"/>
    <mergeCell ref="B51:F51"/>
    <mergeCell ref="A43:U43"/>
    <mergeCell ref="Q44:U44"/>
    <mergeCell ref="P28:Q28"/>
    <mergeCell ref="L44:P44"/>
    <mergeCell ref="G44:K44"/>
    <mergeCell ref="B44:F44"/>
    <mergeCell ref="R18:T18"/>
    <mergeCell ref="R19:T19"/>
    <mergeCell ref="A9:U9"/>
    <mergeCell ref="B17:F17"/>
    <mergeCell ref="L17:P17"/>
    <mergeCell ref="G17:K17"/>
    <mergeCell ref="A6:L6"/>
    <mergeCell ref="A7:L7"/>
    <mergeCell ref="Q10:U10"/>
    <mergeCell ref="B10:F10"/>
    <mergeCell ref="G10:K10"/>
    <mergeCell ref="L10:P10"/>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count="1">
    <dataValidation type="whole" allowBlank="1" showInputMessage="1" showErrorMessage="1" errorTitle="Error" error="Please enter a whole number greater than zero and less than 1,000." sqref="L46:O48 Q46:T48 B12:E14 B19:E21 G19:J21 L19:O21 G12:J14 L12:O14 Q12:T14 B53:E55 G53:J55 L53:O55 B46:E48 G46:J48 C26:L28 M68:O70 C34:K36 C60:L62 C68:K70 M34:O36"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N32" sqref="N32"/>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497</v>
      </c>
      <c r="B1" s="193"/>
      <c r="C1" s="193" t="s">
        <v>498</v>
      </c>
      <c r="E1" s="197" t="s">
        <v>499</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4EC9-90C0-4EC6-BA4D-EDECCF10DC56}">
  <sheetPr codeName="Sheet22">
    <tabColor rgb="FFFFC000"/>
  </sheetPr>
  <dimension ref="A1:X15"/>
  <sheetViews>
    <sheetView workbookViewId="0">
      <selection activeCell="E4" sqref="E4"/>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401" customFormat="1" ht="45.75" customHeight="1">
      <c r="A1" s="400" t="s">
        <v>500</v>
      </c>
      <c r="B1" s="401">
        <f>COUNTIF(4:15,"No, email FRS") +COUNTIF(4:15,"No, check notes and consider email to FRS") +COUNTIF(4:15,"Check") + COUNTIF(6:7,"&gt;0.5")+ COUNTIF(9:9,"&gt;0.5")+ COUNTIF(11:11,"&gt;0.5")+ COUNTIF(13:13,"&gt;0.5")+ COUNTIF(15:15,"&gt;0.5")</f>
        <v>1</v>
      </c>
    </row>
    <row r="2" spans="1:24">
      <c r="I2" s="396"/>
    </row>
    <row r="3" spans="1:24" ht="15">
      <c r="A3" s="588" t="s">
        <v>501</v>
      </c>
      <c r="B3" s="588"/>
      <c r="D3" s="588" t="s">
        <v>502</v>
      </c>
      <c r="E3" s="588"/>
      <c r="F3" s="395"/>
      <c r="H3" s="588" t="s">
        <v>503</v>
      </c>
      <c r="I3" s="588"/>
      <c r="J3" s="395"/>
      <c r="L3" s="588" t="s">
        <v>504</v>
      </c>
      <c r="M3" s="588"/>
      <c r="N3" s="395"/>
      <c r="P3" s="588" t="s">
        <v>505</v>
      </c>
      <c r="Q3" s="588"/>
      <c r="R3" s="395"/>
      <c r="T3" s="588" t="s">
        <v>506</v>
      </c>
      <c r="U3" s="588"/>
      <c r="W3" s="588" t="s">
        <v>507</v>
      </c>
      <c r="X3" s="588"/>
    </row>
    <row r="4" spans="1:24" ht="25.5">
      <c r="A4" s="396" t="s">
        <v>508</v>
      </c>
      <c r="B4" t="str">
        <f>IF('HR1'!B19&lt;=SUM('HR2'!B66:D66),"Yes","No, check notes and consider email to FRS")</f>
        <v>Yes</v>
      </c>
      <c r="D4" s="396" t="s">
        <v>509</v>
      </c>
      <c r="E4" s="397" t="str">
        <f>IF('HR2'!U29="Yes","Yes","No, check notes and consider email to FRS")</f>
        <v>Yes</v>
      </c>
      <c r="F4" s="397"/>
      <c r="H4" s="396" t="s">
        <v>509</v>
      </c>
      <c r="I4" s="397" t="str">
        <f>IF('HR3'!U26="Yes","Yes","No, check notes and consider email to FRS")</f>
        <v>Yes</v>
      </c>
      <c r="J4" s="397"/>
      <c r="L4" s="396" t="s">
        <v>509</v>
      </c>
      <c r="M4" s="397" t="str">
        <f>IF('HR4'!W26="Yes","Yes","No, check notes and consider email to FRS")</f>
        <v>Yes</v>
      </c>
      <c r="N4" s="397"/>
      <c r="P4" s="396" t="s">
        <v>509</v>
      </c>
      <c r="Q4" s="397" t="str">
        <f>IF('HR5'!E43="Yes","Yes","No, check notes and consider email to FRS")</f>
        <v>Yes</v>
      </c>
      <c r="R4" s="397"/>
      <c r="T4" s="398" t="s">
        <v>509</v>
      </c>
      <c r="U4" t="str">
        <f>IF('HR6'!U24="Yes","Yes","No, check notes and consider email to FRS")</f>
        <v>Yes</v>
      </c>
      <c r="W4" s="398" t="s">
        <v>509</v>
      </c>
      <c r="X4" t="str">
        <f>IF('HR7'!U20="Yes","Yes","No, check notes and consider email to FRS")</f>
        <v>Yes</v>
      </c>
    </row>
    <row r="5" spans="1:24" ht="25.5">
      <c r="A5" s="396" t="s">
        <v>510</v>
      </c>
      <c r="B5" t="str">
        <f>IF('HR1'!C19&lt;=SUM('HR3'!B56:D56),"Yes","No, check notes and consider email to FRS")</f>
        <v>Yes</v>
      </c>
      <c r="D5" s="396" t="s">
        <v>511</v>
      </c>
      <c r="E5" s="399" t="e">
        <f>SUM('HR2'!C18,'HR2'!H18,'HR2'!M18,'HR2'!R18,'HR2'!C30,'HR2'!H30,'HR2'!M30)/SUM('HR2'!F18,'HR2'!K18,'HR2'!P18,'HR2'!U18,'HR2'!F30,'HR2'!K30,'HR2'!P30)</f>
        <v>#DIV/0!</v>
      </c>
      <c r="F5" s="399"/>
      <c r="H5" s="396" t="s">
        <v>511</v>
      </c>
      <c r="I5" t="e">
        <f>SUM('HR3'!C16,'HR3'!H16,'HR3'!M16,'HR3'!R16,'HR3'!C26,'HR3'!H26,'HR3'!M26)/SUM('HR3'!F16,'HR3'!K16,'HR3'!P16,'HR3'!U16,'HR3'!F26,'HR3'!K26,'HR3'!P26)</f>
        <v>#DIV/0!</v>
      </c>
      <c r="L5" s="396" t="s">
        <v>511</v>
      </c>
      <c r="M5" t="e">
        <f>SUM('HR4'!C16,'HR4'!H16,'HR4'!M16,'HR4'!R16,'HR4'!W16,'HR4'!C26,'HR4'!H26,'HR4'!M26)/SUM('HR4'!F16,'HR4'!K16,'HR4'!P16,'HR4'!U16,'HR4'!Z16,'HR4'!F26,'HR4'!K26,'HR4'!P26)</f>
        <v>#DIV/0!</v>
      </c>
      <c r="P5" s="396" t="s">
        <v>511</v>
      </c>
      <c r="Q5" t="e">
        <f>SUM('HR5'!C11,'HR5'!H11,'HR5'!M11,'HR5'!R11,'HR5'!W11,'HR5'!C16,'HR5'!H16,'HR5'!M16)/SUM('HR5'!F11,'HR5'!K11,'HR5'!P11,'HR5'!U11,'HR5'!Z11,'HR5'!F16,'HR5'!K16,'HR5'!P16)</f>
        <v>#DIV/0!</v>
      </c>
      <c r="T5" t="s">
        <v>512</v>
      </c>
      <c r="W5" s="398" t="s">
        <v>509</v>
      </c>
      <c r="X5" t="str">
        <f>IF('HR7'!U54="Yes","Yes","No, check notes and consider email to FRS")</f>
        <v>Yes</v>
      </c>
    </row>
    <row r="6" spans="1:24" ht="25.5">
      <c r="A6" s="396" t="s">
        <v>513</v>
      </c>
      <c r="B6" t="str">
        <f>IF('HR1'!F19&lt;=SUM('HR4'!B56:D56),"Yes","No, check notes and consider email to FRS")</f>
        <v>Yes</v>
      </c>
      <c r="D6" s="363" t="s">
        <v>514</v>
      </c>
      <c r="E6" s="399" t="e">
        <f>SUM('HR2'!E18,'HR2'!J18,'HR2'!O18,'HR2'!T18,'HR2'!E30,'HR2'!J30,'HR2'!O30)/'HR2'!U23</f>
        <v>#DIV/0!</v>
      </c>
      <c r="F6" s="399"/>
      <c r="H6" s="363" t="s">
        <v>514</v>
      </c>
      <c r="I6" s="399" t="e">
        <f>SUM('HR3'!E16,'HR3'!J16,'HR3'!O16,'HR3'!T16,'HR3'!E26,'HR3'!J26,'HR3'!O26)/'HR3'!U20</f>
        <v>#DIV/0!</v>
      </c>
      <c r="L6" s="363" t="s">
        <v>514</v>
      </c>
      <c r="M6" s="399" t="e">
        <f>SUM('HR4'!E16,'HR4'!J16,'HR4'!O16,'HR4'!O16,'HR4'!T16,'HR4'!Y16,'HR4'!E26,'HR4'!J26,'HR4'!O26)/'HR4'!W20</f>
        <v>#DIV/0!</v>
      </c>
      <c r="P6" s="363" t="s">
        <v>514</v>
      </c>
      <c r="Q6" s="399" t="e">
        <f>SUM('HR5'!E11,'HR5'!J11,'HR5'!O11,'HR5'!T11,'HR5'!Y11,'HR5'!E16,'HR5'!J16,'HR5'!O16)/'HR5'!E37</f>
        <v>#DIV/0!</v>
      </c>
      <c r="W6" t="s">
        <v>512</v>
      </c>
    </row>
    <row r="7" spans="1:24">
      <c r="A7" s="396" t="s">
        <v>515</v>
      </c>
      <c r="B7" t="str">
        <f>IF('HR1'!B26="","No, email FRS","Yes")</f>
        <v>No, email FRS</v>
      </c>
      <c r="D7" s="396" t="s">
        <v>516</v>
      </c>
      <c r="E7" s="399" t="e">
        <f>'HR2'!P30/'HR2'!U23</f>
        <v>#DIV/0!</v>
      </c>
      <c r="F7" s="399"/>
      <c r="H7" s="396" t="s">
        <v>516</v>
      </c>
      <c r="I7" s="399" t="e">
        <f>'HR3'!P26/'HR3'!U20</f>
        <v>#DIV/0!</v>
      </c>
      <c r="L7" s="396" t="s">
        <v>516</v>
      </c>
      <c r="M7" s="399" t="e">
        <f>'HR4'!P26/'HR4'!W20</f>
        <v>#DIV/0!</v>
      </c>
      <c r="P7" s="396" t="s">
        <v>516</v>
      </c>
      <c r="Q7" s="399" t="e">
        <f>'HR5'!P16/'HR5'!E37</f>
        <v>#DIV/0!</v>
      </c>
    </row>
    <row r="8" spans="1:24" ht="25.5">
      <c r="A8" s="396" t="s">
        <v>517</v>
      </c>
      <c r="B8" t="str">
        <f>IF('HR1'!B26&lt;=SUM('HR5'!B31:D31),"Yes","No, check notes and consider email to FRS")</f>
        <v>Yes</v>
      </c>
      <c r="D8" s="396" t="s">
        <v>518</v>
      </c>
      <c r="E8" s="399" t="e">
        <f>1-(SUM('HR2'!C42:D42)/(SUM('HR2'!B42,'HR2'!H42,'HR2'!B54,'HR2'!H54,'HR2'!L54)))</f>
        <v>#DIV/0!</v>
      </c>
      <c r="F8" s="399"/>
      <c r="H8" s="396" t="s">
        <v>518</v>
      </c>
      <c r="I8" t="e">
        <f>SUM('HR3'!C36:D36)/SUM('HR3'!B36,'HR3'!H36,'HR3'!B46,'HR3'!H46,'HR3'!L46)</f>
        <v>#DIV/0!</v>
      </c>
      <c r="L8" s="396" t="s">
        <v>518</v>
      </c>
      <c r="M8" t="e">
        <f>1-SUM('HR4'!C36:D36)/SUM('HR4'!B36,'HR4'!H36,'HR4'!B46,'HR4'!H46,'HR4'!L46)</f>
        <v>#DIV/0!</v>
      </c>
      <c r="P8" s="396" t="s">
        <v>518</v>
      </c>
      <c r="Q8" t="e" cm="1">
        <f t="array" ref="Q8">SUM('HR5'!C21:D210/SUM('HR5'!B21,'HR5'!H21,'HR5'!B26,'HR5'!H26,'HR5'!L26))</f>
        <v>#DIV/0!</v>
      </c>
    </row>
    <row r="9" spans="1:24">
      <c r="D9" s="396" t="s">
        <v>519</v>
      </c>
      <c r="E9" s="399" t="e">
        <f>'HR2'!O54/'HR2'!U24</f>
        <v>#DIV/0!</v>
      </c>
      <c r="F9" s="399"/>
      <c r="H9" s="396" t="s">
        <v>519</v>
      </c>
      <c r="I9" s="399" t="e">
        <f>'HR3'!O46/'HR3'!U21</f>
        <v>#DIV/0!</v>
      </c>
      <c r="L9" s="396" t="s">
        <v>519</v>
      </c>
      <c r="M9" s="399" t="e">
        <f>'HR4'!O46/'HR4'!W21</f>
        <v>#DIV/0!</v>
      </c>
      <c r="P9" s="396" t="s">
        <v>519</v>
      </c>
      <c r="Q9" s="399" t="e">
        <f>'HR5'!O26/'HR5'!E38</f>
        <v>#DIV/0!</v>
      </c>
    </row>
    <row r="10" spans="1:24">
      <c r="D10" s="396" t="s">
        <v>520</v>
      </c>
      <c r="E10" s="399" t="e">
        <f>'HR2'!B66/SUM('HR2'!B66:C66)</f>
        <v>#DIV/0!</v>
      </c>
      <c r="F10" s="399"/>
      <c r="H10" s="396" t="s">
        <v>520</v>
      </c>
      <c r="I10" t="e">
        <f>'HR3'!B56/SUM('HR3'!B56:C56)</f>
        <v>#DIV/0!</v>
      </c>
      <c r="L10" s="396" t="s">
        <v>520</v>
      </c>
      <c r="M10" t="e">
        <f>'HR4'!B56/SUM('HR4'!B56:C56)</f>
        <v>#DIV/0!</v>
      </c>
      <c r="P10" s="396" t="s">
        <v>520</v>
      </c>
      <c r="Q10" t="e">
        <f>'HR5'!B31/SUM('HR5'!B31:C31)</f>
        <v>#DIV/0!</v>
      </c>
    </row>
    <row r="11" spans="1:24">
      <c r="D11" s="396" t="s">
        <v>521</v>
      </c>
      <c r="E11" s="399" t="e">
        <f>'HR2'!D66/'HR2'!U26</f>
        <v>#DIV/0!</v>
      </c>
      <c r="F11" s="399"/>
      <c r="H11" s="396" t="s">
        <v>521</v>
      </c>
      <c r="I11" s="399" t="e">
        <f>'HR3'!D56/'HR3'!U23</f>
        <v>#DIV/0!</v>
      </c>
      <c r="L11" s="396" t="s">
        <v>521</v>
      </c>
      <c r="M11" s="399" t="e">
        <f>'HR4'!D56/'HR4'!W23</f>
        <v>#DIV/0!</v>
      </c>
      <c r="P11" s="396" t="s">
        <v>521</v>
      </c>
      <c r="Q11" s="399" t="e">
        <f>'HR5'!D31/'HR5'!E40</f>
        <v>#DIV/0!</v>
      </c>
    </row>
    <row r="12" spans="1:24" ht="25.5">
      <c r="D12" s="396" t="s">
        <v>522</v>
      </c>
      <c r="E12" s="399" t="e">
        <f>SUM('HR2'!E66,'HR2'!L66)/SUM('HR2'!E66:L66)</f>
        <v>#DIV/0!</v>
      </c>
      <c r="F12" s="399"/>
      <c r="H12" s="396" t="s">
        <v>522</v>
      </c>
      <c r="I12" t="e">
        <f>SUM('HR3'!E56,'HR3'!L56)/SUM('HR3'!E56:L56)</f>
        <v>#DIV/0!</v>
      </c>
      <c r="L12" s="396" t="s">
        <v>522</v>
      </c>
      <c r="M12" t="e">
        <f>SUM('HR4'!E56,'HR4'!L56)/SUM('HR4'!E56:L56)</f>
        <v>#DIV/0!</v>
      </c>
      <c r="P12" s="396" t="s">
        <v>522</v>
      </c>
      <c r="Q12" t="e">
        <f>SUM('HR5'!E31,'HR5'!L31)/SUM('HR5'!E31:L31)</f>
        <v>#DIV/0!</v>
      </c>
    </row>
    <row r="13" spans="1:24">
      <c r="D13" s="396" t="s">
        <v>523</v>
      </c>
      <c r="E13" s="399" t="e">
        <f>'HR2'!M66/'HR2'!U27</f>
        <v>#DIV/0!</v>
      </c>
      <c r="F13" s="399"/>
      <c r="H13" s="396" t="s">
        <v>523</v>
      </c>
      <c r="I13" s="399" t="e">
        <f>'HR3'!M56/'HR3'!U24</f>
        <v>#DIV/0!</v>
      </c>
      <c r="L13" s="396" t="s">
        <v>523</v>
      </c>
      <c r="M13" s="399" t="e">
        <f>'HR4'!M56/'HR4'!W24</f>
        <v>#DIV/0!</v>
      </c>
      <c r="P13" s="396" t="s">
        <v>523</v>
      </c>
      <c r="Q13" s="399" t="e">
        <f>'HR5'!M31/'HR5'!E41</f>
        <v>#DIV/0!</v>
      </c>
    </row>
    <row r="14" spans="1:24">
      <c r="D14" s="396" t="s">
        <v>524</v>
      </c>
      <c r="E14" s="399" t="e">
        <f>SUM('HR2'!N66:O66,'HR2'!Q66)/SUM('HR2'!N66:Q66)</f>
        <v>#DIV/0!</v>
      </c>
      <c r="F14" s="399"/>
      <c r="H14" s="396" t="s">
        <v>524</v>
      </c>
      <c r="I14" t="e">
        <f>SUM('HR3'!N56:O56,'HR3'!Q56)/SUM('HR3'!N56:Q56)</f>
        <v>#DIV/0!</v>
      </c>
      <c r="L14" s="396" t="s">
        <v>524</v>
      </c>
      <c r="M14" t="e">
        <f>SUM('HR4'!N56:O56,'HR4'!Q56)/SUM('HR4'!N56:Q560)</f>
        <v>#DIV/0!</v>
      </c>
      <c r="P14" s="396" t="s">
        <v>524</v>
      </c>
      <c r="Q14" s="397" t="e">
        <f>SUM('HR5'!N31:O31,'HR5'!Q31)/SUM('HR5'!N31:Q31)</f>
        <v>#DIV/0!</v>
      </c>
      <c r="R14" s="397"/>
    </row>
    <row r="15" spans="1:24" ht="25.5">
      <c r="D15" s="396" t="s">
        <v>525</v>
      </c>
      <c r="E15" s="399" t="e">
        <f>'HR2'!R66/'HR2'!U25</f>
        <v>#DIV/0!</v>
      </c>
      <c r="F15" s="399"/>
      <c r="H15" s="396" t="s">
        <v>525</v>
      </c>
      <c r="I15" s="399" t="e">
        <f>'HR3'!R56/'HR3'!U22</f>
        <v>#DIV/0!</v>
      </c>
      <c r="L15" s="396" t="s">
        <v>525</v>
      </c>
      <c r="M15" s="399" t="e">
        <f>'HR4'!R56/'HR4'!W22</f>
        <v>#DIV/0!</v>
      </c>
      <c r="P15" s="396" t="s">
        <v>525</v>
      </c>
      <c r="Q15" s="399" t="e">
        <f>'HR5'!R31/'HR5'!E39</f>
        <v>#DIV/0!</v>
      </c>
    </row>
  </sheetData>
  <mergeCells count="7">
    <mergeCell ref="W3:X3"/>
    <mergeCell ref="A3:B3"/>
    <mergeCell ref="D3:E3"/>
    <mergeCell ref="H3:I3"/>
    <mergeCell ref="L3:M3"/>
    <mergeCell ref="P3:Q3"/>
    <mergeCell ref="T3:U3"/>
  </mergeCells>
  <conditionalFormatting sqref="A1:B1">
    <cfRule type="containsText" dxfId="24" priority="31" operator="containsText" text="No, email FRS">
      <formula>NOT(ISERROR(SEARCH("No, email FRS",A1)))</formula>
    </cfRule>
  </conditionalFormatting>
  <conditionalFormatting sqref="B1">
    <cfRule type="cellIs" dxfId="23" priority="29" operator="equal">
      <formula>0</formula>
    </cfRule>
    <cfRule type="cellIs" dxfId="22" priority="30" operator="greaterThan">
      <formula>0</formula>
    </cfRule>
  </conditionalFormatting>
  <conditionalFormatting sqref="C1:XFD1">
    <cfRule type="containsText" dxfId="21" priority="33" operator="containsText" text="No, email FRS">
      <formula>NOT(ISERROR(SEARCH("No, email FRS",C1)))</formula>
    </cfRule>
  </conditionalFormatting>
  <conditionalFormatting sqref="E6:E7">
    <cfRule type="cellIs" dxfId="20" priority="28" operator="greaterThan">
      <formula>0.5</formula>
    </cfRule>
  </conditionalFormatting>
  <conditionalFormatting sqref="E9">
    <cfRule type="cellIs" dxfId="19" priority="27" operator="greaterThan">
      <formula>0.5</formula>
    </cfRule>
  </conditionalFormatting>
  <conditionalFormatting sqref="E11">
    <cfRule type="cellIs" dxfId="18" priority="26" operator="greaterThan">
      <formula>0.5</formula>
    </cfRule>
  </conditionalFormatting>
  <conditionalFormatting sqref="E13">
    <cfRule type="cellIs" dxfId="17" priority="25" operator="greaterThan">
      <formula>0.5</formula>
    </cfRule>
  </conditionalFormatting>
  <conditionalFormatting sqref="E15">
    <cfRule type="cellIs" dxfId="16" priority="24" operator="greaterThan">
      <formula>0.5</formula>
    </cfRule>
  </conditionalFormatting>
  <conditionalFormatting sqref="I6:I7">
    <cfRule type="cellIs" dxfId="15" priority="23" operator="greaterThan">
      <formula>0.5</formula>
    </cfRule>
  </conditionalFormatting>
  <conditionalFormatting sqref="I9">
    <cfRule type="cellIs" dxfId="14" priority="22" operator="greaterThan">
      <formula>0.5</formula>
    </cfRule>
  </conditionalFormatting>
  <conditionalFormatting sqref="I11">
    <cfRule type="cellIs" dxfId="13" priority="21" operator="greaterThan">
      <formula>0.5</formula>
    </cfRule>
  </conditionalFormatting>
  <conditionalFormatting sqref="I13">
    <cfRule type="cellIs" dxfId="12" priority="20" operator="greaterThan">
      <formula>0.5</formula>
    </cfRule>
  </conditionalFormatting>
  <conditionalFormatting sqref="I15">
    <cfRule type="cellIs" dxfId="11" priority="19" operator="greaterThan">
      <formula>0.5</formula>
    </cfRule>
  </conditionalFormatting>
  <conditionalFormatting sqref="M6:M7">
    <cfRule type="cellIs" dxfId="10" priority="18" operator="greaterThan">
      <formula>0.5</formula>
    </cfRule>
  </conditionalFormatting>
  <conditionalFormatting sqref="M9">
    <cfRule type="cellIs" dxfId="9" priority="17" operator="greaterThan">
      <formula>0.5</formula>
    </cfRule>
  </conditionalFormatting>
  <conditionalFormatting sqref="M11">
    <cfRule type="cellIs" dxfId="8" priority="8" operator="greaterThan">
      <formula>0.5</formula>
    </cfRule>
  </conditionalFormatting>
  <conditionalFormatting sqref="M13">
    <cfRule type="cellIs" dxfId="7" priority="7" operator="greaterThan">
      <formula>0.5</formula>
    </cfRule>
  </conditionalFormatting>
  <conditionalFormatting sqref="M15">
    <cfRule type="cellIs" dxfId="6" priority="6" operator="greaterThan">
      <formula>0.5</formula>
    </cfRule>
  </conditionalFormatting>
  <conditionalFormatting sqref="Q6:Q7">
    <cfRule type="cellIs" dxfId="5" priority="5" operator="greaterThan">
      <formula>0.5</formula>
    </cfRule>
  </conditionalFormatting>
  <conditionalFormatting sqref="Q9">
    <cfRule type="cellIs" dxfId="4" priority="4" operator="greaterThan">
      <formula>0.5</formula>
    </cfRule>
  </conditionalFormatting>
  <conditionalFormatting sqref="Q11">
    <cfRule type="cellIs" dxfId="3" priority="3" operator="greaterThan">
      <formula>0.5</formula>
    </cfRule>
  </conditionalFormatting>
  <conditionalFormatting sqref="Q13">
    <cfRule type="cellIs" dxfId="2" priority="2" operator="greaterThan">
      <formula>0.5</formula>
    </cfRule>
  </conditionalFormatting>
  <conditionalFormatting sqref="Q15">
    <cfRule type="cellIs" dxfId="1" priority="1" operator="greaterThan">
      <formula>0.5</formula>
    </cfRule>
  </conditionalFormatting>
  <conditionalFormatting sqref="AB1:AC1">
    <cfRule type="containsText" dxfId="0" priority="32"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012CF3C3-160C-4EA8-8810-0A46073E1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01D1AC59-BAC9-4CC9-908C-858DAD077B29}">
  <ds:schemaRefs>
    <ds:schemaRef ds:uri="http://purl.org/dc/elements/1.1/"/>
    <ds:schemaRef ds:uri="f8e9d96c-a07e-4933-9220-38ca5ec96d4e"/>
    <ds:schemaRef ds:uri="http://schemas.microsoft.com/office/2006/metadata/properties"/>
    <ds:schemaRef ds:uri="http://schemas.microsoft.com/office/infopath/2007/PartnerControls"/>
    <ds:schemaRef ds:uri="http://schemas.microsoft.com/office/2006/documentManagement/types"/>
    <ds:schemaRef ds:uri="http://purl.org/dc/terms/"/>
    <ds:schemaRef ds:uri="http://www.w3.org/XML/1998/namespace"/>
    <ds:schemaRef ds:uri="f2aea08d-7fae-41c6-92ff-91df552a059b"/>
    <ds:schemaRef ds:uri="http://schemas.openxmlformats.org/package/2006/metadata/core-properties"/>
    <ds:schemaRef ds:uri="http://purl.org/dc/dcmitype/"/>
  </ds:schemaRefs>
</ds:datastoreItem>
</file>

<file path=customXml/itemProps4.xml><?xml version="1.0" encoding="utf-8"?>
<ds:datastoreItem xmlns:ds="http://schemas.openxmlformats.org/officeDocument/2006/customXml" ds:itemID="{789C5347-1247-40D5-AE71-50BFF84914EA}">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 PY</vt:lpstr>
      <vt:lpstr>HR5</vt:lpstr>
      <vt:lpstr>HR6and7_fy - PY data</vt:lpstr>
      <vt:lpstr>HR6and7_cy - PY data</vt:lpstr>
      <vt:lpstr>HR6 PY</vt:lpstr>
      <vt:lpstr>HR6</vt:lpstr>
      <vt:lpstr>HR7 PY</vt:lpstr>
      <vt:lpstr>HR7</vt:lpstr>
      <vt:lpstr>QA check thresholds</vt:lpstr>
      <vt:lpstr>QA checks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2026-01-13T18:52:11Z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